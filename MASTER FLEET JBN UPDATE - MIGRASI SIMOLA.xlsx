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C SETTING" sheetId="1" r:id="rId5"/>
    <sheet state="hidden" name="SETTING ROTASI" sheetId="2" r:id="rId6"/>
    <sheet state="visible" name="PC SET UTAMA" sheetId="3" r:id="rId7"/>
    <sheet state="visible" name="ROTASI SETTINGS" sheetId="4" r:id="rId8"/>
    <sheet state="visible" name="KENDARAAN P1" sheetId="5" r:id="rId9"/>
    <sheet state="hidden" name="NOTED PERHITUNGAN" sheetId="6" r:id="rId10"/>
    <sheet state="hidden" name="GROUP DATA" sheetId="7" r:id="rId11"/>
    <sheet state="hidden" name="NOPOL OFF" sheetId="8" r:id="rId12"/>
    <sheet state="hidden" name="MASTER PERUSAHAAN" sheetId="9" r:id="rId13"/>
    <sheet state="hidden" name="MASTER TLPG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5">
      <text>
        <t xml:space="preserve">HANYA ADA CAM</t>
      </text>
    </comment>
    <comment authorId="0" ref="C322">
      <text>
        <t xml:space="preserve">HANYA ADA GPS</t>
      </text>
    </comment>
    <comment authorId="0" ref="C121">
      <text>
        <t xml:space="preserve">GPS 05 Januari 2026 08:28 WIB
CAM 04 Januari 2026 20:19 WIB</t>
      </text>
    </comment>
    <comment authorId="0" ref="C56">
      <text>
        <t xml:space="preserve">GPS 09 April 2026 10:49 WIB
CAM 17 September 2025 14:17 WIB</t>
      </text>
    </comment>
    <comment authorId="0" ref="C120">
      <text>
        <t xml:space="preserve">GPS 11 Februari 2026 16:05 WIB
CAM 18 April 2026 14:20 WIB</t>
      </text>
    </comment>
    <comment authorId="0" ref="C181">
      <text>
        <t xml:space="preserve">GPS OFF DI 27 Juli 2025 
CAM OFF DI 17 September 2025</t>
      </text>
    </comment>
    <comment authorId="0" ref="C309">
      <text>
        <t xml:space="preserve">TIDAK ADA GPS &amp; CAM</t>
      </text>
    </comment>
    <comment authorId="0" ref="C19">
      <text>
        <t xml:space="preserve">GPS DAN CAM TIDAK ADA</t>
      </text>
    </comment>
    <comment authorId="0" ref="C209">
      <text>
        <t xml:space="preserve">GPS OFF DI 04 Juli 2025
CAM OFF DI 17 September 2025</t>
      </text>
    </comment>
    <comment authorId="0" ref="C16">
      <text>
        <t xml:space="preserve">GPS 26 April 2026 08:21 WIB
CAM 12 Maret 2026 13:16 WIB</t>
      </text>
    </comment>
    <comment authorId="0" ref="C47">
      <text>
        <t xml:space="preserve">GPS 07 Januari 2026 19:21 WIB
CAM 07 Januari 2026 19:04 WIB</t>
      </text>
    </comment>
    <comment authorId="0" ref="C174">
      <text>
        <t xml:space="preserve">CAM OFF DI 05 Maret 2026
GPS OFF DI 24 April 2026</t>
      </text>
    </comment>
    <comment authorId="0" ref="C45">
      <text>
        <t xml:space="preserve">GPS 19 Februari 2025 23:02 WIB
CAM 17 September 2025 14:15 WIB</t>
      </text>
    </comment>
    <comment authorId="0" ref="C44">
      <text>
        <t xml:space="preserve">GPS 17 Januari 2026 17:05 WIB
CAM 12 Januari 2026 10:27 WIB</t>
      </text>
    </comment>
    <comment authorId="0" ref="C140">
      <text>
        <t xml:space="preserve">GPS 25 April 2026 14:59 WIB
CAM 13 April 2026 20:41 WIB</t>
      </text>
    </comment>
    <comment authorId="0" ref="C332">
      <text>
        <t xml:space="preserve">CAM OFF DARI TGL 17 SEPTEMBER 2025
GPS OFF DARI TGL 23 FEBRUARI 2026</t>
      </text>
    </comment>
    <comment authorId="0" ref="C139">
      <text>
        <t xml:space="preserve">GPS DAN CAM TIDAK ADA</t>
      </text>
    </comment>
    <comment authorId="0" ref="C74">
      <text>
        <t xml:space="preserve">GPS 27 Januari 2026 19:28 WIB
CAM 27 Januari 2026 17:33 WIB</t>
      </text>
    </comment>
    <comment authorId="0" ref="C105">
      <text>
        <t xml:space="preserve">GPS 05 Februari 2026 11:03 WIB
CAM 25 April 2026 23:23 WIB</t>
      </text>
    </comment>
    <comment authorId="0" ref="C104">
      <text>
        <t xml:space="preserve">GPS 30 Oktober 2025 18:30 WIB
CAM 20 Januari 2026 21:51 WIB</t>
      </text>
    </comment>
    <comment authorId="0" ref="C327">
      <text>
        <t xml:space="preserve">TIDAK ADA GPS &amp; CAM</t>
      </text>
    </comment>
    <comment authorId="0" ref="C134">
      <text>
        <t xml:space="preserve">GPS DAN CAM TIDAK ADA</t>
      </text>
    </comment>
  </commentList>
</comments>
</file>

<file path=xl/sharedStrings.xml><?xml version="1.0" encoding="utf-8"?>
<sst xmlns="http://schemas.openxmlformats.org/spreadsheetml/2006/main" count="4220" uniqueCount="650">
  <si>
    <t>PC</t>
  </si>
  <si>
    <t>NO</t>
  </si>
  <si>
    <t>NOPOL</t>
  </si>
  <si>
    <t>TERMINAL</t>
  </si>
  <si>
    <t>AD 9780 AB</t>
  </si>
  <si>
    <t>TLPG LOMBOK</t>
  </si>
  <si>
    <t>AE 8018 UG</t>
  </si>
  <si>
    <t>TLPG TJ PERAK</t>
  </si>
  <si>
    <t>AE 8099 UT</t>
  </si>
  <si>
    <t>AE 8175 UC</t>
  </si>
  <si>
    <t>AE 8458 UF</t>
  </si>
  <si>
    <t>PC AKHIR</t>
  </si>
  <si>
    <t>PERUSAHAAN</t>
  </si>
  <si>
    <t>AE 8459 UF</t>
  </si>
  <si>
    <t>PC FINAL</t>
  </si>
  <si>
    <t>AE 8518 UJ</t>
  </si>
  <si>
    <t>AE 8546 UJ</t>
  </si>
  <si>
    <t>AE 8639 UP</t>
  </si>
  <si>
    <t>AE 8641 UP</t>
  </si>
  <si>
    <t>AE 8642 UP</t>
  </si>
  <si>
    <t>PC 1</t>
  </si>
  <si>
    <t>KETERANGAN</t>
  </si>
  <si>
    <t>AE 9061 UJ</t>
  </si>
  <si>
    <t>AE 8835 UQ</t>
  </si>
  <si>
    <t>AG 8093 EI</t>
  </si>
  <si>
    <t>TLPG MEM GRESIK</t>
  </si>
  <si>
    <t>AG 9876 RK</t>
  </si>
  <si>
    <t>B 9080 SEI</t>
  </si>
  <si>
    <t>TLPG TJ WANGI</t>
  </si>
  <si>
    <t>B 9089 SEI</t>
  </si>
  <si>
    <t>B 9711 SFU</t>
  </si>
  <si>
    <t>B 9914 PEI</t>
  </si>
  <si>
    <t>TLPG MANGGIS</t>
  </si>
  <si>
    <t>DK 8011 UK</t>
  </si>
  <si>
    <t>DK 8018 UF</t>
  </si>
  <si>
    <t>DATA CAM / GPS OFF LEBIH DARI 1 BULAN</t>
  </si>
  <si>
    <t>DK 8696 AS</t>
  </si>
  <si>
    <t>DR 8761 DC</t>
  </si>
  <si>
    <t>L 8116 UUC</t>
  </si>
  <si>
    <t>TLPG BIMA</t>
  </si>
  <si>
    <t>N 8435 UZ</t>
  </si>
  <si>
    <t>N 9502 UG</t>
  </si>
  <si>
    <t>P 8920 UG</t>
  </si>
  <si>
    <t>S 8316 AI</t>
  </si>
  <si>
    <t>SPPBE-PT. Lombok Putra Gas</t>
  </si>
  <si>
    <t>AD 9838 AB</t>
  </si>
  <si>
    <t>AD 9877 AB</t>
  </si>
  <si>
    <t>AE 8845 UT</t>
  </si>
  <si>
    <t>PT PATRA NIAGA 1</t>
  </si>
  <si>
    <t>AE 8846 UT</t>
  </si>
  <si>
    <t>AE 8857 UT</t>
  </si>
  <si>
    <t>AE 9401 UJ</t>
  </si>
  <si>
    <t>AE 8828 UQ</t>
  </si>
  <si>
    <t>AE 9634 UJ</t>
  </si>
  <si>
    <t>AG 8016 UC</t>
  </si>
  <si>
    <t>AG 8032 YQ</t>
  </si>
  <si>
    <t>AG 8070 UW</t>
  </si>
  <si>
    <t>AG 9312 UW</t>
  </si>
  <si>
    <t>B 9098 SEI</t>
  </si>
  <si>
    <t>B 9099 SEI</t>
  </si>
  <si>
    <t>N 8857 UR</t>
  </si>
  <si>
    <t>B 9713 SFU</t>
  </si>
  <si>
    <t>B 9869 SFV</t>
  </si>
  <si>
    <t>B 9884 SFU</t>
  </si>
  <si>
    <t>DK 8023 UK</t>
  </si>
  <si>
    <t>DK 8029 UK</t>
  </si>
  <si>
    <t>DK 8035 UI</t>
  </si>
  <si>
    <t>DK 8533 CE</t>
  </si>
  <si>
    <t>L 9155 UB</t>
  </si>
  <si>
    <t>L 9390 UU</t>
  </si>
  <si>
    <t>B 9105 SEI</t>
  </si>
  <si>
    <t>L 9718 UD</t>
  </si>
  <si>
    <t>N 8083 UQ</t>
  </si>
  <si>
    <t>N 9195 UF</t>
  </si>
  <si>
    <t>P 8172 UF</t>
  </si>
  <si>
    <t>AG 8079 UZ</t>
  </si>
  <si>
    <t>AG 8086 UF</t>
  </si>
  <si>
    <t>AG 8087 UF</t>
  </si>
  <si>
    <t>AG 8088 UF</t>
  </si>
  <si>
    <t>AG 8106 UC</t>
  </si>
  <si>
    <t>AG 8126 UF</t>
  </si>
  <si>
    <t>AG 8128 UF</t>
  </si>
  <si>
    <t>AG 8129 UF</t>
  </si>
  <si>
    <t>PT PATRA NIAGA</t>
  </si>
  <si>
    <t>AG 8152 UL</t>
  </si>
  <si>
    <t>AG 8225 UG</t>
  </si>
  <si>
    <t>AG 8263 UW</t>
  </si>
  <si>
    <t>AG 8374 UG</t>
  </si>
  <si>
    <t>AG 8380 KL</t>
  </si>
  <si>
    <t>AG 8384 UE</t>
  </si>
  <si>
    <t>B 9115 SEI</t>
  </si>
  <si>
    <t>B 9203 TEK</t>
  </si>
  <si>
    <t>B 9712 SFU</t>
  </si>
  <si>
    <t>B 9880 SFU</t>
  </si>
  <si>
    <t>DK 8139 TS</t>
  </si>
  <si>
    <t>DK 8141 JM</t>
  </si>
  <si>
    <t>DK 8146 BZ</t>
  </si>
  <si>
    <t>DK 8596 AO</t>
  </si>
  <si>
    <t>DK 8611 AO</t>
  </si>
  <si>
    <t>L 8083 CA</t>
  </si>
  <si>
    <t>L 9837 UJ</t>
  </si>
  <si>
    <t>N 8782 UR</t>
  </si>
  <si>
    <t>P 8277 UG</t>
  </si>
  <si>
    <t>AG 8223 LB</t>
  </si>
  <si>
    <t>AG 8654 UZ</t>
  </si>
  <si>
    <t>PC 2</t>
  </si>
  <si>
    <t>AG 8701 UO</t>
  </si>
  <si>
    <t>AG 8702 UO</t>
  </si>
  <si>
    <t>PT MADIUNI ELPIJI</t>
  </si>
  <si>
    <t>AG 8717 UO</t>
  </si>
  <si>
    <t>AG 8817 UK</t>
  </si>
  <si>
    <t>AG 8817 UT</t>
  </si>
  <si>
    <t>AG 8818 UK</t>
  </si>
  <si>
    <t>AG 8818 UT</t>
  </si>
  <si>
    <t>PT GAS ALAM BUMI REOG</t>
  </si>
  <si>
    <t>B 9088 SEI</t>
  </si>
  <si>
    <t>B 9882 SFU</t>
  </si>
  <si>
    <t>B 9883 SFU</t>
  </si>
  <si>
    <t>PT LIRBOYO INSAN GLOBAL</t>
  </si>
  <si>
    <t>DK 8148 TS</t>
  </si>
  <si>
    <t>DK 8170 UB</t>
  </si>
  <si>
    <t>PT PATRA LOGISTIK</t>
  </si>
  <si>
    <t>DK 8197 BK</t>
  </si>
  <si>
    <t>DK 8773 MG</t>
  </si>
  <si>
    <t>PT GANGSAR SENTOSA PETROLIUM</t>
  </si>
  <si>
    <t>DK 8837 HC</t>
  </si>
  <si>
    <t>DR 8105 LJ</t>
  </si>
  <si>
    <t>SPPBE-PT. Sembilan Semangat</t>
  </si>
  <si>
    <t>DR 8772 DC</t>
  </si>
  <si>
    <t>L 8013 UX</t>
  </si>
  <si>
    <t>L 8440 UD</t>
  </si>
  <si>
    <t>L 8537 UD</t>
  </si>
  <si>
    <t>N 9287 UN</t>
  </si>
  <si>
    <t>N 9307 WD</t>
  </si>
  <si>
    <t>N 9579 US</t>
  </si>
  <si>
    <t>PT DIAN EL HADA</t>
  </si>
  <si>
    <t>P 8176 UW</t>
  </si>
  <si>
    <t>W 9170 PD</t>
  </si>
  <si>
    <t>AE 8527 UJ</t>
  </si>
  <si>
    <t>AE 8858 UT</t>
  </si>
  <si>
    <t>AG 8115 UC</t>
  </si>
  <si>
    <t>AG 8893 YK</t>
  </si>
  <si>
    <t>SPPBE-PT. Anugrah Narwastu Raya</t>
  </si>
  <si>
    <t>AG 9151 UL</t>
  </si>
  <si>
    <t>AG 9153 UR</t>
  </si>
  <si>
    <t>AG 9753 UB</t>
  </si>
  <si>
    <t>B 9717 SFU</t>
  </si>
  <si>
    <t>B 9881 SFU</t>
  </si>
  <si>
    <t>DK 8198 BK</t>
  </si>
  <si>
    <t>PT NUR WISTARA ABADI</t>
  </si>
  <si>
    <t>DK 8203 KO</t>
  </si>
  <si>
    <t>DK 8204 KO</t>
  </si>
  <si>
    <t>PT SEKAWAN GAS NUSA</t>
  </si>
  <si>
    <t>DK 8859 CK</t>
  </si>
  <si>
    <t>DR 8129 AH</t>
  </si>
  <si>
    <t>PT DIAN RAMA GAS</t>
  </si>
  <si>
    <t>DR 8309 LH</t>
  </si>
  <si>
    <t>SPPBE-PT. Pande Agung Dewata</t>
  </si>
  <si>
    <t>L 8035 BL</t>
  </si>
  <si>
    <t>L 8036 UUB</t>
  </si>
  <si>
    <t>L 8063 BL</t>
  </si>
  <si>
    <t>PT ARGOPURO MAJU SUKSES</t>
  </si>
  <si>
    <t>L 8079 UQ</t>
  </si>
  <si>
    <t>L 8088 UR</t>
  </si>
  <si>
    <t>L 8107 UUA</t>
  </si>
  <si>
    <t>L 8418 AG</t>
  </si>
  <si>
    <t>L 8454 N</t>
  </si>
  <si>
    <t>L 8547 UI</t>
  </si>
  <si>
    <t>PT BINTANG CIPTA PERSADA</t>
  </si>
  <si>
    <t>L 8684 AG</t>
  </si>
  <si>
    <t>N 9910 UN</t>
  </si>
  <si>
    <t>P 8016 UW</t>
  </si>
  <si>
    <t>AE 8850 UT</t>
  </si>
  <si>
    <t>AG 8828 UW</t>
  </si>
  <si>
    <t>B 9123 SEI</t>
  </si>
  <si>
    <t>PT NAWA PELITA RAYA</t>
  </si>
  <si>
    <t>DK 8236 GH</t>
  </si>
  <si>
    <t>DK 8268 HH</t>
  </si>
  <si>
    <t>DK 8285 DT</t>
  </si>
  <si>
    <t>DR 8481 KO</t>
  </si>
  <si>
    <t>PT TRISINDO ADIKAMULIA</t>
  </si>
  <si>
    <t>DR 8527 KC</t>
  </si>
  <si>
    <t>L 8088 UO</t>
  </si>
  <si>
    <t>L 8088 UZ</t>
  </si>
  <si>
    <t>Data Company Belum Ada</t>
  </si>
  <si>
    <t>L 8099 UR</t>
  </si>
  <si>
    <t>L 8121 UUA</t>
  </si>
  <si>
    <t>L 8892 UU</t>
  </si>
  <si>
    <t>L 8973 UU</t>
  </si>
  <si>
    <t>L 9161 UB</t>
  </si>
  <si>
    <t>L 9290 UQ</t>
  </si>
  <si>
    <t>L 9476 UL</t>
  </si>
  <si>
    <t>L 9489 UL</t>
  </si>
  <si>
    <t>L 9507 UL</t>
  </si>
  <si>
    <t>L 9521 UL</t>
  </si>
  <si>
    <t>L 9532 UL</t>
  </si>
  <si>
    <t>L 9644 BB</t>
  </si>
  <si>
    <t>L 9822 UE</t>
  </si>
  <si>
    <t>P 8018 UF</t>
  </si>
  <si>
    <t>P 8046 Uf</t>
  </si>
  <si>
    <t>P 8312 UG</t>
  </si>
  <si>
    <t>W 8729 QD</t>
  </si>
  <si>
    <t>AE 8086 UT</t>
  </si>
  <si>
    <t>DK 8117 FS</t>
  </si>
  <si>
    <t>PT RAMA MANGGALA GAS</t>
  </si>
  <si>
    <t>DK 8302 HF</t>
  </si>
  <si>
    <t>PT. Ayu Sari Pertiwi</t>
  </si>
  <si>
    <t>DK 8352 GZ</t>
  </si>
  <si>
    <t>DR 8304 WZ</t>
  </si>
  <si>
    <t>DR 8528 KC</t>
  </si>
  <si>
    <t>DR 8542 AG</t>
  </si>
  <si>
    <t>L 8192 UX</t>
  </si>
  <si>
    <t>L 8303 UDD</t>
  </si>
  <si>
    <t>L 9552 UW</t>
  </si>
  <si>
    <t>M 8010 UB</t>
  </si>
  <si>
    <t>PT BUANA KARYA SURYA PRATAMA</t>
  </si>
  <si>
    <t>M 8016 UV</t>
  </si>
  <si>
    <t>M 8025 UN</t>
  </si>
  <si>
    <t>M 8068 UH</t>
  </si>
  <si>
    <t>PT NARA RIZKA MANUNGGAL</t>
  </si>
  <si>
    <t>PT MODERNA TEHNIK PERKASA</t>
  </si>
  <si>
    <t>M 8366 UG</t>
  </si>
  <si>
    <t>M 8978 UV</t>
  </si>
  <si>
    <t>SPPBE-PT. Harapan Jaya Utama</t>
  </si>
  <si>
    <t>M 9006 UV</t>
  </si>
  <si>
    <t>M 9026 UV</t>
  </si>
  <si>
    <t>PT UNIVERSAL ENERGY PRATAMA</t>
  </si>
  <si>
    <t>M 9028 UV</t>
  </si>
  <si>
    <t>M 9321 UV</t>
  </si>
  <si>
    <t>M 9352 UV</t>
  </si>
  <si>
    <t>M 9489 UN</t>
  </si>
  <si>
    <t>M 9715 UA</t>
  </si>
  <si>
    <t>P 8087 GG</t>
  </si>
  <si>
    <t>P 8150 UF</t>
  </si>
  <si>
    <t>W 8921 UR</t>
  </si>
  <si>
    <t>P 8257 UH</t>
  </si>
  <si>
    <t>PC 3</t>
  </si>
  <si>
    <t>B 9070 SEJ</t>
  </si>
  <si>
    <t>B 9158 SFW</t>
  </si>
  <si>
    <t>DK 8368 PA</t>
  </si>
  <si>
    <t>DK 8369 PA</t>
  </si>
  <si>
    <t>DK 8394 CP</t>
  </si>
  <si>
    <t>DK 8902 UW</t>
  </si>
  <si>
    <t>DR 8543 AG</t>
  </si>
  <si>
    <t>DR 8653 AG</t>
  </si>
  <si>
    <t>EA 8677 SC</t>
  </si>
  <si>
    <t>PT MUTUAL MAXEL</t>
  </si>
  <si>
    <t>L 8333 UCA</t>
  </si>
  <si>
    <t>L 9819 UJ</t>
  </si>
  <si>
    <t>L 9820 UJ</t>
  </si>
  <si>
    <t>M 9728 UA</t>
  </si>
  <si>
    <t>M 9757 UA</t>
  </si>
  <si>
    <t>N 8006 UT</t>
  </si>
  <si>
    <t>N 8041 UZ</t>
  </si>
  <si>
    <t>N 8182 EB</t>
  </si>
  <si>
    <t>N 8183 EB</t>
  </si>
  <si>
    <t>N 8299 UR</t>
  </si>
  <si>
    <t>PT HAKAMINDO PETROCHEM</t>
  </si>
  <si>
    <t>N 8327 ED</t>
  </si>
  <si>
    <t>N 8582 UE</t>
  </si>
  <si>
    <t>PT GOENADI GASINDO PRATAMA</t>
  </si>
  <si>
    <t>N 8657 UV</t>
  </si>
  <si>
    <t>N 8660 UH</t>
  </si>
  <si>
    <t>N 8661 UR</t>
  </si>
  <si>
    <t>N 8673 UV</t>
  </si>
  <si>
    <t>N 8674 UV</t>
  </si>
  <si>
    <t>PT SUMINAR MITRAGAS SELARAS</t>
  </si>
  <si>
    <t>P 8256 UW</t>
  </si>
  <si>
    <t>P 8360 UG</t>
  </si>
  <si>
    <t>B 9069 SEJ</t>
  </si>
  <si>
    <t>AG 8063 UZ</t>
  </si>
  <si>
    <t>PT BINA ANUGERAH INTI KIMIA</t>
  </si>
  <si>
    <t>AG 8913 UK</t>
  </si>
  <si>
    <t>PT GEHA INTI CITRA</t>
  </si>
  <si>
    <t>B 9873 SFV</t>
  </si>
  <si>
    <t>B 9874 SFV</t>
  </si>
  <si>
    <t>DK 8100 CL</t>
  </si>
  <si>
    <t>PERUBAHAN NAMA NOPOL DK 8369 5 JULY 2026</t>
  </si>
  <si>
    <t>DK 8547 CV</t>
  </si>
  <si>
    <t>DK 8565 BS</t>
  </si>
  <si>
    <t>DK 8967 CA</t>
  </si>
  <si>
    <t>DR 8654 AI</t>
  </si>
  <si>
    <t>DR 8751 AF</t>
  </si>
  <si>
    <t>EA 8678 SC</t>
  </si>
  <si>
    <t>N 8079 US</t>
  </si>
  <si>
    <t>PT SINAR HASIL BUANA</t>
  </si>
  <si>
    <t>N 8714 US</t>
  </si>
  <si>
    <t>N 8776 UT</t>
  </si>
  <si>
    <t>N 8777 UG</t>
  </si>
  <si>
    <t>N 8799 UG</t>
  </si>
  <si>
    <t>N 9162 UV</t>
  </si>
  <si>
    <t>N 9262 UF</t>
  </si>
  <si>
    <t>N 9286 UN</t>
  </si>
  <si>
    <t>N 9344 EE</t>
  </si>
  <si>
    <t>N 9422 UU</t>
  </si>
  <si>
    <t>N 9424 UU</t>
  </si>
  <si>
    <t>N 9509 UG</t>
  </si>
  <si>
    <t>N 9659 UG</t>
  </si>
  <si>
    <t>P 8427 UG</t>
  </si>
  <si>
    <t>SPPBE-PT. Pancadarma Puspawira Putra</t>
  </si>
  <si>
    <t>P 8436 UA</t>
  </si>
  <si>
    <t>W 9205 NY</t>
  </si>
  <si>
    <t>PT KARYA USAHA MANDIRI LESTARI</t>
  </si>
  <si>
    <t>AG 8056 OA</t>
  </si>
  <si>
    <t>PT PANDU MANUNGGAL KARSA</t>
  </si>
  <si>
    <t>B 9202 TEK</t>
  </si>
  <si>
    <t>B 9870 SFV</t>
  </si>
  <si>
    <t>PT PERMATA ENERGI BUMI INDONESIA</t>
  </si>
  <si>
    <t>DK 8305 BW</t>
  </si>
  <si>
    <t>DK 8584 OL</t>
  </si>
  <si>
    <t>SPPBE-PT. Sari Dharma Mandiri</t>
  </si>
  <si>
    <t>DK 8587 OL</t>
  </si>
  <si>
    <t>DK 8588 OL</t>
  </si>
  <si>
    <t>PT HELA CITRA AGUNG</t>
  </si>
  <si>
    <t>DR 8116 WZ</t>
  </si>
  <si>
    <t>DR 8792 KC</t>
  </si>
  <si>
    <t>EA 8681 SC</t>
  </si>
  <si>
    <t>PT RADIMA JAYA KEDIRI</t>
  </si>
  <si>
    <t>L 8063 UUA</t>
  </si>
  <si>
    <t>L 8115 UUC</t>
  </si>
  <si>
    <t>N 8469 US</t>
  </si>
  <si>
    <t>SPPBE-PT. Ayu Sari Pertiwi</t>
  </si>
  <si>
    <t>N 8834 US</t>
  </si>
  <si>
    <t>N 9425 UU</t>
  </si>
  <si>
    <t>N 9478 UG</t>
  </si>
  <si>
    <t>W 8637 DV</t>
  </si>
  <si>
    <t>N 9578 US</t>
  </si>
  <si>
    <t>PT AGUNG CATUR UTAMA GROUP</t>
  </si>
  <si>
    <t>N 9661 UG</t>
  </si>
  <si>
    <t>PT BINA MAKMUR SENTOSA LESTARI</t>
  </si>
  <si>
    <t>P 8208 UG</t>
  </si>
  <si>
    <t>P 8435 UA</t>
  </si>
  <si>
    <t>SPPBE-PT. Dasico Panca Rena</t>
  </si>
  <si>
    <t>P 8726 UG</t>
  </si>
  <si>
    <t>S 7850 UN</t>
  </si>
  <si>
    <t>S 8052 UZ</t>
  </si>
  <si>
    <t>S 8061 UC</t>
  </si>
  <si>
    <t>S 8104 UH</t>
  </si>
  <si>
    <t>S 8141 UZ</t>
  </si>
  <si>
    <t>SPPBE-PT. Gaya Investama</t>
  </si>
  <si>
    <t>S 8236 UZ</t>
  </si>
  <si>
    <t>PT LAJU</t>
  </si>
  <si>
    <t>S 8290 AI</t>
  </si>
  <si>
    <t>PT SURYA ADHILESTARI</t>
  </si>
  <si>
    <t>B 9113 SEI</t>
  </si>
  <si>
    <t>B 9868 SFV</t>
  </si>
  <si>
    <t>B 9871 SFV</t>
  </si>
  <si>
    <t>DK 8053 DN</t>
  </si>
  <si>
    <t>DK 8640 VM</t>
  </si>
  <si>
    <t>DK 8694 KP</t>
  </si>
  <si>
    <t>DK 8735 DQ</t>
  </si>
  <si>
    <t>EA 8670 SC</t>
  </si>
  <si>
    <t>N 8756 UB</t>
  </si>
  <si>
    <t>N 8757 UB</t>
  </si>
  <si>
    <t>P 8821 UW</t>
  </si>
  <si>
    <t>P 9114 UG</t>
  </si>
  <si>
    <t>P 9115 UG</t>
  </si>
  <si>
    <t>S 8058 UL</t>
  </si>
  <si>
    <t>S 8237 UZ</t>
  </si>
  <si>
    <t>PT ANDHIKA PUTRA TRIGAS LENTERA</t>
  </si>
  <si>
    <t>S 8319 UZ</t>
  </si>
  <si>
    <t>S 8347 UQ</t>
  </si>
  <si>
    <t>S 8543 UN</t>
  </si>
  <si>
    <t>PC 4</t>
  </si>
  <si>
    <t>S 8548 UN</t>
  </si>
  <si>
    <t>S 8560 UC</t>
  </si>
  <si>
    <t>SPPBE-PT. Om Agus</t>
  </si>
  <si>
    <t>S 8561 UC</t>
  </si>
  <si>
    <t>S 8672 UC</t>
  </si>
  <si>
    <t>S 8752 UC</t>
  </si>
  <si>
    <t>S 8848 UF</t>
  </si>
  <si>
    <t>PT ADAM TRANS</t>
  </si>
  <si>
    <t>S 8943 UU</t>
  </si>
  <si>
    <t>S 8977 UL</t>
  </si>
  <si>
    <t>W 8059 UD</t>
  </si>
  <si>
    <t>SPPBE-PT. Surya Adiguna Indogas</t>
  </si>
  <si>
    <t>PT DHARMA TECH INFOMEDIA</t>
  </si>
  <si>
    <t>B 9872 SFV</t>
  </si>
  <si>
    <t>DK 8078 HJ</t>
  </si>
  <si>
    <t>PT. SUMBAWA DUTA ENERGY</t>
  </si>
  <si>
    <t>DK 8636 BE</t>
  </si>
  <si>
    <t>DK 8737 DQ</t>
  </si>
  <si>
    <t>DK 8781 HB</t>
  </si>
  <si>
    <t>PT SURYA ADI LESTARI</t>
  </si>
  <si>
    <t>DK 8834 BM</t>
  </si>
  <si>
    <t>SPPBE-PT. Bintang Energi Abadi</t>
  </si>
  <si>
    <t>EA 8671 SC</t>
  </si>
  <si>
    <t>L 9828 UJ</t>
  </si>
  <si>
    <t>N 8025 UZ</t>
  </si>
  <si>
    <t>P 8824 UI</t>
  </si>
  <si>
    <t>PT SENTOSA GASINDO RAYA</t>
  </si>
  <si>
    <t>P 8970 UG</t>
  </si>
  <si>
    <t>S 8936 UM</t>
  </si>
  <si>
    <t>S 8940 UF</t>
  </si>
  <si>
    <t>S 9010 NI</t>
  </si>
  <si>
    <t>S 9096 UH</t>
  </si>
  <si>
    <t>PT CAHAYA ANUGERAH GASINDO</t>
  </si>
  <si>
    <t>S 9343 UZ</t>
  </si>
  <si>
    <t>S 9611 UJ</t>
  </si>
  <si>
    <t>S 9614 UJ</t>
  </si>
  <si>
    <t>S 9650 UE</t>
  </si>
  <si>
    <t>PT PETROGAS JATIM UTAMA</t>
  </si>
  <si>
    <t>S 9973 UQ</t>
  </si>
  <si>
    <t>W 8041 UW</t>
  </si>
  <si>
    <t>SPPBE-PT. Permata Indah Dewata</t>
  </si>
  <si>
    <t>W 8057 UD</t>
  </si>
  <si>
    <t>W 8180 UQ</t>
  </si>
  <si>
    <t>W 8193 PF</t>
  </si>
  <si>
    <t>PT MEGA HULU ENERGI</t>
  </si>
  <si>
    <t>W 8303 PG</t>
  </si>
  <si>
    <t>W 8353 UR</t>
  </si>
  <si>
    <t>W 8409 UQ</t>
  </si>
  <si>
    <t>PT MEGA HULU ENEGRI</t>
  </si>
  <si>
    <t>W 8042 UD</t>
  </si>
  <si>
    <t>PT KARYA USAHA LESTARI</t>
  </si>
  <si>
    <t>PT GELORA MERATUS MANDIRI</t>
  </si>
  <si>
    <t>PT SUMAN GAUNG PERSADA</t>
  </si>
  <si>
    <t>SPPBE-PT. Prapen Ananda Dewata</t>
  </si>
  <si>
    <t>PC 5</t>
  </si>
  <si>
    <t>PT TATA BERSAMA</t>
  </si>
  <si>
    <t>PT ANDHIKA DIAN UTAMA</t>
  </si>
  <si>
    <t>SPPBE-PT. Kiani Pasifik Nusantara</t>
  </si>
  <si>
    <t>PT MULTI BERKAH AMANAH</t>
  </si>
  <si>
    <t>PT MAHKOTA MIGAS PERKASA</t>
  </si>
  <si>
    <t>PT LAMONGAN JOYO</t>
  </si>
  <si>
    <t>SPPBE-PT. Gasari Mas Timur</t>
  </si>
  <si>
    <t>PT GUBAH TIARA PERKASA</t>
  </si>
  <si>
    <t>PT TRIJAYA ADYMIX BANGKALAN</t>
  </si>
  <si>
    <t>PT KARYA GEMILANG GAS SEJAHTERA</t>
  </si>
  <si>
    <t>PT SWARNA BINA UTAMA</t>
  </si>
  <si>
    <t>PT OM AGUS</t>
  </si>
  <si>
    <t/>
  </si>
  <si>
    <t>PC 6</t>
  </si>
  <si>
    <t xml:space="preserve">NOPOL </t>
  </si>
  <si>
    <t xml:space="preserve">TLPG </t>
  </si>
  <si>
    <t>TLPG</t>
  </si>
  <si>
    <t>JARAK</t>
  </si>
  <si>
    <t>STATUS</t>
  </si>
  <si>
    <t>KOORDINAT TLPG</t>
  </si>
  <si>
    <t>KOORDINAT PERUSAHAAN</t>
  </si>
  <si>
    <t>KATEGORI</t>
  </si>
  <si>
    <t>BOBOT</t>
  </si>
  <si>
    <t>PT BAKTI NUSA PERDANA</t>
  </si>
  <si>
    <t>PT ASAPERKASA ABIMULYA</t>
  </si>
  <si>
    <t>PT ARIA ENERGY PERSADA</t>
  </si>
  <si>
    <t>SPPBE-PT. Dinamika Utama Karya</t>
  </si>
  <si>
    <t>SPPBE-PT. Putra Bali Dwipa</t>
  </si>
  <si>
    <t>PC SEKARANG</t>
  </si>
  <si>
    <t>PT GAS MADURA PRATAMA</t>
  </si>
  <si>
    <t>PC 7</t>
  </si>
  <si>
    <t>PT ANUGRAH SURYA MANDALA</t>
  </si>
  <si>
    <t>PT WIN MED INDONESIA</t>
  </si>
  <si>
    <t>PT SINAR WAHANA SURYA</t>
  </si>
  <si>
    <t>PT PERAK POLANA ALOMAMPA</t>
  </si>
  <si>
    <t>OK</t>
  </si>
  <si>
    <t>SPPBE-PT. Sadikun LPG 3Kg</t>
  </si>
  <si>
    <t>SPPBE-PT. Lombok Menara Energigas</t>
  </si>
  <si>
    <t>PT TRI TUNGGAL ARGOPURO MANDIRI</t>
  </si>
  <si>
    <t>PT MITRA MADURA DHARMA ABADI</t>
  </si>
  <si>
    <t>PT TRIEN GASMIKU</t>
  </si>
  <si>
    <t>PT ANUGERAH SUMBER BERKAT</t>
  </si>
  <si>
    <t>SPPBE-PT. Candra Karya Gas</t>
  </si>
  <si>
    <t>PT ANUGERAH JATI UTAMA</t>
  </si>
  <si>
    <t>PC 8</t>
  </si>
  <si>
    <t>PT TRIMEGAH FARGASINDO</t>
  </si>
  <si>
    <t>PT BERINGIN GAS LESTARI</t>
  </si>
  <si>
    <t>PT SUMBER BINA USAHA MANDIRI</t>
  </si>
  <si>
    <t>PT NAUMI ARUMAH ZOE</t>
  </si>
  <si>
    <t>PT SOLUSINDO INNOVATIVE</t>
  </si>
  <si>
    <t>PT LA TUNSA</t>
  </si>
  <si>
    <t>PT AGAM SEULAWAH JAYA</t>
  </si>
  <si>
    <t>PT SEMBILAN SEMBILAN TUBAN PERDANA</t>
  </si>
  <si>
    <t>PT SUMBER MAKMUR MEGAH ABADI</t>
  </si>
  <si>
    <t>PT. BIMA OIL INTERNUSA</t>
  </si>
  <si>
    <t>PT BUMI GASINDO RAYA</t>
  </si>
  <si>
    <t>PT BHUMI PERMATA INDAH</t>
  </si>
  <si>
    <t>SPPBE-PT. Prapen Artha Dewata</t>
  </si>
  <si>
    <t>PT PATERMAN PETRONIAGA</t>
  </si>
  <si>
    <t>PC 9</t>
  </si>
  <si>
    <t>PT PURBAYA BAGELEN MANDIRI</t>
  </si>
  <si>
    <t>SPPBE-PT. Segara Windhu Dewata</t>
  </si>
  <si>
    <t>PT SURYA MITRA IMPREZA PRATAMA</t>
  </si>
  <si>
    <t>PT ZATALINI CIPTA PERSADA</t>
  </si>
  <si>
    <t>PT DIVA GAS</t>
  </si>
  <si>
    <t>PT LAMONGAN GAS LESTARI</t>
  </si>
  <si>
    <t>PT CATUR MITRA LAMONGAN PRIMA GAS</t>
  </si>
  <si>
    <t>PT. Gaya Investama</t>
  </si>
  <si>
    <t>PT SUMBER GAS INTI UTAMA</t>
  </si>
  <si>
    <t>PT GAS BUMI NUSANTARA JAYA</t>
  </si>
  <si>
    <t>PT AMANATUL UMMAH GAS</t>
  </si>
  <si>
    <t>PC 10</t>
  </si>
  <si>
    <t>PT BUANATAMA CAHAYA LESTARI</t>
  </si>
  <si>
    <t>PT TRIJAYA ADYMIX MANDIRI</t>
  </si>
  <si>
    <t>PT KURNIAWAN MEKAR AGUNG ABADI</t>
  </si>
  <si>
    <t>PT ANTARES JAYA SAKTI</t>
  </si>
  <si>
    <t>PT KURNIAWAN MEKAR A.A</t>
  </si>
  <si>
    <t>PT CAHAYA NEGERI</t>
  </si>
  <si>
    <t>PT SINAR AGUNG PUTRA ABADI</t>
  </si>
  <si>
    <t>PT CAHAYA ASTIKA DHARMA</t>
  </si>
  <si>
    <t>PT KARYA MEGA GAS MANDIRI</t>
  </si>
  <si>
    <t>SPPBE-PT. Cahaya Astika Dharma</t>
  </si>
  <si>
    <t>PT TRIAS MULTI NASIONAL</t>
  </si>
  <si>
    <t>PT SRI MUKTI RAYA</t>
  </si>
  <si>
    <t>PT KARYA JAYA LESTARI</t>
  </si>
  <si>
    <t>PC 11</t>
  </si>
  <si>
    <t>PT RACHMASARI BRASS INDONESIA</t>
  </si>
  <si>
    <t>PT. SUMBAWA DUTA ENERGI</t>
  </si>
  <si>
    <t>PT PROFIL SUKSES ABADI</t>
  </si>
  <si>
    <t>PT SUGIHARTO BERJAYA</t>
  </si>
  <si>
    <t>PT BONGKARAN ENERGI</t>
  </si>
  <si>
    <t>ERROR: Service invoked too many times for one day: route.</t>
  </si>
  <si>
    <t>PC 12</t>
  </si>
  <si>
    <t>JAUH</t>
  </si>
  <si>
    <t>L 8229 NF</t>
  </si>
  <si>
    <t>B 9144 SEJ</t>
  </si>
  <si>
    <t>LONGLAT</t>
  </si>
  <si>
    <t>-8.098007887789857, 112.67242500965405</t>
  </si>
  <si>
    <t>-8.076189393787326, 112.23016212268685</t>
  </si>
  <si>
    <t>-7.616120955612881, 112.53741549199214</t>
  </si>
  <si>
    <t>-7.2423822066941215, 112.69447788891884</t>
  </si>
  <si>
    <t>-7.242658423271152, 112.6945143648589</t>
  </si>
  <si>
    <t>-7.490760492490211, 112.62539867849952</t>
  </si>
  <si>
    <t>-7.614773969964553, 112.71121954210973</t>
  </si>
  <si>
    <t>-7.739292703683094, 112.77811053201322</t>
  </si>
  <si>
    <t>-8.03906528133318, 112.61029678275024</t>
  </si>
  <si>
    <t>-8.183875830055694, 114.36222926711594</t>
  </si>
  <si>
    <t>-7.971926214579004, 113.79943786838119</t>
  </si>
  <si>
    <t>-7.215552606970101, 113.35446796871307</t>
  </si>
  <si>
    <t>-7.199748218489622, 112.63929596723548</t>
  </si>
  <si>
    <t>-8.115406105428027, 112.55792935152363</t>
  </si>
  <si>
    <t>-7.759043461569343, 113.19244280481355</t>
  </si>
  <si>
    <t>-7.623221037073586, 112.81530028747939</t>
  </si>
  <si>
    <t>-8.209339259243507, 113.7259703969949</t>
  </si>
  <si>
    <t>-8.084902676848168, 111.71029249586367</t>
  </si>
  <si>
    <t>-7.343901215225865, 112.7586698871636</t>
  </si>
  <si>
    <t>-7.879247280950652, 111.48568793157652</t>
  </si>
  <si>
    <t>-7.678141999485602, 112.94779212291641</t>
  </si>
  <si>
    <t>-8.235535972259855, 113.5747650547083</t>
  </si>
  <si>
    <t>-7.193539270333125, 112.64047369384164</t>
  </si>
  <si>
    <t>-8.318336825195194, 115.36059537579473</t>
  </si>
  <si>
    <t>-7.136922328243007, 111.8152299474836</t>
  </si>
  <si>
    <t>-7.088661989455614, 112.33412154095103</t>
  </si>
  <si>
    <t>-7.604701007496426, 111.99527190426026</t>
  </si>
  <si>
    <t>-8.109602080825715, 111.76869364949222</t>
  </si>
  <si>
    <t>-7.814636249471128, 112.08245883540913</t>
  </si>
  <si>
    <t>-7.588891785169581, 112.20342849001652</t>
  </si>
  <si>
    <t>-8.109561205860269, 112.01521319205663</t>
  </si>
  <si>
    <t>-7.834743437237973, 111.48357492268443</t>
  </si>
  <si>
    <t>-7.5929458046787595, 112.12675242049964</t>
  </si>
  <si>
    <t>-7.219350074001657, 113.42586363278424</t>
  </si>
  <si>
    <t>-7.910804213977124, 112.6211504585962</t>
  </si>
  <si>
    <t>-7.60490472138835, 112.82201980955189</t>
  </si>
  <si>
    <t>-7.264626816889317, 112.70067502631132</t>
  </si>
  <si>
    <t>-7.244034734594845, 112.68083884556799</t>
  </si>
  <si>
    <t>-7.7932455650343995, 113.32764344583418</t>
  </si>
  <si>
    <t>-8.084457637552449, 111.96056645007089</t>
  </si>
  <si>
    <t>-8.209318369107072, 113.72599826686955</t>
  </si>
  <si>
    <t>-7.444291731342459, 112.73546747607088</t>
  </si>
  <si>
    <t>-7.525895975760226, 112.69269746130115</t>
  </si>
  <si>
    <t>-7.670250551206744, 111.91302374089334</t>
  </si>
  <si>
    <t>-7.471780193608859, 111.42981968941199</t>
  </si>
  <si>
    <t>-7.1615437520195675, 111.63705730006576</t>
  </si>
  <si>
    <t>-7.164935603441255, 112.03860801596035</t>
  </si>
  <si>
    <t>-7.63067321932769, 111.90547004884161</t>
  </si>
  <si>
    <t>-7.1012023947750125, 112.21670364834188</t>
  </si>
  <si>
    <t>-7.6058779294936, 112.06978060856616</t>
  </si>
  <si>
    <t>-7.861774259672683, 112.03267990817523</t>
  </si>
  <si>
    <t>-7.55209311653006, 111.6970825901112</t>
  </si>
  <si>
    <t>-7.822736134225171, 113.2274201718088</t>
  </si>
  <si>
    <t>-8.228732828135726, 113.65583502155648</t>
  </si>
  <si>
    <t>-7.0966752804066555, 113.81822839938023</t>
  </si>
  <si>
    <t>-8.132947978728062, 112.13214732498561</t>
  </si>
  <si>
    <t>-7.224067725641867, 112.70418360475718</t>
  </si>
  <si>
    <t>-8.084367375389595, 111.96057633481439</t>
  </si>
  <si>
    <t>-7.901804933186881, 112.02668190362729</t>
  </si>
  <si>
    <t>-6.787977822230522, 111.70503097056276</t>
  </si>
  <si>
    <t>-7.359505897237556, 112.68392193818326</t>
  </si>
  <si>
    <t>-7.410023627653789, 111.47550424820821</t>
  </si>
  <si>
    <t>-8.720187644147899, 116.07450482981622</t>
  </si>
  <si>
    <t>-7.749217011747071, 112.03374963310648</t>
  </si>
  <si>
    <t>-7.543381033074753, 112.40979480253507</t>
  </si>
  <si>
    <t>-7.118636503796531, 113.77641553408564</t>
  </si>
  <si>
    <t>-7.173746870643654, 112.62136808657895</t>
  </si>
  <si>
    <t>-7.0942612566103405, 112.29796414368377</t>
  </si>
  <si>
    <t>-7.006169165400142, 112.1346354612337</t>
  </si>
  <si>
    <t>-8.096801604357731, 112.18220246923711</t>
  </si>
  <si>
    <t>-7.731653065260299, 112.14678515432527</t>
  </si>
  <si>
    <t>-7.672244588757425, 111.399318463261</t>
  </si>
  <si>
    <t>-7.004587233024438, 112.13331401673868</t>
  </si>
  <si>
    <t>-8.105570240769127, 113.25566251010493</t>
  </si>
  <si>
    <t>-8.140639112582104, 113.24288988856287</t>
  </si>
  <si>
    <t>-7.7492741291312, 112.03352159834525</t>
  </si>
  <si>
    <t>-7.995451006439848, 111.9362872174144</t>
  </si>
  <si>
    <t>-8.039195517429562, 112.61050057482242</t>
  </si>
  <si>
    <t>-7.120520536659684, 112.46067041312722</t>
  </si>
  <si>
    <t>-7.132236864321283, 112.61360159788792</t>
  </si>
  <si>
    <t>-7.343775163586886, 112.75869639278233</t>
  </si>
  <si>
    <t>-7.576161816552032, 112.18253050412837</t>
  </si>
  <si>
    <t>-7.739364564825094, 113.12634293665513</t>
  </si>
  <si>
    <t>-8.052554144850264, 113.7756839083474</t>
  </si>
  <si>
    <t>-7.402448574562276, 111.39967992037458</t>
  </si>
  <si>
    <t>-7.8367228841952175, 112.05802528595638</t>
  </si>
  <si>
    <t>PT SURYA ADI LESTAR</t>
  </si>
  <si>
    <t>-7.678166594138383, 112.94780073122395</t>
  </si>
  <si>
    <t>-7.191468687505368, 111.92169305996842</t>
  </si>
  <si>
    <t>-7.557746950321399, 112.55761371619027</t>
  </si>
  <si>
    <t>-8.200783105056905, 113.54431122765624</t>
  </si>
  <si>
    <t>-7.444445046994529, 112.68343054235169</t>
  </si>
  <si>
    <t>-7.876356051047304, 112.68834030244933</t>
  </si>
  <si>
    <t>-7.095473583101526, 112.79716912696946</t>
  </si>
  <si>
    <t>-7.564115246483624, 112.32550520634713</t>
  </si>
  <si>
    <t>-7.5131672323937995, 112.42362782017375</t>
  </si>
  <si>
    <t>-7.55639698110663, 111.42665588033401</t>
  </si>
  <si>
    <t>-7.199690597978902, 112.63913107063003</t>
  </si>
  <si>
    <t>-7.470797401083355, 112.56310279545893</t>
  </si>
  <si>
    <t>-8.048465679770125, 112.6417271521968</t>
  </si>
  <si>
    <t>-8.176693652789284, 115.00358837055657</t>
  </si>
  <si>
    <t>-8.09053607810492, 115.17681684154483</t>
  </si>
  <si>
    <t>PT. Prapen Ananda Dewata</t>
  </si>
  <si>
    <t>-8.531223823111107, 115.4957935166925</t>
  </si>
  <si>
    <t>-8.526610219970085, 117.41948937098523</t>
  </si>
  <si>
    <t>-8.531889087270354, 116.63823623710071</t>
  </si>
  <si>
    <t>-8.63352462568205, 116.43790941602066</t>
  </si>
  <si>
    <t>-8.318307828172028, 115.36057245868871</t>
  </si>
  <si>
    <t>-8.60490527416331, 115.23575573605264</t>
  </si>
  <si>
    <t>-8.59354194898109, 115.33777733257733</t>
  </si>
  <si>
    <t>-8.249443047905102, 116.26830035611363</t>
  </si>
  <si>
    <t>-8.45553539510849, 115.60228314415517</t>
  </si>
  <si>
    <t>-8.592038661293746, 116.24686255195239</t>
  </si>
  <si>
    <t>-8.582360747970581, 115.12620459535853</t>
  </si>
  <si>
    <t>-8.665169562935535, 116.15322287230633</t>
  </si>
  <si>
    <t>-8.592744146752992, 116.29455490550856</t>
  </si>
  <si>
    <t>-8.56709037351299, 115.3964158129068</t>
  </si>
  <si>
    <t>-8.437163781385188, 114.86379993252038</t>
  </si>
  <si>
    <t>-8.697862228020872, 116.20081245889016</t>
  </si>
  <si>
    <t>-8.531027437564893, 115.4957452294829</t>
  </si>
  <si>
    <t>-8.398676673158386, 115.32623697915217</t>
  </si>
  <si>
    <t>-8.562904448757598, 115.23399506847252</t>
  </si>
  <si>
    <t>-8.716682612313125, 115.21748833001745</t>
  </si>
  <si>
    <t>-8.634966864512768, 115.2445496960891</t>
  </si>
  <si>
    <t>-8.375766227590393, 115.35412728570678</t>
  </si>
  <si>
    <t>-8.362243075746033, 115.1904744944812</t>
  </si>
  <si>
    <t>-8.620797184538066, 116.08694469811925</t>
  </si>
  <si>
    <t>LONGLATITUDE</t>
  </si>
  <si>
    <t>-7.203807110524606, 112.71950675497641</t>
  </si>
  <si>
    <t>-8.16862812274526, 114.38753900822569</t>
  </si>
  <si>
    <t>-7.109201954744449, 112.62272164861744</t>
  </si>
  <si>
    <t>-8.509457097470957, 115.50344705076587</t>
  </si>
  <si>
    <t>-8.749911797697688, 116.03590255003817</t>
  </si>
  <si>
    <t>-8.477696591405829, 118.71143008615176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</si>
</sst>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4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0" fillId="3" fontId="6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/>
    </xf>
    <xf borderId="0" fillId="4" fontId="5" numFmtId="0" xfId="0" applyAlignment="1" applyFill="1" applyFont="1">
      <alignment horizontal="center"/>
    </xf>
    <xf borderId="0" fillId="0" fontId="5" numFmtId="0" xfId="0" applyAlignment="1" applyFont="1">
      <alignment horizontal="center" vertical="center"/>
    </xf>
    <xf borderId="0" fillId="4" fontId="7" numFmtId="0" xfId="0" applyAlignment="1" applyFont="1">
      <alignment horizontal="center" readingOrder="0" textRotation="90" vertical="center"/>
    </xf>
    <xf borderId="1" fillId="4" fontId="1" numFmtId="0" xfId="0" applyAlignment="1" applyBorder="1" applyFont="1">
      <alignment horizontal="center"/>
    </xf>
    <xf borderId="0" fillId="5" fontId="5" numFmtId="0" xfId="0" applyAlignment="1" applyFill="1" applyFont="1">
      <alignment horizontal="center"/>
    </xf>
    <xf borderId="0" fillId="4" fontId="3" numFmtId="0" xfId="0" applyAlignment="1" applyFont="1">
      <alignment horizontal="center" readingOrder="0" vertical="bottom"/>
    </xf>
    <xf borderId="0" fillId="6" fontId="3" numFmtId="0" xfId="0" applyAlignment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0" fillId="7" fontId="2" numFmtId="0" xfId="0" applyAlignment="1" applyFill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7" fontId="3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7" fontId="4" numFmtId="0" xfId="0" applyAlignment="1" applyFont="1">
      <alignment horizontal="center" readingOrder="0" vertical="center"/>
    </xf>
    <xf borderId="0" fillId="7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7" fontId="5" numFmtId="0" xfId="0" applyAlignment="1" applyFont="1">
      <alignment horizontal="center"/>
    </xf>
    <xf borderId="0" fillId="7" fontId="7" numFmtId="0" xfId="0" applyAlignment="1" applyFont="1">
      <alignment horizontal="center" readingOrder="0" textRotation="90" vertical="center"/>
    </xf>
    <xf borderId="0" fillId="0" fontId="1" numFmtId="0" xfId="0" applyFont="1"/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vertical="bottom"/>
    </xf>
    <xf borderId="0" fillId="2" fontId="4" numFmtId="0" xfId="0" applyAlignment="1" applyFont="1">
      <alignment horizontal="center" readingOrder="0" vertical="center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8" fontId="5" numFmtId="0" xfId="0" applyAlignment="1" applyFill="1" applyFont="1">
      <alignment horizontal="center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0" fillId="7" fontId="5" numFmtId="0" xfId="0" applyFont="1"/>
    <xf borderId="0" fillId="7" fontId="5" numFmtId="0" xfId="0" applyAlignment="1" applyFont="1">
      <alignment readingOrder="0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.5"/>
    <col customWidth="1" min="3" max="3" width="10.5"/>
    <col customWidth="1" min="4" max="4" width="16.5"/>
    <col customWidth="1" min="5" max="5" width="4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0</v>
      </c>
    </row>
    <row r="2">
      <c r="A2" s="4">
        <v>1.0</v>
      </c>
      <c r="B2" s="5">
        <v>1.0</v>
      </c>
      <c r="C2" s="6" t="s">
        <v>4</v>
      </c>
      <c r="D2" s="7" t="s">
        <v>5</v>
      </c>
      <c r="E2" s="8">
        <v>1.0</v>
      </c>
    </row>
    <row r="3">
      <c r="B3" s="5">
        <v>2.0</v>
      </c>
      <c r="C3" s="6" t="s">
        <v>6</v>
      </c>
      <c r="D3" s="7" t="s">
        <v>7</v>
      </c>
      <c r="E3" s="8">
        <v>1.0</v>
      </c>
    </row>
    <row r="4">
      <c r="B4" s="5">
        <v>3.0</v>
      </c>
      <c r="C4" s="6" t="s">
        <v>8</v>
      </c>
      <c r="D4" s="7" t="s">
        <v>7</v>
      </c>
      <c r="E4" s="8">
        <v>1.0</v>
      </c>
    </row>
    <row r="5">
      <c r="B5" s="5">
        <v>4.0</v>
      </c>
      <c r="C5" s="6" t="s">
        <v>9</v>
      </c>
      <c r="D5" s="7" t="s">
        <v>7</v>
      </c>
      <c r="E5" s="8">
        <v>1.0</v>
      </c>
    </row>
    <row r="6">
      <c r="B6" s="5">
        <v>5.0</v>
      </c>
      <c r="C6" s="6" t="s">
        <v>10</v>
      </c>
      <c r="D6" s="7" t="s">
        <v>7</v>
      </c>
      <c r="E6" s="8">
        <v>1.0</v>
      </c>
    </row>
    <row r="7">
      <c r="B7" s="5">
        <v>6.0</v>
      </c>
      <c r="C7" s="6" t="s">
        <v>13</v>
      </c>
      <c r="D7" s="7" t="s">
        <v>7</v>
      </c>
      <c r="E7" s="8">
        <v>1.0</v>
      </c>
    </row>
    <row r="8">
      <c r="B8" s="5">
        <v>7.0</v>
      </c>
      <c r="C8" s="6" t="s">
        <v>15</v>
      </c>
      <c r="D8" s="7" t="s">
        <v>7</v>
      </c>
      <c r="E8" s="8">
        <v>1.0</v>
      </c>
    </row>
    <row r="9">
      <c r="B9" s="5">
        <v>8.0</v>
      </c>
      <c r="C9" s="6" t="s">
        <v>16</v>
      </c>
      <c r="D9" s="7" t="s">
        <v>7</v>
      </c>
      <c r="E9" s="8">
        <v>1.0</v>
      </c>
    </row>
    <row r="10">
      <c r="B10" s="5">
        <v>9.0</v>
      </c>
      <c r="C10" s="6" t="s">
        <v>17</v>
      </c>
      <c r="D10" s="7" t="s">
        <v>7</v>
      </c>
      <c r="E10" s="8">
        <v>1.0</v>
      </c>
    </row>
    <row r="11">
      <c r="B11" s="5">
        <v>10.0</v>
      </c>
      <c r="C11" s="6" t="s">
        <v>18</v>
      </c>
      <c r="D11" s="7" t="s">
        <v>7</v>
      </c>
      <c r="E11" s="8">
        <v>1.0</v>
      </c>
    </row>
    <row r="12">
      <c r="B12" s="5">
        <v>11.0</v>
      </c>
      <c r="C12" s="6" t="s">
        <v>19</v>
      </c>
      <c r="D12" s="7" t="s">
        <v>7</v>
      </c>
      <c r="E12" s="8">
        <v>1.0</v>
      </c>
    </row>
    <row r="13">
      <c r="B13" s="5">
        <v>12.0</v>
      </c>
      <c r="C13" s="6" t="s">
        <v>22</v>
      </c>
      <c r="D13" s="7" t="s">
        <v>7</v>
      </c>
      <c r="E13" s="8">
        <v>1.0</v>
      </c>
    </row>
    <row r="14">
      <c r="B14" s="5">
        <v>13.0</v>
      </c>
      <c r="C14" s="6" t="s">
        <v>23</v>
      </c>
      <c r="D14" s="7" t="s">
        <v>7</v>
      </c>
      <c r="E14" s="8">
        <v>1.0</v>
      </c>
    </row>
    <row r="15">
      <c r="B15" s="5">
        <v>14.0</v>
      </c>
      <c r="C15" s="6" t="s">
        <v>24</v>
      </c>
      <c r="D15" s="7" t="s">
        <v>25</v>
      </c>
      <c r="E15" s="8">
        <v>1.0</v>
      </c>
    </row>
    <row r="16">
      <c r="B16" s="5">
        <v>15.0</v>
      </c>
      <c r="C16" s="21" t="s">
        <v>26</v>
      </c>
      <c r="D16" s="7" t="s">
        <v>25</v>
      </c>
      <c r="E16" s="8">
        <v>1.0</v>
      </c>
    </row>
    <row r="17">
      <c r="B17" s="5">
        <v>16.0</v>
      </c>
      <c r="C17" s="6" t="s">
        <v>27</v>
      </c>
      <c r="D17" s="7" t="s">
        <v>28</v>
      </c>
      <c r="E17" s="8">
        <v>1.0</v>
      </c>
    </row>
    <row r="18">
      <c r="B18" s="5">
        <v>17.0</v>
      </c>
      <c r="C18" s="6" t="s">
        <v>29</v>
      </c>
      <c r="D18" s="7" t="s">
        <v>25</v>
      </c>
      <c r="E18" s="8">
        <v>1.0</v>
      </c>
    </row>
    <row r="19">
      <c r="B19" s="5">
        <v>18.0</v>
      </c>
      <c r="C19" s="22" t="s">
        <v>30</v>
      </c>
      <c r="D19" s="7" t="s">
        <v>28</v>
      </c>
      <c r="E19" s="8">
        <v>1.0</v>
      </c>
    </row>
    <row r="20">
      <c r="B20" s="5">
        <v>19.0</v>
      </c>
      <c r="C20" s="6" t="s">
        <v>31</v>
      </c>
      <c r="D20" s="7" t="s">
        <v>32</v>
      </c>
      <c r="E20" s="8">
        <v>1.0</v>
      </c>
    </row>
    <row r="21">
      <c r="B21" s="5">
        <v>20.0</v>
      </c>
      <c r="C21" s="6" t="s">
        <v>33</v>
      </c>
      <c r="D21" s="7" t="s">
        <v>32</v>
      </c>
      <c r="E21" s="8">
        <v>1.0</v>
      </c>
    </row>
    <row r="22">
      <c r="B22" s="5">
        <v>21.0</v>
      </c>
      <c r="C22" s="6" t="s">
        <v>34</v>
      </c>
      <c r="D22" s="7" t="s">
        <v>32</v>
      </c>
      <c r="E22" s="8">
        <v>1.0</v>
      </c>
    </row>
    <row r="23">
      <c r="B23" s="5">
        <v>22.0</v>
      </c>
      <c r="C23" s="6" t="s">
        <v>36</v>
      </c>
      <c r="D23" s="7" t="s">
        <v>32</v>
      </c>
      <c r="E23" s="8">
        <v>1.0</v>
      </c>
    </row>
    <row r="24">
      <c r="B24" s="5">
        <v>23.0</v>
      </c>
      <c r="C24" s="6" t="s">
        <v>37</v>
      </c>
      <c r="D24" s="7" t="s">
        <v>5</v>
      </c>
      <c r="E24" s="8">
        <v>1.0</v>
      </c>
    </row>
    <row r="25">
      <c r="B25" s="5">
        <v>24.0</v>
      </c>
      <c r="C25" s="6" t="s">
        <v>38</v>
      </c>
      <c r="D25" s="7" t="s">
        <v>39</v>
      </c>
      <c r="E25" s="8">
        <v>1.0</v>
      </c>
    </row>
    <row r="26">
      <c r="B26" s="5">
        <v>25.0</v>
      </c>
      <c r="C26" s="6" t="s">
        <v>40</v>
      </c>
      <c r="D26" s="7" t="s">
        <v>25</v>
      </c>
      <c r="E26" s="8">
        <v>1.0</v>
      </c>
    </row>
    <row r="27">
      <c r="B27" s="5">
        <v>26.0</v>
      </c>
      <c r="C27" s="6" t="s">
        <v>41</v>
      </c>
      <c r="D27" s="7" t="s">
        <v>7</v>
      </c>
      <c r="E27" s="8">
        <v>1.0</v>
      </c>
    </row>
    <row r="28">
      <c r="B28" s="5">
        <v>27.0</v>
      </c>
      <c r="C28" s="6" t="s">
        <v>42</v>
      </c>
      <c r="D28" s="7" t="s">
        <v>28</v>
      </c>
      <c r="E28" s="8">
        <v>1.0</v>
      </c>
    </row>
    <row r="29">
      <c r="B29" s="5">
        <v>28.0</v>
      </c>
      <c r="C29" s="6" t="s">
        <v>43</v>
      </c>
      <c r="D29" s="7" t="s">
        <v>7</v>
      </c>
      <c r="E29" s="8">
        <v>1.0</v>
      </c>
    </row>
    <row r="30">
      <c r="A30" s="24">
        <v>2.0</v>
      </c>
      <c r="B30" s="25">
        <v>1.0</v>
      </c>
      <c r="C30" s="26" t="s">
        <v>45</v>
      </c>
      <c r="D30" s="27" t="s">
        <v>5</v>
      </c>
      <c r="E30" s="28">
        <v>2.0</v>
      </c>
    </row>
    <row r="31">
      <c r="B31" s="25">
        <v>2.0</v>
      </c>
      <c r="C31" s="26" t="s">
        <v>46</v>
      </c>
      <c r="D31" s="27" t="s">
        <v>5</v>
      </c>
      <c r="E31" s="28">
        <v>2.0</v>
      </c>
    </row>
    <row r="32">
      <c r="B32" s="25">
        <v>3.0</v>
      </c>
      <c r="C32" s="26" t="s">
        <v>47</v>
      </c>
      <c r="D32" s="27" t="s">
        <v>7</v>
      </c>
      <c r="E32" s="28">
        <v>2.0</v>
      </c>
    </row>
    <row r="33">
      <c r="B33" s="25">
        <v>4.0</v>
      </c>
      <c r="C33" s="26" t="s">
        <v>49</v>
      </c>
      <c r="D33" s="27" t="s">
        <v>7</v>
      </c>
      <c r="E33" s="28">
        <v>2.0</v>
      </c>
    </row>
    <row r="34">
      <c r="B34" s="25">
        <v>5.0</v>
      </c>
      <c r="C34" s="26" t="s">
        <v>50</v>
      </c>
      <c r="D34" s="27" t="s">
        <v>7</v>
      </c>
      <c r="E34" s="28">
        <v>2.0</v>
      </c>
    </row>
    <row r="35">
      <c r="B35" s="25">
        <v>6.0</v>
      </c>
      <c r="C35" s="26" t="s">
        <v>51</v>
      </c>
      <c r="D35" s="27" t="s">
        <v>7</v>
      </c>
      <c r="E35" s="28">
        <v>2.0</v>
      </c>
    </row>
    <row r="36">
      <c r="B36" s="25">
        <v>7.0</v>
      </c>
      <c r="C36" s="29" t="s">
        <v>52</v>
      </c>
      <c r="D36" s="27" t="s">
        <v>7</v>
      </c>
      <c r="E36" s="28">
        <v>2.0</v>
      </c>
    </row>
    <row r="37">
      <c r="B37" s="25">
        <v>8.0</v>
      </c>
      <c r="C37" s="26" t="s">
        <v>53</v>
      </c>
      <c r="D37" s="27" t="s">
        <v>7</v>
      </c>
      <c r="E37" s="28">
        <v>2.0</v>
      </c>
    </row>
    <row r="38">
      <c r="B38" s="25">
        <v>9.0</v>
      </c>
      <c r="C38" s="26" t="s">
        <v>54</v>
      </c>
      <c r="D38" s="27" t="s">
        <v>7</v>
      </c>
      <c r="E38" s="28">
        <v>2.0</v>
      </c>
    </row>
    <row r="39">
      <c r="B39" s="25">
        <v>10.0</v>
      </c>
      <c r="C39" s="26" t="s">
        <v>55</v>
      </c>
      <c r="D39" s="27" t="s">
        <v>7</v>
      </c>
      <c r="E39" s="28">
        <v>2.0</v>
      </c>
    </row>
    <row r="40">
      <c r="B40" s="25">
        <v>11.0</v>
      </c>
      <c r="C40" s="26" t="s">
        <v>56</v>
      </c>
      <c r="D40" s="27" t="s">
        <v>7</v>
      </c>
      <c r="E40" s="28">
        <v>2.0</v>
      </c>
    </row>
    <row r="41">
      <c r="B41" s="25">
        <v>12.0</v>
      </c>
      <c r="C41" s="26" t="s">
        <v>57</v>
      </c>
      <c r="D41" s="27" t="s">
        <v>7</v>
      </c>
      <c r="E41" s="28">
        <v>2.0</v>
      </c>
    </row>
    <row r="42">
      <c r="B42" s="25">
        <v>13.0</v>
      </c>
      <c r="C42" s="26" t="s">
        <v>58</v>
      </c>
      <c r="D42" s="27" t="s">
        <v>25</v>
      </c>
      <c r="E42" s="28">
        <v>2.0</v>
      </c>
    </row>
    <row r="43">
      <c r="B43" s="25">
        <v>14.0</v>
      </c>
      <c r="C43" s="26" t="s">
        <v>59</v>
      </c>
      <c r="D43" s="27" t="s">
        <v>25</v>
      </c>
      <c r="E43" s="28">
        <v>2.0</v>
      </c>
    </row>
    <row r="44">
      <c r="B44" s="25">
        <v>15.0</v>
      </c>
      <c r="C44" s="29" t="s">
        <v>60</v>
      </c>
      <c r="D44" s="27" t="s">
        <v>25</v>
      </c>
      <c r="E44" s="28">
        <v>2.0</v>
      </c>
    </row>
    <row r="45">
      <c r="B45" s="25">
        <v>16.0</v>
      </c>
      <c r="C45" s="26" t="s">
        <v>61</v>
      </c>
      <c r="D45" s="27" t="s">
        <v>28</v>
      </c>
      <c r="E45" s="28">
        <v>2.0</v>
      </c>
    </row>
    <row r="46">
      <c r="B46" s="25">
        <v>17.0</v>
      </c>
      <c r="C46" s="26" t="s">
        <v>62</v>
      </c>
      <c r="D46" s="27" t="s">
        <v>25</v>
      </c>
      <c r="E46" s="28">
        <v>2.0</v>
      </c>
    </row>
    <row r="47">
      <c r="B47" s="25">
        <v>18.0</v>
      </c>
      <c r="C47" s="26" t="s">
        <v>63</v>
      </c>
      <c r="D47" s="27" t="s">
        <v>25</v>
      </c>
      <c r="E47" s="28">
        <v>2.0</v>
      </c>
    </row>
    <row r="48">
      <c r="B48" s="25">
        <v>19.0</v>
      </c>
      <c r="C48" s="26" t="s">
        <v>64</v>
      </c>
      <c r="D48" s="27" t="s">
        <v>32</v>
      </c>
      <c r="E48" s="28">
        <v>2.0</v>
      </c>
    </row>
    <row r="49">
      <c r="B49" s="25">
        <v>20.0</v>
      </c>
      <c r="C49" s="26" t="s">
        <v>65</v>
      </c>
      <c r="D49" s="27" t="s">
        <v>32</v>
      </c>
      <c r="E49" s="28">
        <v>2.0</v>
      </c>
    </row>
    <row r="50">
      <c r="B50" s="25">
        <v>21.0</v>
      </c>
      <c r="C50" s="26" t="s">
        <v>66</v>
      </c>
      <c r="D50" s="27" t="s">
        <v>32</v>
      </c>
      <c r="E50" s="28">
        <v>2.0</v>
      </c>
    </row>
    <row r="51">
      <c r="B51" s="25">
        <v>22.0</v>
      </c>
      <c r="C51" s="26" t="s">
        <v>67</v>
      </c>
      <c r="D51" s="27" t="s">
        <v>32</v>
      </c>
      <c r="E51" s="28">
        <v>2.0</v>
      </c>
    </row>
    <row r="52">
      <c r="B52" s="25">
        <v>23.0</v>
      </c>
      <c r="C52" s="26" t="s">
        <v>68</v>
      </c>
      <c r="D52" s="27" t="s">
        <v>7</v>
      </c>
      <c r="E52" s="28">
        <v>2.0</v>
      </c>
    </row>
    <row r="53">
      <c r="B53" s="25">
        <v>24.0</v>
      </c>
      <c r="C53" s="26" t="s">
        <v>69</v>
      </c>
      <c r="D53" s="27" t="s">
        <v>28</v>
      </c>
      <c r="E53" s="28">
        <v>2.0</v>
      </c>
    </row>
    <row r="54">
      <c r="B54" s="25">
        <v>25.0</v>
      </c>
      <c r="C54" s="26" t="s">
        <v>71</v>
      </c>
      <c r="D54" s="27" t="s">
        <v>7</v>
      </c>
      <c r="E54" s="28">
        <v>2.0</v>
      </c>
    </row>
    <row r="55">
      <c r="B55" s="25">
        <v>26.0</v>
      </c>
      <c r="C55" s="26" t="s">
        <v>72</v>
      </c>
      <c r="D55" s="27" t="s">
        <v>7</v>
      </c>
      <c r="E55" s="28">
        <v>2.0</v>
      </c>
    </row>
    <row r="56">
      <c r="B56" s="25">
        <v>27.0</v>
      </c>
      <c r="C56" s="26" t="s">
        <v>73</v>
      </c>
      <c r="D56" s="27" t="s">
        <v>7</v>
      </c>
      <c r="E56" s="28">
        <v>2.0</v>
      </c>
    </row>
    <row r="57">
      <c r="B57" s="25">
        <v>28.0</v>
      </c>
      <c r="C57" s="26" t="s">
        <v>74</v>
      </c>
      <c r="D57" s="27" t="s">
        <v>28</v>
      </c>
      <c r="E57" s="28">
        <v>2.0</v>
      </c>
    </row>
    <row r="58">
      <c r="A58" s="4">
        <v>3.0</v>
      </c>
      <c r="B58" s="5">
        <v>1.0</v>
      </c>
      <c r="C58" s="30" t="s">
        <v>75</v>
      </c>
      <c r="D58" s="7" t="s">
        <v>7</v>
      </c>
      <c r="E58" s="8">
        <v>3.0</v>
      </c>
    </row>
    <row r="59">
      <c r="B59" s="5">
        <v>2.0</v>
      </c>
      <c r="C59" s="30" t="s">
        <v>76</v>
      </c>
      <c r="D59" s="7" t="s">
        <v>7</v>
      </c>
      <c r="E59" s="8">
        <v>3.0</v>
      </c>
    </row>
    <row r="60">
      <c r="B60" s="5">
        <v>3.0</v>
      </c>
      <c r="C60" s="30" t="s">
        <v>77</v>
      </c>
      <c r="D60" s="7" t="s">
        <v>7</v>
      </c>
      <c r="E60" s="8">
        <v>3.0</v>
      </c>
    </row>
    <row r="61">
      <c r="B61" s="5">
        <v>4.0</v>
      </c>
      <c r="C61" s="30" t="s">
        <v>78</v>
      </c>
      <c r="D61" s="7" t="s">
        <v>7</v>
      </c>
      <c r="E61" s="8">
        <v>3.0</v>
      </c>
    </row>
    <row r="62">
      <c r="B62" s="5">
        <v>5.0</v>
      </c>
      <c r="C62" s="30" t="s">
        <v>79</v>
      </c>
      <c r="D62" s="7" t="s">
        <v>7</v>
      </c>
      <c r="E62" s="8">
        <v>3.0</v>
      </c>
    </row>
    <row r="63">
      <c r="B63" s="5">
        <v>6.0</v>
      </c>
      <c r="C63" s="30" t="s">
        <v>80</v>
      </c>
      <c r="D63" s="7" t="s">
        <v>7</v>
      </c>
      <c r="E63" s="8">
        <v>3.0</v>
      </c>
    </row>
    <row r="64">
      <c r="B64" s="5">
        <v>7.0</v>
      </c>
      <c r="C64" s="30" t="s">
        <v>81</v>
      </c>
      <c r="D64" s="7" t="s">
        <v>7</v>
      </c>
      <c r="E64" s="8">
        <v>3.0</v>
      </c>
    </row>
    <row r="65">
      <c r="B65" s="5">
        <v>8.0</v>
      </c>
      <c r="C65" s="30" t="s">
        <v>82</v>
      </c>
      <c r="D65" s="7" t="s">
        <v>7</v>
      </c>
      <c r="E65" s="8">
        <v>3.0</v>
      </c>
    </row>
    <row r="66">
      <c r="B66" s="5">
        <v>9.0</v>
      </c>
      <c r="C66" s="30" t="s">
        <v>84</v>
      </c>
      <c r="D66" s="7" t="s">
        <v>7</v>
      </c>
      <c r="E66" s="8">
        <v>3.0</v>
      </c>
    </row>
    <row r="67">
      <c r="B67" s="5">
        <v>10.0</v>
      </c>
      <c r="C67" s="30" t="s">
        <v>85</v>
      </c>
      <c r="D67" s="7" t="s">
        <v>7</v>
      </c>
      <c r="E67" s="8">
        <v>3.0</v>
      </c>
    </row>
    <row r="68">
      <c r="B68" s="5">
        <v>11.0</v>
      </c>
      <c r="C68" s="30" t="s">
        <v>86</v>
      </c>
      <c r="D68" s="7" t="s">
        <v>7</v>
      </c>
      <c r="E68" s="8">
        <v>3.0</v>
      </c>
    </row>
    <row r="69">
      <c r="B69" s="5">
        <v>12.0</v>
      </c>
      <c r="C69" s="30" t="s">
        <v>87</v>
      </c>
      <c r="D69" s="7" t="s">
        <v>7</v>
      </c>
      <c r="E69" s="8">
        <v>3.0</v>
      </c>
    </row>
    <row r="70">
      <c r="B70" s="5">
        <v>13.0</v>
      </c>
      <c r="C70" s="30" t="s">
        <v>88</v>
      </c>
      <c r="D70" s="7" t="s">
        <v>7</v>
      </c>
      <c r="E70" s="8">
        <v>3.0</v>
      </c>
    </row>
    <row r="71">
      <c r="B71" s="5">
        <v>14.0</v>
      </c>
      <c r="C71" s="30" t="s">
        <v>89</v>
      </c>
      <c r="D71" s="7" t="s">
        <v>7</v>
      </c>
      <c r="E71" s="8">
        <v>3.0</v>
      </c>
    </row>
    <row r="72">
      <c r="B72" s="5">
        <v>15.0</v>
      </c>
      <c r="C72" s="30" t="s">
        <v>90</v>
      </c>
      <c r="D72" s="7" t="s">
        <v>25</v>
      </c>
      <c r="E72" s="8">
        <v>3.0</v>
      </c>
    </row>
    <row r="73">
      <c r="B73" s="5">
        <v>16.0</v>
      </c>
      <c r="C73" s="30" t="s">
        <v>91</v>
      </c>
      <c r="D73" s="7" t="s">
        <v>25</v>
      </c>
      <c r="E73" s="8">
        <v>3.0</v>
      </c>
    </row>
    <row r="74">
      <c r="B74" s="5">
        <v>17.0</v>
      </c>
      <c r="C74" s="31" t="s">
        <v>92</v>
      </c>
      <c r="D74" s="7" t="s">
        <v>25</v>
      </c>
      <c r="E74" s="8">
        <v>3.0</v>
      </c>
    </row>
    <row r="75">
      <c r="B75" s="5">
        <v>18.0</v>
      </c>
      <c r="C75" s="30" t="s">
        <v>93</v>
      </c>
      <c r="D75" s="7" t="s">
        <v>25</v>
      </c>
      <c r="E75" s="8">
        <v>3.0</v>
      </c>
    </row>
    <row r="76">
      <c r="B76" s="5">
        <v>19.0</v>
      </c>
      <c r="C76" s="30" t="s">
        <v>94</v>
      </c>
      <c r="D76" s="7" t="s">
        <v>32</v>
      </c>
      <c r="E76" s="8">
        <v>3.0</v>
      </c>
    </row>
    <row r="77">
      <c r="B77" s="5">
        <v>20.0</v>
      </c>
      <c r="C77" s="30" t="s">
        <v>95</v>
      </c>
      <c r="D77" s="7" t="s">
        <v>32</v>
      </c>
      <c r="E77" s="8">
        <v>3.0</v>
      </c>
    </row>
    <row r="78">
      <c r="B78" s="5">
        <v>21.0</v>
      </c>
      <c r="C78" s="30" t="s">
        <v>96</v>
      </c>
      <c r="D78" s="7" t="s">
        <v>32</v>
      </c>
      <c r="E78" s="8">
        <v>3.0</v>
      </c>
    </row>
    <row r="79">
      <c r="B79" s="5">
        <v>22.0</v>
      </c>
      <c r="C79" s="30" t="s">
        <v>97</v>
      </c>
      <c r="D79" s="7" t="s">
        <v>5</v>
      </c>
      <c r="E79" s="8">
        <v>3.0</v>
      </c>
    </row>
    <row r="80">
      <c r="B80" s="5">
        <v>23.0</v>
      </c>
      <c r="C80" s="30" t="s">
        <v>98</v>
      </c>
      <c r="D80" s="7" t="s">
        <v>5</v>
      </c>
      <c r="E80" s="8">
        <v>3.0</v>
      </c>
    </row>
    <row r="81">
      <c r="B81" s="5">
        <v>24.0</v>
      </c>
      <c r="C81" s="30" t="s">
        <v>99</v>
      </c>
      <c r="D81" s="7" t="s">
        <v>28</v>
      </c>
      <c r="E81" s="8">
        <v>3.0</v>
      </c>
    </row>
    <row r="82">
      <c r="B82" s="5">
        <v>25.0</v>
      </c>
      <c r="C82" s="30" t="s">
        <v>100</v>
      </c>
      <c r="D82" s="7" t="s">
        <v>25</v>
      </c>
      <c r="E82" s="8">
        <v>3.0</v>
      </c>
    </row>
    <row r="83">
      <c r="B83" s="5">
        <v>26.0</v>
      </c>
      <c r="C83" s="30" t="s">
        <v>101</v>
      </c>
      <c r="D83" s="7" t="s">
        <v>28</v>
      </c>
      <c r="E83" s="8">
        <v>3.0</v>
      </c>
    </row>
    <row r="84">
      <c r="B84" s="5">
        <v>27.0</v>
      </c>
      <c r="C84" s="30" t="s">
        <v>102</v>
      </c>
      <c r="D84" s="7" t="s">
        <v>28</v>
      </c>
      <c r="E84" s="8">
        <v>3.0</v>
      </c>
    </row>
    <row r="85">
      <c r="A85" s="24">
        <v>4.0</v>
      </c>
      <c r="B85" s="25">
        <v>1.0</v>
      </c>
      <c r="C85" s="26" t="s">
        <v>103</v>
      </c>
      <c r="D85" s="27" t="s">
        <v>7</v>
      </c>
      <c r="E85" s="28">
        <v>4.0</v>
      </c>
    </row>
    <row r="86">
      <c r="B86" s="25">
        <v>2.0</v>
      </c>
      <c r="C86" s="26" t="s">
        <v>104</v>
      </c>
      <c r="D86" s="27" t="s">
        <v>7</v>
      </c>
      <c r="E86" s="28">
        <v>4.0</v>
      </c>
    </row>
    <row r="87">
      <c r="B87" s="25">
        <v>3.0</v>
      </c>
      <c r="C87" s="26" t="s">
        <v>106</v>
      </c>
      <c r="D87" s="27" t="s">
        <v>7</v>
      </c>
      <c r="E87" s="28">
        <v>4.0</v>
      </c>
    </row>
    <row r="88">
      <c r="B88" s="25">
        <v>4.0</v>
      </c>
      <c r="C88" s="26" t="s">
        <v>107</v>
      </c>
      <c r="D88" s="27" t="s">
        <v>7</v>
      </c>
      <c r="E88" s="28">
        <v>4.0</v>
      </c>
    </row>
    <row r="89">
      <c r="B89" s="25">
        <v>5.0</v>
      </c>
      <c r="C89" s="26" t="s">
        <v>109</v>
      </c>
      <c r="D89" s="27" t="s">
        <v>7</v>
      </c>
      <c r="E89" s="28">
        <v>4.0</v>
      </c>
    </row>
    <row r="90">
      <c r="B90" s="25">
        <v>6.0</v>
      </c>
      <c r="C90" s="26" t="s">
        <v>110</v>
      </c>
      <c r="D90" s="27" t="s">
        <v>7</v>
      </c>
      <c r="E90" s="28">
        <v>4.0</v>
      </c>
    </row>
    <row r="91">
      <c r="B91" s="25">
        <v>7.0</v>
      </c>
      <c r="C91" s="26" t="s">
        <v>111</v>
      </c>
      <c r="D91" s="27" t="s">
        <v>7</v>
      </c>
      <c r="E91" s="28">
        <v>4.0</v>
      </c>
    </row>
    <row r="92">
      <c r="B92" s="25">
        <v>8.0</v>
      </c>
      <c r="C92" s="26" t="s">
        <v>112</v>
      </c>
      <c r="D92" s="27" t="s">
        <v>7</v>
      </c>
      <c r="E92" s="28">
        <v>4.0</v>
      </c>
    </row>
    <row r="93">
      <c r="B93" s="25">
        <v>9.0</v>
      </c>
      <c r="C93" s="26" t="s">
        <v>113</v>
      </c>
      <c r="D93" s="27" t="s">
        <v>7</v>
      </c>
      <c r="E93" s="28">
        <v>4.0</v>
      </c>
    </row>
    <row r="94">
      <c r="B94" s="25">
        <v>10.0</v>
      </c>
      <c r="C94" s="26" t="s">
        <v>115</v>
      </c>
      <c r="D94" s="27" t="s">
        <v>25</v>
      </c>
      <c r="E94" s="28">
        <v>4.0</v>
      </c>
    </row>
    <row r="95">
      <c r="B95" s="25">
        <v>11.0</v>
      </c>
      <c r="C95" s="26" t="s">
        <v>116</v>
      </c>
      <c r="D95" s="27" t="s">
        <v>25</v>
      </c>
      <c r="E95" s="28">
        <v>4.0</v>
      </c>
    </row>
    <row r="96">
      <c r="B96" s="25">
        <v>12.0</v>
      </c>
      <c r="C96" s="26" t="s">
        <v>117</v>
      </c>
      <c r="D96" s="27" t="s">
        <v>25</v>
      </c>
      <c r="E96" s="28">
        <v>4.0</v>
      </c>
    </row>
    <row r="97">
      <c r="B97" s="25">
        <v>13.0</v>
      </c>
      <c r="C97" s="26" t="s">
        <v>119</v>
      </c>
      <c r="D97" s="27" t="s">
        <v>32</v>
      </c>
      <c r="E97" s="28">
        <v>4.0</v>
      </c>
    </row>
    <row r="98">
      <c r="B98" s="25">
        <v>14.0</v>
      </c>
      <c r="C98" s="26" t="s">
        <v>120</v>
      </c>
      <c r="D98" s="27" t="s">
        <v>32</v>
      </c>
      <c r="E98" s="28">
        <v>4.0</v>
      </c>
    </row>
    <row r="99">
      <c r="B99" s="25">
        <v>15.0</v>
      </c>
      <c r="C99" s="26" t="s">
        <v>122</v>
      </c>
      <c r="D99" s="27" t="s">
        <v>32</v>
      </c>
      <c r="E99" s="28">
        <v>4.0</v>
      </c>
    </row>
    <row r="100">
      <c r="B100" s="25">
        <v>16.0</v>
      </c>
      <c r="C100" s="26" t="s">
        <v>123</v>
      </c>
      <c r="D100" s="27" t="s">
        <v>5</v>
      </c>
      <c r="E100" s="28">
        <v>4.0</v>
      </c>
    </row>
    <row r="101">
      <c r="B101" s="25">
        <v>17.0</v>
      </c>
      <c r="C101" s="26" t="s">
        <v>125</v>
      </c>
      <c r="D101" s="27" t="s">
        <v>32</v>
      </c>
      <c r="E101" s="28">
        <v>4.0</v>
      </c>
    </row>
    <row r="102">
      <c r="B102" s="25">
        <v>18.0</v>
      </c>
      <c r="C102" s="26" t="s">
        <v>126</v>
      </c>
      <c r="D102" s="27" t="s">
        <v>5</v>
      </c>
      <c r="E102" s="28">
        <v>4.0</v>
      </c>
    </row>
    <row r="103">
      <c r="B103" s="25">
        <v>19.0</v>
      </c>
      <c r="C103" s="26" t="s">
        <v>128</v>
      </c>
      <c r="D103" s="27" t="s">
        <v>5</v>
      </c>
      <c r="E103" s="28">
        <v>4.0</v>
      </c>
    </row>
    <row r="104">
      <c r="B104" s="25">
        <v>20.0</v>
      </c>
      <c r="C104" s="26" t="s">
        <v>129</v>
      </c>
      <c r="D104" s="27" t="s">
        <v>25</v>
      </c>
      <c r="E104" s="28">
        <v>4.0</v>
      </c>
    </row>
    <row r="105">
      <c r="B105" s="25">
        <v>21.0</v>
      </c>
      <c r="C105" s="26" t="s">
        <v>130</v>
      </c>
      <c r="D105" s="27" t="s">
        <v>25</v>
      </c>
      <c r="E105" s="28">
        <v>4.0</v>
      </c>
    </row>
    <row r="106">
      <c r="B106" s="25">
        <v>22.0</v>
      </c>
      <c r="C106" s="26" t="s">
        <v>131</v>
      </c>
      <c r="D106" s="27" t="s">
        <v>7</v>
      </c>
      <c r="E106" s="28">
        <v>4.0</v>
      </c>
    </row>
    <row r="107">
      <c r="B107" s="25">
        <v>23.0</v>
      </c>
      <c r="C107" s="29" t="s">
        <v>60</v>
      </c>
      <c r="D107" s="27" t="s">
        <v>28</v>
      </c>
      <c r="E107" s="28">
        <v>4.0</v>
      </c>
    </row>
    <row r="108">
      <c r="B108" s="25">
        <v>24.0</v>
      </c>
      <c r="C108" s="26" t="s">
        <v>132</v>
      </c>
      <c r="D108" s="27" t="s">
        <v>28</v>
      </c>
      <c r="E108" s="28">
        <v>4.0</v>
      </c>
    </row>
    <row r="109">
      <c r="B109" s="25">
        <v>25.0</v>
      </c>
      <c r="C109" s="26" t="s">
        <v>133</v>
      </c>
      <c r="D109" s="27" t="s">
        <v>7</v>
      </c>
      <c r="E109" s="28">
        <v>4.0</v>
      </c>
    </row>
    <row r="110">
      <c r="B110" s="25">
        <v>26.0</v>
      </c>
      <c r="C110" s="26" t="s">
        <v>134</v>
      </c>
      <c r="D110" s="27" t="s">
        <v>7</v>
      </c>
      <c r="E110" s="28">
        <v>4.0</v>
      </c>
    </row>
    <row r="111">
      <c r="B111" s="35">
        <v>27.0</v>
      </c>
      <c r="C111" s="29" t="s">
        <v>136</v>
      </c>
      <c r="D111" s="36" t="s">
        <v>28</v>
      </c>
      <c r="E111" s="28">
        <v>4.0</v>
      </c>
    </row>
    <row r="112">
      <c r="B112" s="35">
        <v>28.0</v>
      </c>
      <c r="C112" s="26" t="s">
        <v>137</v>
      </c>
      <c r="D112" s="27" t="s">
        <v>7</v>
      </c>
      <c r="E112" s="28">
        <v>4.0</v>
      </c>
    </row>
    <row r="113">
      <c r="A113" s="4">
        <v>5.0</v>
      </c>
      <c r="B113" s="5">
        <v>1.0</v>
      </c>
      <c r="C113" s="30" t="s">
        <v>138</v>
      </c>
      <c r="D113" s="7" t="s">
        <v>7</v>
      </c>
      <c r="E113" s="8">
        <v>5.0</v>
      </c>
    </row>
    <row r="114">
      <c r="B114" s="5">
        <v>2.0</v>
      </c>
      <c r="C114" s="30" t="s">
        <v>139</v>
      </c>
      <c r="D114" s="7" t="s">
        <v>7</v>
      </c>
      <c r="E114" s="8">
        <v>5.0</v>
      </c>
    </row>
    <row r="115">
      <c r="B115" s="5">
        <v>3.0</v>
      </c>
      <c r="C115" s="30" t="s">
        <v>140</v>
      </c>
      <c r="D115" s="7" t="s">
        <v>7</v>
      </c>
      <c r="E115" s="8">
        <v>5.0</v>
      </c>
    </row>
    <row r="116">
      <c r="B116" s="5">
        <v>4.0</v>
      </c>
      <c r="C116" s="30" t="s">
        <v>141</v>
      </c>
      <c r="D116" s="7" t="s">
        <v>7</v>
      </c>
      <c r="E116" s="8">
        <v>5.0</v>
      </c>
    </row>
    <row r="117">
      <c r="B117" s="5">
        <v>5.0</v>
      </c>
      <c r="C117" s="30" t="s">
        <v>143</v>
      </c>
      <c r="D117" s="7" t="s">
        <v>7</v>
      </c>
      <c r="E117" s="8">
        <v>5.0</v>
      </c>
    </row>
    <row r="118">
      <c r="B118" s="5">
        <v>6.0</v>
      </c>
      <c r="C118" s="30" t="s">
        <v>144</v>
      </c>
      <c r="D118" s="7" t="s">
        <v>7</v>
      </c>
      <c r="E118" s="8">
        <v>5.0</v>
      </c>
    </row>
    <row r="119">
      <c r="B119" s="5">
        <v>7.0</v>
      </c>
      <c r="C119" s="30" t="s">
        <v>145</v>
      </c>
      <c r="D119" s="7" t="s">
        <v>7</v>
      </c>
      <c r="E119" s="8">
        <v>5.0</v>
      </c>
    </row>
    <row r="120">
      <c r="B120" s="5">
        <v>8.0</v>
      </c>
      <c r="C120" s="31" t="s">
        <v>146</v>
      </c>
      <c r="D120" s="7" t="s">
        <v>25</v>
      </c>
      <c r="E120" s="8">
        <v>5.0</v>
      </c>
    </row>
    <row r="121">
      <c r="B121" s="5">
        <v>9.0</v>
      </c>
      <c r="C121" s="31" t="s">
        <v>147</v>
      </c>
      <c r="D121" s="7" t="s">
        <v>25</v>
      </c>
      <c r="E121" s="8">
        <v>5.0</v>
      </c>
    </row>
    <row r="122">
      <c r="B122" s="5">
        <v>10.0</v>
      </c>
      <c r="C122" s="30" t="s">
        <v>148</v>
      </c>
      <c r="D122" s="7" t="s">
        <v>32</v>
      </c>
      <c r="E122" s="8">
        <v>5.0</v>
      </c>
    </row>
    <row r="123">
      <c r="B123" s="5">
        <v>11.0</v>
      </c>
      <c r="C123" s="30" t="s">
        <v>150</v>
      </c>
      <c r="D123" s="7" t="s">
        <v>32</v>
      </c>
      <c r="E123" s="8">
        <v>5.0</v>
      </c>
    </row>
    <row r="124">
      <c r="B124" s="5">
        <v>12.0</v>
      </c>
      <c r="C124" s="30" t="s">
        <v>151</v>
      </c>
      <c r="D124" s="7" t="s">
        <v>32</v>
      </c>
      <c r="E124" s="8">
        <v>5.0</v>
      </c>
    </row>
    <row r="125">
      <c r="B125" s="5">
        <v>13.0</v>
      </c>
      <c r="C125" s="30" t="s">
        <v>153</v>
      </c>
      <c r="D125" s="7" t="s">
        <v>32</v>
      </c>
      <c r="E125" s="8">
        <v>5.0</v>
      </c>
    </row>
    <row r="126">
      <c r="B126" s="5">
        <v>14.0</v>
      </c>
      <c r="C126" s="30" t="s">
        <v>154</v>
      </c>
      <c r="D126" s="7" t="s">
        <v>5</v>
      </c>
      <c r="E126" s="8">
        <v>5.0</v>
      </c>
    </row>
    <row r="127">
      <c r="B127" s="5">
        <v>15.0</v>
      </c>
      <c r="C127" s="30" t="s">
        <v>156</v>
      </c>
      <c r="D127" s="7" t="s">
        <v>5</v>
      </c>
      <c r="E127" s="8">
        <v>5.0</v>
      </c>
    </row>
    <row r="128">
      <c r="B128" s="5">
        <v>16.0</v>
      </c>
      <c r="C128" s="30" t="s">
        <v>158</v>
      </c>
      <c r="D128" s="7" t="s">
        <v>7</v>
      </c>
      <c r="E128" s="8">
        <v>5.0</v>
      </c>
    </row>
    <row r="129">
      <c r="B129" s="5">
        <v>17.0</v>
      </c>
      <c r="C129" s="30" t="s">
        <v>159</v>
      </c>
      <c r="D129" s="7" t="s">
        <v>25</v>
      </c>
      <c r="E129" s="8">
        <v>5.0</v>
      </c>
    </row>
    <row r="130">
      <c r="B130" s="5">
        <v>18.0</v>
      </c>
      <c r="C130" s="30" t="s">
        <v>160</v>
      </c>
      <c r="D130" s="7" t="s">
        <v>7</v>
      </c>
      <c r="E130" s="8">
        <v>5.0</v>
      </c>
    </row>
    <row r="131">
      <c r="B131" s="5">
        <v>19.0</v>
      </c>
      <c r="C131" s="30" t="s">
        <v>162</v>
      </c>
      <c r="D131" s="7" t="s">
        <v>25</v>
      </c>
      <c r="E131" s="8">
        <v>5.0</v>
      </c>
    </row>
    <row r="132">
      <c r="B132" s="5">
        <v>20.0</v>
      </c>
      <c r="C132" s="30" t="s">
        <v>163</v>
      </c>
      <c r="D132" s="7" t="s">
        <v>25</v>
      </c>
      <c r="E132" s="8">
        <v>5.0</v>
      </c>
    </row>
    <row r="133">
      <c r="B133" s="5">
        <v>21.0</v>
      </c>
      <c r="C133" s="30" t="s">
        <v>164</v>
      </c>
      <c r="D133" s="7" t="s">
        <v>7</v>
      </c>
      <c r="E133" s="8">
        <v>5.0</v>
      </c>
    </row>
    <row r="134">
      <c r="B134" s="5">
        <v>22.0</v>
      </c>
      <c r="C134" s="37" t="s">
        <v>165</v>
      </c>
      <c r="D134" s="7" t="s">
        <v>7</v>
      </c>
      <c r="E134" s="8">
        <v>5.0</v>
      </c>
    </row>
    <row r="135">
      <c r="B135" s="5">
        <v>23.0</v>
      </c>
      <c r="C135" s="37" t="s">
        <v>166</v>
      </c>
      <c r="D135" s="7" t="s">
        <v>7</v>
      </c>
      <c r="E135" s="8">
        <v>5.0</v>
      </c>
    </row>
    <row r="136">
      <c r="B136" s="5">
        <v>24.0</v>
      </c>
      <c r="C136" s="37" t="s">
        <v>167</v>
      </c>
      <c r="D136" s="7" t="s">
        <v>7</v>
      </c>
      <c r="E136" s="8">
        <v>5.0</v>
      </c>
    </row>
    <row r="137">
      <c r="B137" s="5">
        <v>25.0</v>
      </c>
      <c r="C137" s="37" t="s">
        <v>169</v>
      </c>
      <c r="D137" s="7" t="s">
        <v>7</v>
      </c>
      <c r="E137" s="8">
        <v>5.0</v>
      </c>
    </row>
    <row r="138">
      <c r="B138" s="5">
        <v>26.0</v>
      </c>
      <c r="C138" s="37" t="s">
        <v>170</v>
      </c>
      <c r="D138" s="7" t="s">
        <v>28</v>
      </c>
      <c r="E138" s="8">
        <v>5.0</v>
      </c>
    </row>
    <row r="139">
      <c r="B139" s="5">
        <v>27.0</v>
      </c>
      <c r="C139" s="37" t="s">
        <v>171</v>
      </c>
      <c r="D139" s="7" t="s">
        <v>28</v>
      </c>
      <c r="E139" s="8">
        <v>5.0</v>
      </c>
    </row>
    <row r="140">
      <c r="A140" s="24">
        <v>6.0</v>
      </c>
      <c r="B140" s="25">
        <v>1.0</v>
      </c>
      <c r="C140" s="26" t="s">
        <v>172</v>
      </c>
      <c r="D140" s="27" t="s">
        <v>7</v>
      </c>
      <c r="E140" s="28">
        <v>6.0</v>
      </c>
    </row>
    <row r="141">
      <c r="B141" s="25">
        <v>2.0</v>
      </c>
      <c r="C141" s="26" t="s">
        <v>173</v>
      </c>
      <c r="D141" s="27" t="s">
        <v>7</v>
      </c>
      <c r="E141" s="28">
        <v>6.0</v>
      </c>
    </row>
    <row r="142">
      <c r="B142" s="25">
        <v>3.0</v>
      </c>
      <c r="C142" s="26" t="s">
        <v>174</v>
      </c>
      <c r="D142" s="27" t="s">
        <v>25</v>
      </c>
      <c r="E142" s="28">
        <v>6.0</v>
      </c>
    </row>
    <row r="143">
      <c r="B143" s="25">
        <v>4.0</v>
      </c>
      <c r="C143" s="26" t="s">
        <v>176</v>
      </c>
      <c r="D143" s="27" t="s">
        <v>32</v>
      </c>
      <c r="E143" s="28">
        <v>6.0</v>
      </c>
    </row>
    <row r="144">
      <c r="B144" s="25">
        <v>5.0</v>
      </c>
      <c r="C144" s="26" t="s">
        <v>177</v>
      </c>
      <c r="D144" s="27" t="s">
        <v>32</v>
      </c>
      <c r="E144" s="28">
        <v>6.0</v>
      </c>
    </row>
    <row r="145">
      <c r="B145" s="25">
        <v>6.0</v>
      </c>
      <c r="C145" s="26" t="s">
        <v>178</v>
      </c>
      <c r="D145" s="27" t="s">
        <v>32</v>
      </c>
      <c r="E145" s="28">
        <v>6.0</v>
      </c>
    </row>
    <row r="146">
      <c r="B146" s="25">
        <v>7.0</v>
      </c>
      <c r="C146" s="26" t="s">
        <v>179</v>
      </c>
      <c r="D146" s="27" t="s">
        <v>5</v>
      </c>
      <c r="E146" s="28">
        <v>6.0</v>
      </c>
    </row>
    <row r="147">
      <c r="B147" s="25">
        <v>8.0</v>
      </c>
      <c r="C147" s="26" t="s">
        <v>181</v>
      </c>
      <c r="D147" s="27" t="s">
        <v>5</v>
      </c>
      <c r="E147" s="28">
        <v>6.0</v>
      </c>
    </row>
    <row r="148">
      <c r="B148" s="25">
        <v>9.0</v>
      </c>
      <c r="C148" s="26" t="s">
        <v>182</v>
      </c>
      <c r="D148" s="27" t="s">
        <v>25</v>
      </c>
      <c r="E148" s="28">
        <v>6.0</v>
      </c>
    </row>
    <row r="149">
      <c r="B149" s="25">
        <v>10.0</v>
      </c>
      <c r="C149" s="26" t="s">
        <v>183</v>
      </c>
      <c r="D149" s="27" t="s">
        <v>25</v>
      </c>
      <c r="E149" s="28">
        <v>6.0</v>
      </c>
    </row>
    <row r="150">
      <c r="B150" s="25">
        <v>11.0</v>
      </c>
      <c r="C150" s="26" t="s">
        <v>185</v>
      </c>
      <c r="D150" s="27" t="s">
        <v>25</v>
      </c>
      <c r="E150" s="28">
        <v>6.0</v>
      </c>
    </row>
    <row r="151">
      <c r="B151" s="25">
        <v>12.0</v>
      </c>
      <c r="C151" s="26" t="s">
        <v>186</v>
      </c>
      <c r="D151" s="27" t="s">
        <v>25</v>
      </c>
      <c r="E151" s="28">
        <v>6.0</v>
      </c>
    </row>
    <row r="152">
      <c r="B152" s="25">
        <v>13.0</v>
      </c>
      <c r="C152" s="26" t="s">
        <v>187</v>
      </c>
      <c r="D152" s="27" t="s">
        <v>7</v>
      </c>
      <c r="E152" s="28">
        <v>6.0</v>
      </c>
    </row>
    <row r="153">
      <c r="B153" s="25">
        <v>14.0</v>
      </c>
      <c r="C153" s="26" t="s">
        <v>188</v>
      </c>
      <c r="D153" s="27" t="s">
        <v>7</v>
      </c>
      <c r="E153" s="28">
        <v>6.0</v>
      </c>
    </row>
    <row r="154">
      <c r="B154" s="25">
        <v>15.0</v>
      </c>
      <c r="C154" s="26" t="s">
        <v>189</v>
      </c>
      <c r="D154" s="27" t="s">
        <v>7</v>
      </c>
      <c r="E154" s="28">
        <v>6.0</v>
      </c>
    </row>
    <row r="155">
      <c r="B155" s="25">
        <v>16.0</v>
      </c>
      <c r="C155" s="26" t="s">
        <v>190</v>
      </c>
      <c r="D155" s="27" t="s">
        <v>7</v>
      </c>
      <c r="E155" s="28">
        <v>6.0</v>
      </c>
    </row>
    <row r="156">
      <c r="B156" s="25">
        <v>17.0</v>
      </c>
      <c r="C156" s="26" t="s">
        <v>191</v>
      </c>
      <c r="D156" s="27" t="s">
        <v>7</v>
      </c>
      <c r="E156" s="28">
        <v>6.0</v>
      </c>
    </row>
    <row r="157">
      <c r="B157" s="25">
        <v>18.0</v>
      </c>
      <c r="C157" s="26" t="s">
        <v>192</v>
      </c>
      <c r="D157" s="27" t="s">
        <v>7</v>
      </c>
      <c r="E157" s="28">
        <v>6.0</v>
      </c>
    </row>
    <row r="158">
      <c r="B158" s="25">
        <v>19.0</v>
      </c>
      <c r="C158" s="26" t="s">
        <v>193</v>
      </c>
      <c r="D158" s="27" t="s">
        <v>7</v>
      </c>
      <c r="E158" s="28">
        <v>6.0</v>
      </c>
    </row>
    <row r="159">
      <c r="B159" s="25">
        <v>20.0</v>
      </c>
      <c r="C159" s="26" t="s">
        <v>194</v>
      </c>
      <c r="D159" s="27" t="s">
        <v>7</v>
      </c>
      <c r="E159" s="28">
        <v>6.0</v>
      </c>
    </row>
    <row r="160">
      <c r="B160" s="25">
        <v>21.0</v>
      </c>
      <c r="C160" s="26" t="s">
        <v>195</v>
      </c>
      <c r="D160" s="27" t="s">
        <v>7</v>
      </c>
      <c r="E160" s="28">
        <v>6.0</v>
      </c>
    </row>
    <row r="161">
      <c r="B161" s="25">
        <v>22.0</v>
      </c>
      <c r="C161" s="26" t="s">
        <v>196</v>
      </c>
      <c r="D161" s="27" t="s">
        <v>7</v>
      </c>
      <c r="E161" s="28">
        <v>6.0</v>
      </c>
    </row>
    <row r="162">
      <c r="B162" s="25">
        <v>23.0</v>
      </c>
      <c r="C162" s="26" t="s">
        <v>197</v>
      </c>
      <c r="D162" s="27" t="s">
        <v>7</v>
      </c>
      <c r="E162" s="28">
        <v>6.0</v>
      </c>
    </row>
    <row r="163">
      <c r="B163" s="25">
        <v>24.0</v>
      </c>
      <c r="C163" s="26" t="s">
        <v>198</v>
      </c>
      <c r="D163" s="27" t="s">
        <v>28</v>
      </c>
      <c r="E163" s="28">
        <v>6.0</v>
      </c>
    </row>
    <row r="164">
      <c r="B164" s="25">
        <v>25.0</v>
      </c>
      <c r="C164" s="26" t="s">
        <v>199</v>
      </c>
      <c r="D164" s="27" t="s">
        <v>28</v>
      </c>
      <c r="E164" s="28">
        <v>6.0</v>
      </c>
    </row>
    <row r="165">
      <c r="B165" s="25">
        <v>26.0</v>
      </c>
      <c r="C165" s="26" t="s">
        <v>200</v>
      </c>
      <c r="D165" s="27" t="s">
        <v>28</v>
      </c>
      <c r="E165" s="28">
        <v>6.0</v>
      </c>
    </row>
    <row r="166">
      <c r="B166" s="25">
        <v>27.0</v>
      </c>
      <c r="C166" s="26" t="s">
        <v>201</v>
      </c>
      <c r="D166" s="27" t="s">
        <v>7</v>
      </c>
      <c r="E166" s="28">
        <v>6.0</v>
      </c>
    </row>
    <row r="167">
      <c r="A167" s="4">
        <v>7.0</v>
      </c>
      <c r="B167" s="5">
        <v>1.0</v>
      </c>
      <c r="C167" s="30" t="s">
        <v>202</v>
      </c>
      <c r="D167" s="7" t="s">
        <v>7</v>
      </c>
      <c r="E167" s="8">
        <v>7.0</v>
      </c>
    </row>
    <row r="168">
      <c r="B168" s="5">
        <v>2.0</v>
      </c>
      <c r="C168" s="38" t="s">
        <v>203</v>
      </c>
      <c r="D168" s="7" t="s">
        <v>32</v>
      </c>
      <c r="E168" s="8">
        <v>7.0</v>
      </c>
    </row>
    <row r="169">
      <c r="B169" s="5">
        <v>3.0</v>
      </c>
      <c r="C169" s="30" t="s">
        <v>205</v>
      </c>
      <c r="D169" s="7" t="s">
        <v>32</v>
      </c>
      <c r="E169" s="8">
        <v>7.0</v>
      </c>
    </row>
    <row r="170">
      <c r="B170" s="5">
        <v>4.0</v>
      </c>
      <c r="C170" s="30" t="s">
        <v>207</v>
      </c>
      <c r="D170" s="7" t="s">
        <v>32</v>
      </c>
      <c r="E170" s="8">
        <v>7.0</v>
      </c>
    </row>
    <row r="171">
      <c r="B171" s="5">
        <v>5.0</v>
      </c>
      <c r="C171" s="37" t="s">
        <v>208</v>
      </c>
      <c r="D171" s="7" t="s">
        <v>39</v>
      </c>
      <c r="E171" s="8">
        <v>7.0</v>
      </c>
    </row>
    <row r="172">
      <c r="B172" s="5">
        <v>6.0</v>
      </c>
      <c r="C172" s="37" t="s">
        <v>209</v>
      </c>
      <c r="D172" s="7" t="s">
        <v>5</v>
      </c>
      <c r="E172" s="8">
        <v>7.0</v>
      </c>
    </row>
    <row r="173">
      <c r="B173" s="5">
        <v>7.0</v>
      </c>
      <c r="C173" s="37" t="s">
        <v>210</v>
      </c>
      <c r="D173" s="7" t="s">
        <v>5</v>
      </c>
      <c r="E173" s="8">
        <v>7.0</v>
      </c>
    </row>
    <row r="174">
      <c r="B174" s="5">
        <v>8.0</v>
      </c>
      <c r="C174" s="37" t="s">
        <v>211</v>
      </c>
      <c r="D174" s="7" t="s">
        <v>25</v>
      </c>
      <c r="E174" s="8">
        <v>7.0</v>
      </c>
    </row>
    <row r="175">
      <c r="B175" s="5">
        <v>9.0</v>
      </c>
      <c r="C175" s="37" t="s">
        <v>212</v>
      </c>
      <c r="D175" s="7" t="s">
        <v>25</v>
      </c>
      <c r="E175" s="8">
        <v>7.0</v>
      </c>
    </row>
    <row r="176">
      <c r="B176" s="5">
        <v>10.0</v>
      </c>
      <c r="C176" s="37" t="s">
        <v>213</v>
      </c>
      <c r="D176" s="7" t="s">
        <v>25</v>
      </c>
      <c r="E176" s="8">
        <v>7.0</v>
      </c>
    </row>
    <row r="177">
      <c r="B177" s="5">
        <v>11.0</v>
      </c>
      <c r="C177" s="37" t="s">
        <v>214</v>
      </c>
      <c r="D177" s="7" t="s">
        <v>7</v>
      </c>
      <c r="E177" s="8">
        <v>7.0</v>
      </c>
    </row>
    <row r="178">
      <c r="B178" s="5">
        <v>12.0</v>
      </c>
      <c r="C178" s="37" t="s">
        <v>216</v>
      </c>
      <c r="D178" s="7" t="s">
        <v>7</v>
      </c>
      <c r="E178" s="8">
        <v>7.0</v>
      </c>
    </row>
    <row r="179">
      <c r="B179" s="5">
        <v>13.0</v>
      </c>
      <c r="C179" s="37" t="s">
        <v>217</v>
      </c>
      <c r="D179" s="7" t="s">
        <v>7</v>
      </c>
      <c r="E179" s="8">
        <v>7.0</v>
      </c>
    </row>
    <row r="180">
      <c r="B180" s="5">
        <v>14.0</v>
      </c>
      <c r="C180" s="37" t="s">
        <v>218</v>
      </c>
      <c r="D180" s="7" t="s">
        <v>7</v>
      </c>
      <c r="E180" s="8">
        <v>7.0</v>
      </c>
    </row>
    <row r="181">
      <c r="B181" s="5">
        <v>15.0</v>
      </c>
      <c r="C181" s="37" t="s">
        <v>221</v>
      </c>
      <c r="D181" s="7" t="s">
        <v>7</v>
      </c>
      <c r="E181" s="8">
        <v>7.0</v>
      </c>
    </row>
    <row r="182">
      <c r="B182" s="5">
        <v>16.0</v>
      </c>
      <c r="C182" s="30" t="s">
        <v>222</v>
      </c>
      <c r="D182" s="7" t="s">
        <v>7</v>
      </c>
      <c r="E182" s="8">
        <v>7.0</v>
      </c>
    </row>
    <row r="183">
      <c r="B183" s="5">
        <v>17.0</v>
      </c>
      <c r="C183" s="30" t="s">
        <v>224</v>
      </c>
      <c r="D183" s="7" t="s">
        <v>7</v>
      </c>
      <c r="E183" s="8">
        <v>7.0</v>
      </c>
    </row>
    <row r="184">
      <c r="B184" s="5">
        <v>18.0</v>
      </c>
      <c r="C184" s="30" t="s">
        <v>225</v>
      </c>
      <c r="D184" s="7" t="s">
        <v>7</v>
      </c>
      <c r="E184" s="8">
        <v>7.0</v>
      </c>
    </row>
    <row r="185">
      <c r="B185" s="5">
        <v>19.0</v>
      </c>
      <c r="C185" s="30" t="s">
        <v>227</v>
      </c>
      <c r="D185" s="7" t="s">
        <v>7</v>
      </c>
      <c r="E185" s="8">
        <v>7.0</v>
      </c>
    </row>
    <row r="186">
      <c r="B186" s="5">
        <v>20.0</v>
      </c>
      <c r="C186" s="30" t="s">
        <v>228</v>
      </c>
      <c r="D186" s="7" t="s">
        <v>7</v>
      </c>
      <c r="E186" s="8">
        <v>7.0</v>
      </c>
    </row>
    <row r="187">
      <c r="B187" s="5">
        <v>21.0</v>
      </c>
      <c r="C187" s="30" t="s">
        <v>229</v>
      </c>
      <c r="D187" s="7" t="s">
        <v>7</v>
      </c>
      <c r="E187" s="8">
        <v>7.0</v>
      </c>
    </row>
    <row r="188">
      <c r="B188" s="5">
        <v>22.0</v>
      </c>
      <c r="C188" s="30" t="s">
        <v>230</v>
      </c>
      <c r="D188" s="7" t="s">
        <v>7</v>
      </c>
      <c r="E188" s="8">
        <v>7.0</v>
      </c>
    </row>
    <row r="189">
      <c r="B189" s="5">
        <v>23.0</v>
      </c>
      <c r="C189" s="30" t="s">
        <v>231</v>
      </c>
      <c r="D189" s="7" t="s">
        <v>7</v>
      </c>
      <c r="E189" s="8">
        <v>7.0</v>
      </c>
    </row>
    <row r="190">
      <c r="B190" s="5">
        <v>24.0</v>
      </c>
      <c r="C190" s="30" t="s">
        <v>232</v>
      </c>
      <c r="D190" s="7" t="s">
        <v>28</v>
      </c>
      <c r="E190" s="8">
        <v>7.0</v>
      </c>
    </row>
    <row r="191">
      <c r="B191" s="5">
        <v>25.0</v>
      </c>
      <c r="C191" s="30" t="s">
        <v>233</v>
      </c>
      <c r="D191" s="7" t="s">
        <v>28</v>
      </c>
      <c r="E191" s="8">
        <v>7.0</v>
      </c>
    </row>
    <row r="192">
      <c r="B192" s="5">
        <v>26.0</v>
      </c>
      <c r="C192" s="30" t="s">
        <v>234</v>
      </c>
      <c r="D192" s="7" t="s">
        <v>7</v>
      </c>
      <c r="E192" s="8">
        <v>7.0</v>
      </c>
    </row>
    <row r="193">
      <c r="B193" s="14">
        <v>27.0</v>
      </c>
      <c r="C193" s="23" t="s">
        <v>235</v>
      </c>
      <c r="D193" s="23" t="s">
        <v>28</v>
      </c>
      <c r="E193" s="8">
        <v>7.0</v>
      </c>
    </row>
    <row r="194">
      <c r="B194" s="14">
        <v>28.0</v>
      </c>
      <c r="C194" s="23" t="s">
        <v>237</v>
      </c>
      <c r="D194" s="23" t="s">
        <v>28</v>
      </c>
      <c r="E194" s="8">
        <v>7.0</v>
      </c>
    </row>
    <row r="195">
      <c r="A195" s="24">
        <v>8.0</v>
      </c>
      <c r="B195" s="25">
        <v>1.0</v>
      </c>
      <c r="C195" s="26" t="s">
        <v>238</v>
      </c>
      <c r="D195" s="27" t="s">
        <v>25</v>
      </c>
      <c r="E195" s="28">
        <v>8.0</v>
      </c>
    </row>
    <row r="196">
      <c r="B196" s="25">
        <v>2.0</v>
      </c>
      <c r="C196" s="26" t="s">
        <v>239</v>
      </c>
      <c r="D196" s="27" t="s">
        <v>32</v>
      </c>
      <c r="E196" s="28">
        <v>8.0</v>
      </c>
    </row>
    <row r="197">
      <c r="B197" s="25">
        <v>3.0</v>
      </c>
      <c r="C197" s="26" t="s">
        <v>240</v>
      </c>
      <c r="D197" s="27" t="s">
        <v>32</v>
      </c>
      <c r="E197" s="28">
        <v>8.0</v>
      </c>
    </row>
    <row r="198">
      <c r="B198" s="25">
        <v>4.0</v>
      </c>
      <c r="C198" s="26" t="s">
        <v>241</v>
      </c>
      <c r="D198" s="27" t="s">
        <v>32</v>
      </c>
      <c r="E198" s="28">
        <v>8.0</v>
      </c>
    </row>
    <row r="199">
      <c r="B199" s="25">
        <v>5.0</v>
      </c>
      <c r="C199" s="26" t="s">
        <v>242</v>
      </c>
      <c r="D199" s="27" t="s">
        <v>32</v>
      </c>
      <c r="E199" s="28">
        <v>8.0</v>
      </c>
    </row>
    <row r="200">
      <c r="B200" s="25">
        <v>6.0</v>
      </c>
      <c r="C200" s="26" t="s">
        <v>243</v>
      </c>
      <c r="D200" s="27" t="s">
        <v>5</v>
      </c>
      <c r="E200" s="28">
        <v>8.0</v>
      </c>
    </row>
    <row r="201">
      <c r="B201" s="25">
        <v>7.0</v>
      </c>
      <c r="C201" s="26" t="s">
        <v>244</v>
      </c>
      <c r="D201" s="27" t="s">
        <v>5</v>
      </c>
      <c r="E201" s="28">
        <v>8.0</v>
      </c>
    </row>
    <row r="202">
      <c r="B202" s="25">
        <v>8.0</v>
      </c>
      <c r="C202" s="26" t="s">
        <v>245</v>
      </c>
      <c r="D202" s="27" t="s">
        <v>39</v>
      </c>
      <c r="E202" s="28">
        <v>8.0</v>
      </c>
    </row>
    <row r="203">
      <c r="B203" s="25">
        <v>9.0</v>
      </c>
      <c r="C203" s="26" t="s">
        <v>247</v>
      </c>
      <c r="D203" s="27" t="s">
        <v>7</v>
      </c>
      <c r="E203" s="28">
        <v>8.0</v>
      </c>
    </row>
    <row r="204">
      <c r="B204" s="25">
        <v>10.0</v>
      </c>
      <c r="C204" s="26" t="s">
        <v>248</v>
      </c>
      <c r="D204" s="27" t="s">
        <v>25</v>
      </c>
      <c r="E204" s="28">
        <v>8.0</v>
      </c>
    </row>
    <row r="205">
      <c r="B205" s="25">
        <v>11.0</v>
      </c>
      <c r="C205" s="26" t="s">
        <v>249</v>
      </c>
      <c r="D205" s="27" t="s">
        <v>25</v>
      </c>
      <c r="E205" s="28">
        <v>8.0</v>
      </c>
    </row>
    <row r="206">
      <c r="B206" s="25">
        <v>12.0</v>
      </c>
      <c r="C206" s="26" t="s">
        <v>250</v>
      </c>
      <c r="D206" s="27" t="s">
        <v>7</v>
      </c>
      <c r="E206" s="28">
        <v>8.0</v>
      </c>
    </row>
    <row r="207">
      <c r="B207" s="25">
        <v>13.0</v>
      </c>
      <c r="C207" s="26" t="s">
        <v>251</v>
      </c>
      <c r="D207" s="27" t="s">
        <v>7</v>
      </c>
      <c r="E207" s="28">
        <v>8.0</v>
      </c>
    </row>
    <row r="208">
      <c r="B208" s="25">
        <v>14.0</v>
      </c>
      <c r="C208" s="26" t="s">
        <v>252</v>
      </c>
      <c r="D208" s="27" t="s">
        <v>7</v>
      </c>
      <c r="E208" s="28">
        <v>8.0</v>
      </c>
    </row>
    <row r="209">
      <c r="B209" s="25">
        <v>15.0</v>
      </c>
      <c r="C209" s="26" t="s">
        <v>253</v>
      </c>
      <c r="D209" s="27" t="s">
        <v>25</v>
      </c>
      <c r="E209" s="28">
        <v>8.0</v>
      </c>
    </row>
    <row r="210">
      <c r="B210" s="25">
        <v>16.0</v>
      </c>
      <c r="C210" s="26" t="s">
        <v>254</v>
      </c>
      <c r="D210" s="27" t="s">
        <v>7</v>
      </c>
      <c r="E210" s="28">
        <v>8.0</v>
      </c>
    </row>
    <row r="211">
      <c r="B211" s="25">
        <v>17.0</v>
      </c>
      <c r="C211" s="26" t="s">
        <v>255</v>
      </c>
      <c r="D211" s="27" t="s">
        <v>7</v>
      </c>
      <c r="E211" s="28">
        <v>8.0</v>
      </c>
    </row>
    <row r="212">
      <c r="B212" s="25">
        <v>18.0</v>
      </c>
      <c r="C212" s="26" t="s">
        <v>256</v>
      </c>
      <c r="D212" s="27" t="s">
        <v>7</v>
      </c>
      <c r="E212" s="28">
        <v>8.0</v>
      </c>
    </row>
    <row r="213">
      <c r="B213" s="25">
        <v>19.0</v>
      </c>
      <c r="C213" s="26" t="s">
        <v>258</v>
      </c>
      <c r="D213" s="27" t="s">
        <v>7</v>
      </c>
      <c r="E213" s="28">
        <v>8.0</v>
      </c>
    </row>
    <row r="214">
      <c r="B214" s="25">
        <v>20.0</v>
      </c>
      <c r="C214" s="26" t="s">
        <v>259</v>
      </c>
      <c r="D214" s="27" t="s">
        <v>7</v>
      </c>
      <c r="E214" s="28">
        <v>8.0</v>
      </c>
    </row>
    <row r="215">
      <c r="B215" s="25">
        <v>21.0</v>
      </c>
      <c r="C215" s="26" t="s">
        <v>261</v>
      </c>
      <c r="D215" s="27" t="s">
        <v>7</v>
      </c>
      <c r="E215" s="28">
        <v>8.0</v>
      </c>
    </row>
    <row r="216">
      <c r="B216" s="25">
        <v>22.0</v>
      </c>
      <c r="C216" s="26" t="s">
        <v>262</v>
      </c>
      <c r="D216" s="27" t="s">
        <v>7</v>
      </c>
      <c r="E216" s="28">
        <v>8.0</v>
      </c>
    </row>
    <row r="217">
      <c r="B217" s="25">
        <v>23.0</v>
      </c>
      <c r="C217" s="26" t="s">
        <v>263</v>
      </c>
      <c r="D217" s="27" t="s">
        <v>7</v>
      </c>
      <c r="E217" s="28">
        <v>8.0</v>
      </c>
    </row>
    <row r="218">
      <c r="B218" s="25">
        <v>24.0</v>
      </c>
      <c r="C218" s="26" t="s">
        <v>264</v>
      </c>
      <c r="D218" s="27" t="s">
        <v>7</v>
      </c>
      <c r="E218" s="28">
        <v>8.0</v>
      </c>
    </row>
    <row r="219">
      <c r="B219" s="25">
        <v>25.0</v>
      </c>
      <c r="C219" s="26" t="s">
        <v>265</v>
      </c>
      <c r="D219" s="27" t="s">
        <v>7</v>
      </c>
      <c r="E219" s="28">
        <v>8.0</v>
      </c>
    </row>
    <row r="220">
      <c r="B220" s="25">
        <v>26.0</v>
      </c>
      <c r="C220" s="26" t="s">
        <v>267</v>
      </c>
      <c r="D220" s="27" t="s">
        <v>28</v>
      </c>
      <c r="E220" s="28">
        <v>8.0</v>
      </c>
    </row>
    <row r="221">
      <c r="B221" s="25">
        <v>27.0</v>
      </c>
      <c r="C221" s="26" t="s">
        <v>268</v>
      </c>
      <c r="D221" s="27" t="s">
        <v>28</v>
      </c>
      <c r="E221" s="28">
        <v>8.0</v>
      </c>
    </row>
    <row r="222">
      <c r="B222" s="35">
        <v>28.0</v>
      </c>
      <c r="C222" s="29" t="s">
        <v>269</v>
      </c>
      <c r="D222" s="27" t="s">
        <v>28</v>
      </c>
      <c r="E222" s="28">
        <v>8.0</v>
      </c>
    </row>
    <row r="223">
      <c r="A223" s="4">
        <v>9.0</v>
      </c>
      <c r="B223" s="5">
        <v>1.0</v>
      </c>
      <c r="C223" s="30" t="s">
        <v>270</v>
      </c>
      <c r="D223" s="7" t="s">
        <v>7</v>
      </c>
      <c r="E223" s="8">
        <v>9.0</v>
      </c>
    </row>
    <row r="224">
      <c r="B224" s="5">
        <v>2.0</v>
      </c>
      <c r="C224" s="30" t="s">
        <v>272</v>
      </c>
      <c r="D224" s="7" t="s">
        <v>7</v>
      </c>
      <c r="E224" s="8">
        <v>9.0</v>
      </c>
    </row>
    <row r="225">
      <c r="B225" s="5">
        <v>3.0</v>
      </c>
      <c r="C225" s="30" t="s">
        <v>274</v>
      </c>
      <c r="D225" s="7" t="s">
        <v>25</v>
      </c>
      <c r="E225" s="8">
        <v>9.0</v>
      </c>
    </row>
    <row r="226">
      <c r="B226" s="5">
        <v>4.0</v>
      </c>
      <c r="C226" s="30" t="s">
        <v>275</v>
      </c>
      <c r="D226" s="7" t="s">
        <v>25</v>
      </c>
      <c r="E226" s="8">
        <v>9.0</v>
      </c>
    </row>
    <row r="227">
      <c r="B227" s="5">
        <v>5.0</v>
      </c>
      <c r="C227" s="38" t="s">
        <v>276</v>
      </c>
      <c r="D227" s="7" t="s">
        <v>32</v>
      </c>
      <c r="E227" s="8">
        <v>9.0</v>
      </c>
      <c r="G227" s="23" t="s">
        <v>277</v>
      </c>
    </row>
    <row r="228">
      <c r="B228" s="5">
        <v>6.0</v>
      </c>
      <c r="C228" s="30" t="s">
        <v>278</v>
      </c>
      <c r="D228" s="7" t="s">
        <v>32</v>
      </c>
      <c r="E228" s="8">
        <v>9.0</v>
      </c>
    </row>
    <row r="229">
      <c r="B229" s="5">
        <v>7.0</v>
      </c>
      <c r="C229" s="30" t="s">
        <v>279</v>
      </c>
      <c r="D229" s="7" t="s">
        <v>32</v>
      </c>
      <c r="E229" s="8">
        <v>9.0</v>
      </c>
    </row>
    <row r="230">
      <c r="B230" s="5">
        <v>8.0</v>
      </c>
      <c r="C230" s="30" t="s">
        <v>280</v>
      </c>
      <c r="D230" s="7" t="s">
        <v>32</v>
      </c>
      <c r="E230" s="8">
        <v>9.0</v>
      </c>
    </row>
    <row r="231">
      <c r="B231" s="5">
        <v>9.0</v>
      </c>
      <c r="C231" s="30" t="s">
        <v>281</v>
      </c>
      <c r="D231" s="7" t="s">
        <v>5</v>
      </c>
      <c r="E231" s="8">
        <v>9.0</v>
      </c>
    </row>
    <row r="232">
      <c r="B232" s="5">
        <v>10.0</v>
      </c>
      <c r="C232" s="30" t="s">
        <v>282</v>
      </c>
      <c r="D232" s="7" t="s">
        <v>5</v>
      </c>
      <c r="E232" s="8">
        <v>9.0</v>
      </c>
    </row>
    <row r="233">
      <c r="B233" s="5">
        <v>11.0</v>
      </c>
      <c r="C233" s="30" t="s">
        <v>283</v>
      </c>
      <c r="D233" s="7" t="s">
        <v>39</v>
      </c>
      <c r="E233" s="8">
        <v>9.0</v>
      </c>
    </row>
    <row r="234">
      <c r="B234" s="5">
        <v>12.0</v>
      </c>
      <c r="C234" s="30" t="s">
        <v>284</v>
      </c>
      <c r="D234" s="7" t="s">
        <v>7</v>
      </c>
      <c r="E234" s="8">
        <v>9.0</v>
      </c>
    </row>
    <row r="235">
      <c r="B235" s="5">
        <v>13.0</v>
      </c>
      <c r="C235" s="30" t="s">
        <v>286</v>
      </c>
      <c r="D235" s="7" t="s">
        <v>7</v>
      </c>
      <c r="E235" s="8">
        <v>9.0</v>
      </c>
    </row>
    <row r="236">
      <c r="B236" s="5">
        <v>14.0</v>
      </c>
      <c r="C236" s="30" t="s">
        <v>287</v>
      </c>
      <c r="D236" s="7" t="s">
        <v>7</v>
      </c>
      <c r="E236" s="8">
        <v>9.0</v>
      </c>
    </row>
    <row r="237">
      <c r="B237" s="5">
        <v>15.0</v>
      </c>
      <c r="C237" s="30" t="s">
        <v>288</v>
      </c>
      <c r="D237" s="7" t="s">
        <v>7</v>
      </c>
      <c r="E237" s="8">
        <v>9.0</v>
      </c>
    </row>
    <row r="238">
      <c r="B238" s="5">
        <v>16.0</v>
      </c>
      <c r="C238" s="30" t="s">
        <v>289</v>
      </c>
      <c r="D238" s="7" t="s">
        <v>7</v>
      </c>
      <c r="E238" s="8">
        <v>9.0</v>
      </c>
    </row>
    <row r="239">
      <c r="B239" s="5">
        <v>17.0</v>
      </c>
      <c r="C239" s="30" t="s">
        <v>290</v>
      </c>
      <c r="D239" s="7" t="s">
        <v>7</v>
      </c>
      <c r="E239" s="8">
        <v>9.0</v>
      </c>
    </row>
    <row r="240">
      <c r="B240" s="5">
        <v>18.0</v>
      </c>
      <c r="C240" s="30" t="s">
        <v>291</v>
      </c>
      <c r="D240" s="7" t="s">
        <v>25</v>
      </c>
      <c r="E240" s="8">
        <v>9.0</v>
      </c>
    </row>
    <row r="241">
      <c r="B241" s="5">
        <v>19.0</v>
      </c>
      <c r="C241" s="30" t="s">
        <v>292</v>
      </c>
      <c r="D241" s="7" t="s">
        <v>7</v>
      </c>
      <c r="E241" s="8">
        <v>9.0</v>
      </c>
    </row>
    <row r="242">
      <c r="B242" s="5">
        <v>20.0</v>
      </c>
      <c r="C242" s="30" t="s">
        <v>293</v>
      </c>
      <c r="D242" s="7" t="s">
        <v>7</v>
      </c>
      <c r="E242" s="8">
        <v>9.0</v>
      </c>
    </row>
    <row r="243">
      <c r="B243" s="5">
        <v>21.0</v>
      </c>
      <c r="C243" s="30" t="s">
        <v>294</v>
      </c>
      <c r="D243" s="7" t="s">
        <v>7</v>
      </c>
      <c r="E243" s="8">
        <v>9.0</v>
      </c>
    </row>
    <row r="244">
      <c r="B244" s="5">
        <v>22.0</v>
      </c>
      <c r="C244" s="30" t="s">
        <v>295</v>
      </c>
      <c r="D244" s="7" t="s">
        <v>7</v>
      </c>
      <c r="E244" s="8">
        <v>9.0</v>
      </c>
    </row>
    <row r="245">
      <c r="B245" s="5">
        <v>23.0</v>
      </c>
      <c r="C245" s="30" t="s">
        <v>296</v>
      </c>
      <c r="D245" s="7" t="s">
        <v>25</v>
      </c>
      <c r="E245" s="8">
        <v>9.0</v>
      </c>
    </row>
    <row r="246">
      <c r="B246" s="5">
        <v>24.0</v>
      </c>
      <c r="C246" s="30" t="s">
        <v>297</v>
      </c>
      <c r="D246" s="7" t="s">
        <v>25</v>
      </c>
      <c r="E246" s="8">
        <v>9.0</v>
      </c>
    </row>
    <row r="247">
      <c r="B247" s="5">
        <v>25.0</v>
      </c>
      <c r="C247" s="30" t="s">
        <v>298</v>
      </c>
      <c r="D247" s="7" t="s">
        <v>28</v>
      </c>
      <c r="E247" s="8">
        <v>9.0</v>
      </c>
    </row>
    <row r="248">
      <c r="B248" s="5">
        <v>26.0</v>
      </c>
      <c r="C248" s="30" t="s">
        <v>300</v>
      </c>
      <c r="D248" s="7" t="s">
        <v>28</v>
      </c>
      <c r="E248" s="8">
        <v>9.0</v>
      </c>
    </row>
    <row r="249">
      <c r="B249" s="5">
        <v>27.0</v>
      </c>
      <c r="C249" s="30" t="s">
        <v>301</v>
      </c>
      <c r="D249" s="7" t="s">
        <v>7</v>
      </c>
      <c r="E249" s="8">
        <v>9.0</v>
      </c>
    </row>
    <row r="250">
      <c r="A250" s="24">
        <v>10.0</v>
      </c>
      <c r="B250" s="25">
        <v>1.0</v>
      </c>
      <c r="C250" s="26" t="s">
        <v>303</v>
      </c>
      <c r="D250" s="27" t="s">
        <v>7</v>
      </c>
      <c r="E250" s="28">
        <v>10.0</v>
      </c>
    </row>
    <row r="251">
      <c r="B251" s="25">
        <v>2.0</v>
      </c>
      <c r="C251" s="26" t="s">
        <v>305</v>
      </c>
      <c r="D251" s="27" t="s">
        <v>25</v>
      </c>
      <c r="E251" s="28">
        <v>10.0</v>
      </c>
    </row>
    <row r="252">
      <c r="B252" s="25">
        <v>3.0</v>
      </c>
      <c r="C252" s="26" t="s">
        <v>306</v>
      </c>
      <c r="D252" s="27" t="s">
        <v>25</v>
      </c>
      <c r="E252" s="28">
        <v>10.0</v>
      </c>
    </row>
    <row r="253">
      <c r="B253" s="25">
        <v>4.0</v>
      </c>
      <c r="C253" s="26" t="s">
        <v>308</v>
      </c>
      <c r="D253" s="27" t="s">
        <v>32</v>
      </c>
      <c r="E253" s="28">
        <v>10.0</v>
      </c>
    </row>
    <row r="254">
      <c r="B254" s="25">
        <v>5.0</v>
      </c>
      <c r="C254" s="26" t="s">
        <v>309</v>
      </c>
      <c r="D254" s="27" t="s">
        <v>32</v>
      </c>
      <c r="E254" s="28">
        <v>10.0</v>
      </c>
    </row>
    <row r="255">
      <c r="B255" s="25">
        <v>6.0</v>
      </c>
      <c r="C255" s="26" t="s">
        <v>311</v>
      </c>
      <c r="D255" s="27" t="s">
        <v>32</v>
      </c>
      <c r="E255" s="28">
        <v>10.0</v>
      </c>
    </row>
    <row r="256">
      <c r="B256" s="25">
        <v>7.0</v>
      </c>
      <c r="C256" s="26" t="s">
        <v>312</v>
      </c>
      <c r="D256" s="27" t="s">
        <v>32</v>
      </c>
      <c r="E256" s="28">
        <v>10.0</v>
      </c>
    </row>
    <row r="257">
      <c r="B257" s="25">
        <v>8.0</v>
      </c>
      <c r="C257" s="26" t="s">
        <v>314</v>
      </c>
      <c r="D257" s="27" t="s">
        <v>39</v>
      </c>
      <c r="E257" s="28">
        <v>10.0</v>
      </c>
    </row>
    <row r="258">
      <c r="B258" s="25">
        <v>9.0</v>
      </c>
      <c r="C258" s="26" t="s">
        <v>315</v>
      </c>
      <c r="D258" s="27" t="s">
        <v>5</v>
      </c>
      <c r="E258" s="28">
        <v>10.0</v>
      </c>
    </row>
    <row r="259">
      <c r="B259" s="25">
        <v>10.0</v>
      </c>
      <c r="C259" s="26" t="s">
        <v>316</v>
      </c>
      <c r="D259" s="27" t="s">
        <v>39</v>
      </c>
      <c r="E259" s="28">
        <v>10.0</v>
      </c>
    </row>
    <row r="260">
      <c r="B260" s="25">
        <v>11.0</v>
      </c>
      <c r="C260" s="26" t="s">
        <v>318</v>
      </c>
      <c r="D260" s="27" t="s">
        <v>7</v>
      </c>
      <c r="E260" s="28">
        <v>10.0</v>
      </c>
    </row>
    <row r="261">
      <c r="B261" s="25">
        <v>12.0</v>
      </c>
      <c r="C261" s="26" t="s">
        <v>319</v>
      </c>
      <c r="D261" s="27" t="s">
        <v>5</v>
      </c>
      <c r="E261" s="28">
        <v>10.0</v>
      </c>
    </row>
    <row r="262">
      <c r="B262" s="25">
        <v>13.0</v>
      </c>
      <c r="C262" s="26" t="s">
        <v>320</v>
      </c>
      <c r="D262" s="27" t="s">
        <v>7</v>
      </c>
      <c r="E262" s="28">
        <v>10.0</v>
      </c>
    </row>
    <row r="263">
      <c r="B263" s="25">
        <v>14.0</v>
      </c>
      <c r="C263" s="26" t="s">
        <v>322</v>
      </c>
      <c r="D263" s="27" t="s">
        <v>7</v>
      </c>
      <c r="E263" s="28">
        <v>10.0</v>
      </c>
    </row>
    <row r="264">
      <c r="B264" s="25">
        <v>15.0</v>
      </c>
      <c r="C264" s="26" t="s">
        <v>323</v>
      </c>
      <c r="D264" s="27" t="s">
        <v>7</v>
      </c>
      <c r="E264" s="28">
        <v>10.0</v>
      </c>
    </row>
    <row r="265">
      <c r="B265" s="25">
        <v>16.0</v>
      </c>
      <c r="C265" s="26" t="s">
        <v>324</v>
      </c>
      <c r="D265" s="27" t="s">
        <v>7</v>
      </c>
      <c r="E265" s="28">
        <v>10.0</v>
      </c>
    </row>
    <row r="266">
      <c r="B266" s="25">
        <v>17.0</v>
      </c>
      <c r="C266" s="26" t="s">
        <v>326</v>
      </c>
      <c r="D266" s="27" t="s">
        <v>7</v>
      </c>
      <c r="E266" s="28">
        <v>10.0</v>
      </c>
    </row>
    <row r="267">
      <c r="B267" s="25">
        <v>18.0</v>
      </c>
      <c r="C267" s="26" t="s">
        <v>328</v>
      </c>
      <c r="D267" s="27" t="s">
        <v>25</v>
      </c>
      <c r="E267" s="28">
        <v>10.0</v>
      </c>
    </row>
    <row r="268">
      <c r="B268" s="25">
        <v>19.0</v>
      </c>
      <c r="C268" s="26" t="s">
        <v>330</v>
      </c>
      <c r="D268" s="27" t="s">
        <v>25</v>
      </c>
      <c r="E268" s="28">
        <v>10.0</v>
      </c>
    </row>
    <row r="269">
      <c r="B269" s="25">
        <v>20.0</v>
      </c>
      <c r="C269" s="26" t="s">
        <v>331</v>
      </c>
      <c r="D269" s="27" t="s">
        <v>25</v>
      </c>
      <c r="E269" s="28">
        <v>10.0</v>
      </c>
    </row>
    <row r="270">
      <c r="B270" s="25">
        <v>21.0</v>
      </c>
      <c r="C270" s="26" t="s">
        <v>333</v>
      </c>
      <c r="D270" s="27" t="s">
        <v>28</v>
      </c>
      <c r="E270" s="28">
        <v>10.0</v>
      </c>
    </row>
    <row r="271">
      <c r="B271" s="25">
        <v>22.0</v>
      </c>
      <c r="C271" s="26" t="s">
        <v>334</v>
      </c>
      <c r="D271" s="27" t="s">
        <v>7</v>
      </c>
      <c r="E271" s="28">
        <v>10.0</v>
      </c>
    </row>
    <row r="272">
      <c r="B272" s="25">
        <v>23.0</v>
      </c>
      <c r="C272" s="26" t="s">
        <v>335</v>
      </c>
      <c r="D272" s="27" t="s">
        <v>7</v>
      </c>
      <c r="E272" s="28">
        <v>10.0</v>
      </c>
    </row>
    <row r="273">
      <c r="B273" s="25">
        <v>24.0</v>
      </c>
      <c r="C273" s="26" t="s">
        <v>336</v>
      </c>
      <c r="D273" s="27" t="s">
        <v>7</v>
      </c>
      <c r="E273" s="28">
        <v>10.0</v>
      </c>
    </row>
    <row r="274">
      <c r="B274" s="25">
        <v>25.0</v>
      </c>
      <c r="C274" s="26" t="s">
        <v>337</v>
      </c>
      <c r="D274" s="27" t="s">
        <v>7</v>
      </c>
      <c r="E274" s="28">
        <v>10.0</v>
      </c>
    </row>
    <row r="275">
      <c r="B275" s="25">
        <v>26.0</v>
      </c>
      <c r="C275" s="26" t="s">
        <v>338</v>
      </c>
      <c r="D275" s="27" t="s">
        <v>7</v>
      </c>
      <c r="E275" s="28">
        <v>10.0</v>
      </c>
    </row>
    <row r="276">
      <c r="B276" s="25">
        <v>27.0</v>
      </c>
      <c r="C276" s="26" t="s">
        <v>340</v>
      </c>
      <c r="D276" s="27" t="s">
        <v>7</v>
      </c>
      <c r="E276" s="28">
        <v>10.0</v>
      </c>
    </row>
    <row r="277">
      <c r="B277" s="35">
        <v>28.0</v>
      </c>
      <c r="C277" s="29" t="s">
        <v>342</v>
      </c>
      <c r="D277" s="27" t="s">
        <v>7</v>
      </c>
      <c r="E277" s="28">
        <v>10.0</v>
      </c>
    </row>
    <row r="278">
      <c r="A278" s="4">
        <v>11.0</v>
      </c>
      <c r="B278" s="5">
        <v>1.0</v>
      </c>
      <c r="C278" s="30" t="s">
        <v>344</v>
      </c>
      <c r="D278" s="7" t="s">
        <v>25</v>
      </c>
      <c r="E278" s="8">
        <v>11.0</v>
      </c>
    </row>
    <row r="279">
      <c r="B279" s="5">
        <v>2.0</v>
      </c>
      <c r="C279" s="30" t="s">
        <v>345</v>
      </c>
      <c r="D279" s="7" t="s">
        <v>25</v>
      </c>
      <c r="E279" s="8">
        <v>11.0</v>
      </c>
    </row>
    <row r="280">
      <c r="B280" s="5">
        <v>3.0</v>
      </c>
      <c r="C280" s="30" t="s">
        <v>346</v>
      </c>
      <c r="D280" s="7" t="s">
        <v>25</v>
      </c>
      <c r="E280" s="8">
        <v>11.0</v>
      </c>
    </row>
    <row r="281">
      <c r="B281" s="5">
        <v>4.0</v>
      </c>
      <c r="C281" s="30" t="s">
        <v>347</v>
      </c>
      <c r="D281" s="7" t="s">
        <v>32</v>
      </c>
      <c r="E281" s="8">
        <v>11.0</v>
      </c>
    </row>
    <row r="282">
      <c r="B282" s="5">
        <v>5.0</v>
      </c>
      <c r="C282" s="30" t="s">
        <v>348</v>
      </c>
      <c r="D282" s="7" t="s">
        <v>32</v>
      </c>
      <c r="E282" s="8">
        <v>11.0</v>
      </c>
    </row>
    <row r="283">
      <c r="B283" s="5">
        <v>6.0</v>
      </c>
      <c r="C283" s="30" t="s">
        <v>349</v>
      </c>
      <c r="D283" s="7" t="s">
        <v>32</v>
      </c>
      <c r="E283" s="8">
        <v>11.0</v>
      </c>
    </row>
    <row r="284">
      <c r="B284" s="5">
        <v>7.0</v>
      </c>
      <c r="C284" s="30" t="s">
        <v>350</v>
      </c>
      <c r="D284" s="7" t="s">
        <v>32</v>
      </c>
      <c r="E284" s="8">
        <v>11.0</v>
      </c>
    </row>
    <row r="285">
      <c r="B285" s="5">
        <v>8.0</v>
      </c>
      <c r="C285" s="30" t="s">
        <v>351</v>
      </c>
      <c r="D285" s="7" t="s">
        <v>39</v>
      </c>
      <c r="E285" s="8">
        <v>11.0</v>
      </c>
    </row>
    <row r="286">
      <c r="B286" s="5">
        <v>9.0</v>
      </c>
      <c r="C286" s="30" t="s">
        <v>352</v>
      </c>
      <c r="D286" s="7" t="s">
        <v>7</v>
      </c>
      <c r="E286" s="8">
        <v>11.0</v>
      </c>
    </row>
    <row r="287">
      <c r="B287" s="5">
        <v>10.0</v>
      </c>
      <c r="C287" s="30" t="s">
        <v>353</v>
      </c>
      <c r="D287" s="7" t="s">
        <v>7</v>
      </c>
      <c r="E287" s="8">
        <v>11.0</v>
      </c>
    </row>
    <row r="288">
      <c r="B288" s="5">
        <v>11.0</v>
      </c>
      <c r="C288" s="30" t="s">
        <v>354</v>
      </c>
      <c r="D288" s="7" t="s">
        <v>28</v>
      </c>
      <c r="E288" s="8">
        <v>11.0</v>
      </c>
    </row>
    <row r="289">
      <c r="B289" s="5">
        <v>12.0</v>
      </c>
      <c r="C289" s="30" t="s">
        <v>355</v>
      </c>
      <c r="D289" s="7" t="s">
        <v>25</v>
      </c>
      <c r="E289" s="8">
        <v>11.0</v>
      </c>
    </row>
    <row r="290">
      <c r="B290" s="5">
        <v>13.0</v>
      </c>
      <c r="C290" s="30" t="s">
        <v>356</v>
      </c>
      <c r="D290" s="7" t="s">
        <v>28</v>
      </c>
      <c r="E290" s="8">
        <v>11.0</v>
      </c>
    </row>
    <row r="291">
      <c r="B291" s="5">
        <v>14.0</v>
      </c>
      <c r="C291" s="30" t="s">
        <v>357</v>
      </c>
      <c r="D291" s="7" t="s">
        <v>25</v>
      </c>
      <c r="E291" s="8">
        <v>11.0</v>
      </c>
    </row>
    <row r="292">
      <c r="B292" s="5">
        <v>15.0</v>
      </c>
      <c r="C292" s="30" t="s">
        <v>358</v>
      </c>
      <c r="D292" s="7" t="s">
        <v>7</v>
      </c>
      <c r="E292" s="8">
        <v>11.0</v>
      </c>
    </row>
    <row r="293">
      <c r="B293" s="5">
        <v>16.0</v>
      </c>
      <c r="C293" s="30" t="s">
        <v>360</v>
      </c>
      <c r="D293" s="7" t="s">
        <v>7</v>
      </c>
      <c r="E293" s="8">
        <v>11.0</v>
      </c>
    </row>
    <row r="294">
      <c r="B294" s="5">
        <v>17.0</v>
      </c>
      <c r="C294" s="30" t="s">
        <v>361</v>
      </c>
      <c r="D294" s="7" t="s">
        <v>7</v>
      </c>
      <c r="E294" s="8">
        <v>11.0</v>
      </c>
    </row>
    <row r="295">
      <c r="B295" s="5">
        <v>18.0</v>
      </c>
      <c r="C295" s="30" t="s">
        <v>362</v>
      </c>
      <c r="D295" s="7" t="s">
        <v>7</v>
      </c>
      <c r="E295" s="8">
        <v>11.0</v>
      </c>
    </row>
    <row r="296">
      <c r="B296" s="5">
        <v>19.0</v>
      </c>
      <c r="C296" s="30" t="s">
        <v>364</v>
      </c>
      <c r="D296" s="7" t="s">
        <v>7</v>
      </c>
      <c r="E296" s="8">
        <v>11.0</v>
      </c>
    </row>
    <row r="297">
      <c r="B297" s="5">
        <v>20.0</v>
      </c>
      <c r="C297" s="30" t="s">
        <v>365</v>
      </c>
      <c r="D297" s="7" t="s">
        <v>7</v>
      </c>
      <c r="E297" s="8">
        <v>11.0</v>
      </c>
    </row>
    <row r="298">
      <c r="B298" s="5">
        <v>21.0</v>
      </c>
      <c r="C298" s="30" t="s">
        <v>367</v>
      </c>
      <c r="D298" s="7" t="s">
        <v>7</v>
      </c>
      <c r="E298" s="8">
        <v>11.0</v>
      </c>
    </row>
    <row r="299">
      <c r="B299" s="5">
        <v>22.0</v>
      </c>
      <c r="C299" s="30" t="s">
        <v>368</v>
      </c>
      <c r="D299" s="7" t="s">
        <v>7</v>
      </c>
      <c r="E299" s="8">
        <v>11.0</v>
      </c>
    </row>
    <row r="300">
      <c r="B300" s="5">
        <v>23.0</v>
      </c>
      <c r="C300" s="30" t="s">
        <v>369</v>
      </c>
      <c r="D300" s="7" t="s">
        <v>7</v>
      </c>
      <c r="E300" s="8">
        <v>11.0</v>
      </c>
    </row>
    <row r="301">
      <c r="B301" s="5">
        <v>24.0</v>
      </c>
      <c r="C301" s="30" t="s">
        <v>370</v>
      </c>
      <c r="D301" s="7" t="s">
        <v>25</v>
      </c>
      <c r="E301" s="8">
        <v>11.0</v>
      </c>
    </row>
    <row r="302">
      <c r="B302" s="5">
        <v>25.0</v>
      </c>
      <c r="C302" s="30" t="s">
        <v>372</v>
      </c>
      <c r="D302" s="7" t="s">
        <v>7</v>
      </c>
      <c r="E302" s="8">
        <v>11.0</v>
      </c>
    </row>
    <row r="303">
      <c r="B303" s="5">
        <v>26.0</v>
      </c>
      <c r="C303" s="30" t="s">
        <v>373</v>
      </c>
      <c r="D303" s="7" t="s">
        <v>7</v>
      </c>
      <c r="E303" s="8">
        <v>11.0</v>
      </c>
    </row>
    <row r="304">
      <c r="B304" s="5">
        <v>27.0</v>
      </c>
      <c r="C304" s="38" t="s">
        <v>374</v>
      </c>
      <c r="D304" s="7" t="s">
        <v>5</v>
      </c>
      <c r="E304" s="8">
        <v>11.0</v>
      </c>
    </row>
    <row r="305">
      <c r="A305" s="3">
        <v>12.0</v>
      </c>
      <c r="B305" s="40">
        <v>1.0</v>
      </c>
      <c r="C305" s="41" t="s">
        <v>377</v>
      </c>
      <c r="D305" s="1" t="s">
        <v>25</v>
      </c>
      <c r="E305" s="42">
        <v>12.0</v>
      </c>
    </row>
    <row r="306">
      <c r="B306" s="40">
        <v>2.0</v>
      </c>
      <c r="C306" s="41" t="s">
        <v>378</v>
      </c>
      <c r="D306" s="1" t="s">
        <v>32</v>
      </c>
      <c r="E306" s="42">
        <v>12.0</v>
      </c>
    </row>
    <row r="307">
      <c r="B307" s="40">
        <v>3.0</v>
      </c>
      <c r="C307" s="41" t="s">
        <v>380</v>
      </c>
      <c r="D307" s="1" t="s">
        <v>32</v>
      </c>
      <c r="E307" s="42">
        <v>12.0</v>
      </c>
    </row>
    <row r="308">
      <c r="B308" s="40">
        <v>4.0</v>
      </c>
      <c r="C308" s="41" t="s">
        <v>381</v>
      </c>
      <c r="D308" s="1" t="s">
        <v>32</v>
      </c>
      <c r="E308" s="42">
        <v>12.0</v>
      </c>
    </row>
    <row r="309">
      <c r="B309" s="40">
        <v>5.0</v>
      </c>
      <c r="C309" s="41" t="s">
        <v>382</v>
      </c>
      <c r="D309" s="43" t="s">
        <v>32</v>
      </c>
      <c r="E309" s="42">
        <v>12.0</v>
      </c>
    </row>
    <row r="310">
      <c r="B310" s="40">
        <v>6.0</v>
      </c>
      <c r="C310" s="41" t="s">
        <v>384</v>
      </c>
      <c r="D310" s="1" t="s">
        <v>32</v>
      </c>
      <c r="E310" s="42">
        <v>12.0</v>
      </c>
    </row>
    <row r="311">
      <c r="B311" s="40">
        <v>7.0</v>
      </c>
      <c r="C311" s="41" t="s">
        <v>386</v>
      </c>
      <c r="D311" s="1" t="s">
        <v>39</v>
      </c>
      <c r="E311" s="42">
        <v>12.0</v>
      </c>
    </row>
    <row r="312">
      <c r="B312" s="40">
        <v>8.0</v>
      </c>
      <c r="C312" s="41" t="s">
        <v>387</v>
      </c>
      <c r="D312" s="1" t="s">
        <v>25</v>
      </c>
      <c r="E312" s="42">
        <v>12.0</v>
      </c>
    </row>
    <row r="313">
      <c r="B313" s="40">
        <v>9.0</v>
      </c>
      <c r="C313" s="41" t="s">
        <v>388</v>
      </c>
      <c r="D313" s="1" t="s">
        <v>25</v>
      </c>
      <c r="E313" s="42">
        <v>12.0</v>
      </c>
    </row>
    <row r="314">
      <c r="B314" s="40">
        <v>10.0</v>
      </c>
      <c r="C314" s="44" t="s">
        <v>389</v>
      </c>
      <c r="D314" s="1" t="s">
        <v>28</v>
      </c>
      <c r="E314" s="42">
        <v>12.0</v>
      </c>
    </row>
    <row r="315">
      <c r="B315" s="40">
        <v>11.0</v>
      </c>
      <c r="C315" s="44" t="s">
        <v>391</v>
      </c>
      <c r="D315" s="1" t="s">
        <v>28</v>
      </c>
      <c r="E315" s="42">
        <v>12.0</v>
      </c>
    </row>
    <row r="316">
      <c r="B316" s="40">
        <v>12.0</v>
      </c>
      <c r="C316" s="41" t="s">
        <v>392</v>
      </c>
      <c r="D316" s="1" t="s">
        <v>7</v>
      </c>
      <c r="E316" s="42">
        <v>12.0</v>
      </c>
    </row>
    <row r="317">
      <c r="B317" s="40">
        <v>13.0</v>
      </c>
      <c r="C317" s="41" t="s">
        <v>393</v>
      </c>
      <c r="D317" s="1" t="s">
        <v>25</v>
      </c>
      <c r="E317" s="42">
        <v>12.0</v>
      </c>
    </row>
    <row r="318">
      <c r="B318" s="40">
        <v>14.0</v>
      </c>
      <c r="C318" s="41" t="s">
        <v>394</v>
      </c>
      <c r="D318" s="1" t="s">
        <v>7</v>
      </c>
      <c r="E318" s="42">
        <v>12.0</v>
      </c>
    </row>
    <row r="319">
      <c r="B319" s="40">
        <v>15.0</v>
      </c>
      <c r="C319" s="41" t="s">
        <v>395</v>
      </c>
      <c r="D319" s="1" t="s">
        <v>7</v>
      </c>
      <c r="E319" s="42">
        <v>12.0</v>
      </c>
    </row>
    <row r="320">
      <c r="B320" s="40">
        <v>16.0</v>
      </c>
      <c r="C320" s="41" t="s">
        <v>397</v>
      </c>
      <c r="D320" s="1" t="s">
        <v>7</v>
      </c>
      <c r="E320" s="42">
        <v>12.0</v>
      </c>
    </row>
    <row r="321">
      <c r="B321" s="40">
        <v>17.0</v>
      </c>
      <c r="C321" s="41" t="s">
        <v>398</v>
      </c>
      <c r="D321" s="1" t="s">
        <v>7</v>
      </c>
      <c r="E321" s="42">
        <v>12.0</v>
      </c>
    </row>
    <row r="322">
      <c r="B322" s="40">
        <v>18.0</v>
      </c>
      <c r="C322" s="41" t="s">
        <v>399</v>
      </c>
      <c r="D322" s="1" t="s">
        <v>7</v>
      </c>
      <c r="E322" s="42">
        <v>12.0</v>
      </c>
    </row>
    <row r="323">
      <c r="B323" s="40">
        <v>19.0</v>
      </c>
      <c r="C323" s="41" t="s">
        <v>400</v>
      </c>
      <c r="D323" s="1" t="s">
        <v>7</v>
      </c>
      <c r="E323" s="42">
        <v>12.0</v>
      </c>
    </row>
    <row r="324">
      <c r="B324" s="40">
        <v>20.0</v>
      </c>
      <c r="C324" s="41" t="s">
        <v>402</v>
      </c>
      <c r="D324" s="1" t="s">
        <v>7</v>
      </c>
      <c r="E324" s="42">
        <v>12.0</v>
      </c>
    </row>
    <row r="325">
      <c r="B325" s="40">
        <v>21.0</v>
      </c>
      <c r="C325" s="41" t="s">
        <v>403</v>
      </c>
      <c r="D325" s="1" t="s">
        <v>7</v>
      </c>
      <c r="E325" s="42">
        <v>12.0</v>
      </c>
    </row>
    <row r="326">
      <c r="B326" s="40">
        <v>22.0</v>
      </c>
      <c r="C326" s="41" t="s">
        <v>405</v>
      </c>
      <c r="D326" s="1" t="s">
        <v>39</v>
      </c>
      <c r="E326" s="42">
        <v>12.0</v>
      </c>
    </row>
    <row r="327">
      <c r="B327" s="40">
        <v>23.0</v>
      </c>
      <c r="C327" s="41" t="s">
        <v>406</v>
      </c>
      <c r="D327" s="43" t="s">
        <v>7</v>
      </c>
      <c r="E327" s="42">
        <v>12.0</v>
      </c>
    </row>
    <row r="328">
      <c r="B328" s="40">
        <v>24.0</v>
      </c>
      <c r="C328" s="41" t="s">
        <v>407</v>
      </c>
      <c r="D328" s="1" t="s">
        <v>7</v>
      </c>
      <c r="E328" s="42">
        <v>12.0</v>
      </c>
    </row>
    <row r="329">
      <c r="B329" s="40">
        <v>25.0</v>
      </c>
      <c r="C329" s="41" t="s">
        <v>409</v>
      </c>
      <c r="D329" s="1" t="s">
        <v>7</v>
      </c>
      <c r="E329" s="42">
        <v>12.0</v>
      </c>
    </row>
    <row r="330">
      <c r="B330" s="40">
        <v>26.0</v>
      </c>
      <c r="C330" s="41" t="s">
        <v>410</v>
      </c>
      <c r="D330" s="1" t="s">
        <v>7</v>
      </c>
      <c r="E330" s="42">
        <v>12.0</v>
      </c>
    </row>
    <row r="331">
      <c r="B331" s="40">
        <v>27.0</v>
      </c>
      <c r="C331" s="41" t="s">
        <v>411</v>
      </c>
      <c r="D331" s="1" t="s">
        <v>25</v>
      </c>
      <c r="E331" s="42">
        <v>12.0</v>
      </c>
    </row>
    <row r="332">
      <c r="B332" s="40">
        <v>28.0</v>
      </c>
      <c r="C332" s="41" t="s">
        <v>325</v>
      </c>
      <c r="D332" s="1" t="s">
        <v>7</v>
      </c>
      <c r="E332" s="42">
        <v>12.0</v>
      </c>
    </row>
    <row r="333">
      <c r="B333" s="40">
        <v>29.0</v>
      </c>
      <c r="C333" s="44" t="s">
        <v>413</v>
      </c>
      <c r="D333" s="1" t="s">
        <v>5</v>
      </c>
      <c r="E333" s="42">
        <v>12.0</v>
      </c>
    </row>
  </sheetData>
  <mergeCells count="12">
    <mergeCell ref="A195:A222"/>
    <mergeCell ref="A223:A249"/>
    <mergeCell ref="A250:A277"/>
    <mergeCell ref="A278:A304"/>
    <mergeCell ref="A305:A333"/>
    <mergeCell ref="A2:A29"/>
    <mergeCell ref="A30:A57"/>
    <mergeCell ref="A58:A84"/>
    <mergeCell ref="A85:A112"/>
    <mergeCell ref="A113:A139"/>
    <mergeCell ref="A140:A166"/>
    <mergeCell ref="A167:A194"/>
  </mergeCells>
  <conditionalFormatting sqref="C2:C333">
    <cfRule type="expression" dxfId="0" priority="1">
      <formula>COUNTIF(INDIRECT("'KENDARAAN P1'!A:A"), C2) &gt; 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5"/>
    <col customWidth="1" min="3" max="3" width="8.38"/>
    <col customWidth="1" min="4" max="4" width="8.88"/>
    <col customWidth="1" min="5" max="5" width="35.5"/>
    <col customWidth="1" min="6" max="6" width="12.5"/>
    <col customWidth="1" min="7" max="7" width="3.75"/>
    <col customWidth="1" min="8" max="8" width="10.88"/>
    <col customWidth="1" min="9" max="9" width="16.5"/>
    <col customWidth="1" min="10" max="10" width="3.38"/>
    <col customWidth="1" min="12" max="12" width="3.5"/>
    <col customWidth="1" min="13" max="13" width="10.88"/>
    <col customWidth="1" min="14" max="14" width="16.5"/>
    <col customWidth="1" min="15" max="15" width="3.38"/>
    <col customWidth="1" min="16" max="16" width="32.5"/>
    <col customWidth="1" min="18" max="18" width="3.5"/>
    <col customWidth="1" min="19" max="19" width="10.75"/>
    <col customWidth="1" min="20" max="20" width="16.5"/>
    <col customWidth="1" min="21" max="21" width="3.38"/>
    <col customWidth="1" min="22" max="22" width="31.0"/>
    <col customWidth="1" min="24" max="24" width="3.5"/>
    <col customWidth="1" min="25" max="25" width="10.88"/>
    <col customWidth="1" min="26" max="26" width="16.5"/>
    <col customWidth="1" min="27" max="27" width="3.38"/>
    <col customWidth="1" min="28" max="28" width="32.63"/>
    <col customWidth="1" min="30" max="30" width="3.5"/>
    <col customWidth="1" min="31" max="31" width="10.63"/>
    <col customWidth="1" min="32" max="32" width="16.5"/>
    <col customWidth="1" min="33" max="33" width="3.38"/>
    <col customWidth="1" min="34" max="34" width="35.5"/>
    <col customWidth="1" min="36" max="36" width="3.5"/>
    <col customWidth="1" min="37" max="37" width="10.5"/>
    <col customWidth="1" min="38" max="38" width="16.5"/>
    <col customWidth="1" min="39" max="39" width="3.38"/>
    <col customWidth="1" min="40" max="40" width="32.5"/>
    <col customWidth="1" min="42" max="42" width="3.5"/>
    <col customWidth="1" min="43" max="43" width="10.88"/>
    <col customWidth="1" min="44" max="44" width="16.5"/>
    <col customWidth="1" min="45" max="45" width="3.38"/>
    <col customWidth="1" min="46" max="46" width="34.63"/>
  </cols>
  <sheetData>
    <row r="1">
      <c r="A1" s="9" t="str">
        <f>IFERROR(__xludf.DUMMYFUNCTION("{""DATA BARU"",""TERMINAL"",""PC AWAL"";FILTER({'PC SETTING'!C2:C23550,'PC SETTING'!D2:D23550,'PC SETTING'!E2:E23550},'PC SETTING'!C2:C23550&lt;&gt;"""")}"),"DATA BARU")</f>
        <v>DATA BARU</v>
      </c>
      <c r="B1" s="9" t="str">
        <f>IFERROR(__xludf.DUMMYFUNCTION("""COMPUTED_VALUE"""),"TERMINAL")</f>
        <v>TERMINAL</v>
      </c>
      <c r="C1" s="11" t="str">
        <f>IFERROR(__xludf.DUMMYFUNCTION("""COMPUTED_VALUE"""),"PC AWAL")</f>
        <v>PC AWAL</v>
      </c>
      <c r="D1" s="12" t="s">
        <v>11</v>
      </c>
      <c r="E1" s="13" t="s">
        <v>12</v>
      </c>
      <c r="G1" s="14" t="s">
        <v>1</v>
      </c>
      <c r="H1" s="14" t="s">
        <v>2</v>
      </c>
      <c r="I1" s="14" t="s">
        <v>3</v>
      </c>
      <c r="J1" s="14" t="s">
        <v>0</v>
      </c>
      <c r="L1" s="17" t="str">
        <f>IFERROR(__xludf.DUMMYFUNCTION("{""NO"",""DATA BARU"",""TERMINAL"",""PC"";{SEQUENCE(COUNTIF($D$2:$D23550,1)),FILTER($A$2:$A23550,$D$2:$D23550=1),FILTER($B$2:$B23550,$D$2:$D23550=1),FILTER($D$2:$D23550,$D$2:$D23550=1)}}"),"NO")</f>
        <v>NO</v>
      </c>
      <c r="M1" s="14" t="str">
        <f>IFERROR(__xludf.DUMMYFUNCTION("""COMPUTED_VALUE"""),"DATA BARU")</f>
        <v>DATA BARU</v>
      </c>
      <c r="N1" s="14" t="str">
        <f>IFERROR(__xludf.DUMMYFUNCTION("""COMPUTED_VALUE"""),"TERMINAL")</f>
        <v>TERMINAL</v>
      </c>
      <c r="O1" s="14" t="str">
        <f>IFERROR(__xludf.DUMMYFUNCTION("""COMPUTED_VALUE"""),"PC")</f>
        <v>PC</v>
      </c>
      <c r="P1" s="14" t="s">
        <v>21</v>
      </c>
      <c r="Q1" s="11"/>
      <c r="R1" s="11" t="str">
        <f>IFERROR(__xludf.DUMMYFUNCTION("{""NO"",""DATA BARU"",""TERMINAL"",""PC"";{SEQUENCE(COUNTIF($D$2:$D23550,2)),FILTER($A$2:$A23550,$D$2:$D23550=2),FILTER($B$2:$B23550,$D$2:$D23550=2),FILTER($D$2:$D23550,$D$2:$D23550=2)}}"),"NO")</f>
        <v>NO</v>
      </c>
      <c r="S1" s="11" t="str">
        <f>IFERROR(__xludf.DUMMYFUNCTION("""COMPUTED_VALUE"""),"DATA BARU")</f>
        <v>DATA BARU</v>
      </c>
      <c r="T1" s="11" t="str">
        <f>IFERROR(__xludf.DUMMYFUNCTION("""COMPUTED_VALUE"""),"TERMINAL")</f>
        <v>TERMINAL</v>
      </c>
      <c r="U1" s="11" t="str">
        <f>IFERROR(__xludf.DUMMYFUNCTION("""COMPUTED_VALUE"""),"PC")</f>
        <v>PC</v>
      </c>
      <c r="V1" s="14" t="s">
        <v>21</v>
      </c>
      <c r="W1" s="11"/>
      <c r="X1" s="11" t="str">
        <f>IFERROR(__xludf.DUMMYFUNCTION("{""NO"",""DATA BARU"",""TERMINAL"",""PC"";{SEQUENCE(COUNTIF($D$2:$D23550,3)),FILTER($A$2:$A23550,$D$2:$D23550=3),FILTER($B$2:$B23550,$D$2:$D23550=3),FILTER($D$2:$D23550,$D$2:$D23550=3)}}"),"NO")</f>
        <v>NO</v>
      </c>
      <c r="Y1" s="11" t="str">
        <f>IFERROR(__xludf.DUMMYFUNCTION("""COMPUTED_VALUE"""),"DATA BARU")</f>
        <v>DATA BARU</v>
      </c>
      <c r="Z1" s="11" t="str">
        <f>IFERROR(__xludf.DUMMYFUNCTION("""COMPUTED_VALUE"""),"TERMINAL")</f>
        <v>TERMINAL</v>
      </c>
      <c r="AA1" s="11" t="str">
        <f>IFERROR(__xludf.DUMMYFUNCTION("""COMPUTED_VALUE"""),"PC")</f>
        <v>PC</v>
      </c>
      <c r="AB1" s="14" t="s">
        <v>21</v>
      </c>
      <c r="AC1" s="11"/>
      <c r="AD1" s="11" t="str">
        <f>IFERROR(__xludf.DUMMYFUNCTION("{""NO"",""DATA BARU"",""TERMINAL"",""PC"";{SEQUENCE(COUNTIF($D$2:$D23550,4)),FILTER($A$2:$A23550,$D$2:$D23550=4),FILTER($B$2:$B23550,$D$2:$D23550=4),FILTER($D$2:$D23550,$D$2:$D23550=4)}}"),"NO")</f>
        <v>NO</v>
      </c>
      <c r="AE1" s="11" t="str">
        <f>IFERROR(__xludf.DUMMYFUNCTION("""COMPUTED_VALUE"""),"DATA BARU")</f>
        <v>DATA BARU</v>
      </c>
      <c r="AF1" s="11" t="str">
        <f>IFERROR(__xludf.DUMMYFUNCTION("""COMPUTED_VALUE"""),"TERMINAL")</f>
        <v>TERMINAL</v>
      </c>
      <c r="AG1" s="11" t="str">
        <f>IFERROR(__xludf.DUMMYFUNCTION("""COMPUTED_VALUE"""),"PC")</f>
        <v>PC</v>
      </c>
      <c r="AH1" s="14" t="s">
        <v>21</v>
      </c>
      <c r="AI1" s="11"/>
      <c r="AJ1" s="11" t="str">
        <f>IFERROR(__xludf.DUMMYFUNCTION("{""NO"",""DATA BARU"",""TERMINAL"",""PC"";{SEQUENCE(COUNTIF($D$2:$D23550,5)),FILTER($A$2:$A23550,$D$2:$D23550=5),FILTER($B$2:$B23550,$D$2:$D23550=5),FILTER($D$2:$D23550,$D$2:$D23550=5)}}"),"NO")</f>
        <v>NO</v>
      </c>
      <c r="AK1" s="11" t="str">
        <f>IFERROR(__xludf.DUMMYFUNCTION("""COMPUTED_VALUE"""),"DATA BARU")</f>
        <v>DATA BARU</v>
      </c>
      <c r="AL1" s="11" t="str">
        <f>IFERROR(__xludf.DUMMYFUNCTION("""COMPUTED_VALUE"""),"TERMINAL")</f>
        <v>TERMINAL</v>
      </c>
      <c r="AM1" s="11" t="str">
        <f>IFERROR(__xludf.DUMMYFUNCTION("""COMPUTED_VALUE"""),"PC")</f>
        <v>PC</v>
      </c>
      <c r="AN1" s="14" t="s">
        <v>21</v>
      </c>
      <c r="AO1" s="11"/>
      <c r="AP1" s="11" t="str">
        <f>IFERROR(__xludf.DUMMYFUNCTION("{""NO"",""DATA BARU"",""TERMINAL"",""PC"";{SEQUENCE(COUNTIF($D$2:$D23550,6)),FILTER($A$2:$A23550,$D$2:$D23550=6),FILTER($B$2:$B23550,$D$2:$D23550=6),FILTER($D$2:$D23550,$D$2:$D23550=6)}}"),"NO")</f>
        <v>NO</v>
      </c>
      <c r="AQ1" s="11" t="str">
        <f>IFERROR(__xludf.DUMMYFUNCTION("""COMPUTED_VALUE"""),"DATA BARU")</f>
        <v>DATA BARU</v>
      </c>
      <c r="AR1" s="11" t="str">
        <f>IFERROR(__xludf.DUMMYFUNCTION("""COMPUTED_VALUE"""),"TERMINAL")</f>
        <v>TERMINAL</v>
      </c>
      <c r="AS1" s="11" t="str">
        <f>IFERROR(__xludf.DUMMYFUNCTION("""COMPUTED_VALUE"""),"PC")</f>
        <v>PC</v>
      </c>
      <c r="AT1" s="14" t="s">
        <v>21</v>
      </c>
      <c r="AV1" s="9" t="str">
        <f>'KENDARAAN P1'!A:A</f>
        <v>NOPOL</v>
      </c>
    </row>
    <row r="2">
      <c r="A2" s="13" t="str">
        <f>IFERROR(__xludf.DUMMYFUNCTION("""COMPUTED_VALUE"""),"AD 9780 AB")</f>
        <v>AD 9780 AB</v>
      </c>
      <c r="B2" s="9" t="str">
        <f>IFERROR(__xludf.DUMMYFUNCTION("""COMPUTED_VALUE"""),"TLPG LOMBOK")</f>
        <v>TLPG LOMBOK</v>
      </c>
      <c r="C2" s="11">
        <f>IFERROR(__xludf.DUMMYFUNCTION("""COMPUTED_VALUE"""),1.0)</f>
        <v>1</v>
      </c>
      <c r="D2" s="12">
        <v>2.0</v>
      </c>
      <c r="E2" s="13" t="s">
        <v>44</v>
      </c>
      <c r="G2" s="14">
        <v>1.0</v>
      </c>
      <c r="H2" s="17" t="str">
        <f>IFERROR(__xludf.DUMMYFUNCTION("SORT(FILTER({A2:A23550,B2:B23550,D2:D23550},D2:D23550&lt;&gt;""""),3,TRUE)"),"AE 8018 UG")</f>
        <v>AE 8018 UG</v>
      </c>
      <c r="I2" s="17" t="str">
        <f>IFERROR(__xludf.DUMMYFUNCTION("""COMPUTED_VALUE"""),"TLPG TJ PERAK")</f>
        <v>TLPG TJ PERAK</v>
      </c>
      <c r="J2" s="17">
        <f>IFERROR(__xludf.DUMMYFUNCTION("""COMPUTED_VALUE"""),1.0)</f>
        <v>1</v>
      </c>
      <c r="L2" s="14">
        <f>IFERROR(__xludf.DUMMYFUNCTION("""COMPUTED_VALUE"""),1.0)</f>
        <v>1</v>
      </c>
      <c r="M2" s="17" t="str">
        <f>IFERROR(__xludf.DUMMYFUNCTION("""COMPUTED_VALUE"""),"AE 8018 UG")</f>
        <v>AE 8018 UG</v>
      </c>
      <c r="N2" s="11" t="str">
        <f>IFERROR(__xludf.DUMMYFUNCTION("""COMPUTED_VALUE"""),"TLPG TJ PERAK")</f>
        <v>TLPG TJ PERAK</v>
      </c>
      <c r="O2" s="17">
        <f>IFERROR(__xludf.DUMMYFUNCTION("""COMPUTED_VALUE"""),1.0)</f>
        <v>1</v>
      </c>
      <c r="P2" s="11" t="str">
        <f t="array" ref="P2:P29">IF(M2:M29="","",IFERROR(VLOOKUP(M2:M29,$A$2:$E23550,5,FALSE),"Data Company Belum Ada"))</f>
        <v>PT MADIUNI ELPIJI</v>
      </c>
      <c r="Q2" s="11"/>
      <c r="R2" s="11">
        <f>IFERROR(__xludf.DUMMYFUNCTION("""COMPUTED_VALUE"""),1.0)</f>
        <v>1</v>
      </c>
      <c r="S2" s="11" t="str">
        <f>IFERROR(__xludf.DUMMYFUNCTION("""COMPUTED_VALUE"""),"AD 9780 AB")</f>
        <v>AD 9780 AB</v>
      </c>
      <c r="T2" s="11" t="str">
        <f>IFERROR(__xludf.DUMMYFUNCTION("""COMPUTED_VALUE"""),"TLPG LOMBOK")</f>
        <v>TLPG LOMBOK</v>
      </c>
      <c r="U2" s="11">
        <f>IFERROR(__xludf.DUMMYFUNCTION("""COMPUTED_VALUE"""),2.0)</f>
        <v>2</v>
      </c>
      <c r="V2" s="12" t="str">
        <f t="array" ref="V2:V29">IF(S2:S29="","",IFERROR(VLOOKUP(S2:S29,$A$2:$E23550,5,FALSE),"Data Company Belum Ada"))</f>
        <v>SPPBE-PT. Lombok Putra Gas</v>
      </c>
      <c r="W2" s="11"/>
      <c r="X2" s="11">
        <f>IFERROR(__xludf.DUMMYFUNCTION("""COMPUTED_VALUE"""),1.0)</f>
        <v>1</v>
      </c>
      <c r="Y2" s="11" t="str">
        <f>IFERROR(__xludf.DUMMYFUNCTION("""COMPUTED_VALUE"""),"AG 8093 EI")</f>
        <v>AG 8093 EI</v>
      </c>
      <c r="Z2" s="11" t="str">
        <f>IFERROR(__xludf.DUMMYFUNCTION("""COMPUTED_VALUE"""),"TLPG MEM GRESIK")</f>
        <v>TLPG MEM GRESIK</v>
      </c>
      <c r="AA2" s="11">
        <f>IFERROR(__xludf.DUMMYFUNCTION("""COMPUTED_VALUE"""),3.0)</f>
        <v>3</v>
      </c>
      <c r="AB2" s="11" t="str">
        <f t="array" ref="AB2:AB29">IF(Y2:Y29="","",IFERROR(VLOOKUP(Y2:Y29,$A$2:$E23550,5,FALSE),"Data Company Belum Ada"))</f>
        <v>PT RADIMA JAYA KEDIRI</v>
      </c>
      <c r="AC2" s="11"/>
      <c r="AD2" s="11">
        <f>IFERROR(__xludf.DUMMYFUNCTION("""COMPUTED_VALUE"""),1.0)</f>
        <v>1</v>
      </c>
      <c r="AE2" s="11" t="str">
        <f>IFERROR(__xludf.DUMMYFUNCTION("""COMPUTED_VALUE"""),"B 9713 SFU")</f>
        <v>B 9713 SFU</v>
      </c>
      <c r="AF2" s="11" t="str">
        <f>IFERROR(__xludf.DUMMYFUNCTION("""COMPUTED_VALUE"""),"TLPG TJ WANGI")</f>
        <v>TLPG TJ WANGI</v>
      </c>
      <c r="AG2" s="11">
        <f>IFERROR(__xludf.DUMMYFUNCTION("""COMPUTED_VALUE"""),4.0)</f>
        <v>4</v>
      </c>
      <c r="AH2" s="11" t="str">
        <f t="array" ref="AH2:AH29">IF(AE2:AE29="","",IFERROR(VLOOKUP(AE2:AE29,$A$2:$E23550,5,FALSE),"Data Company Belum Ada"))</f>
        <v>PT PATRA NIAGA 1</v>
      </c>
      <c r="AI2" s="11"/>
      <c r="AJ2" s="11">
        <f>IFERROR(__xludf.DUMMYFUNCTION("""COMPUTED_VALUE"""),1.0)</f>
        <v>1</v>
      </c>
      <c r="AK2" s="11" t="str">
        <f>IFERROR(__xludf.DUMMYFUNCTION("""COMPUTED_VALUE"""),"L 9155 UB")</f>
        <v>L 9155 UB</v>
      </c>
      <c r="AL2" s="11" t="str">
        <f>IFERROR(__xludf.DUMMYFUNCTION("""COMPUTED_VALUE"""),"TLPG TJ PERAK")</f>
        <v>TLPG TJ PERAK</v>
      </c>
      <c r="AM2" s="11">
        <f>IFERROR(__xludf.DUMMYFUNCTION("""COMPUTED_VALUE"""),5.0)</f>
        <v>5</v>
      </c>
      <c r="AN2" s="11" t="str">
        <f t="array" ref="AN2:AN29">IF(AK2:AK29="","",IFERROR(VLOOKUP(AK2:AK29,$A$2:$E23550,5,FALSE),"Data Company Belum Ada"))</f>
        <v>PT AGUNG CATUR UTAMA GROUP</v>
      </c>
      <c r="AO2" s="11"/>
      <c r="AP2" s="11">
        <f>IFERROR(__xludf.DUMMYFUNCTION("""COMPUTED_VALUE"""),1.0)</f>
        <v>1</v>
      </c>
      <c r="AQ2" s="11" t="str">
        <f>IFERROR(__xludf.DUMMYFUNCTION("""COMPUTED_VALUE"""),"N 8782 UR")</f>
        <v>N 8782 UR</v>
      </c>
      <c r="AR2" s="11" t="str">
        <f>IFERROR(__xludf.DUMMYFUNCTION("""COMPUTED_VALUE"""),"TLPG TJ WANGI")</f>
        <v>TLPG TJ WANGI</v>
      </c>
      <c r="AS2" s="11">
        <f>IFERROR(__xludf.DUMMYFUNCTION("""COMPUTED_VALUE"""),6.0)</f>
        <v>6</v>
      </c>
      <c r="AT2" s="11" t="str">
        <f t="array" ref="AT2:AT29">IF(AQ2:AQ29="","",IFERROR(VLOOKUP(AQ2:AQ29,$A$2:$E23550,5,FALSE),"Data Company Belum Ada"))</f>
        <v>Data Company Belum Ada</v>
      </c>
      <c r="AV2" s="9" t="str">
        <f>'KENDARAAN P1'!A:A</f>
        <v>B 9080 SEI</v>
      </c>
    </row>
    <row r="3">
      <c r="A3" s="13" t="str">
        <f>IFERROR(__xludf.DUMMYFUNCTION("""COMPUTED_VALUE"""),"AE 8018 UG")</f>
        <v>AE 8018 UG</v>
      </c>
      <c r="B3" s="9" t="str">
        <f>IFERROR(__xludf.DUMMYFUNCTION("""COMPUTED_VALUE"""),"TLPG TJ PERAK")</f>
        <v>TLPG TJ PERAK</v>
      </c>
      <c r="C3" s="11">
        <f>IFERROR(__xludf.DUMMYFUNCTION("""COMPUTED_VALUE"""),1.0)</f>
        <v>1</v>
      </c>
      <c r="D3" s="12">
        <v>1.0</v>
      </c>
      <c r="E3" s="34" t="s">
        <v>108</v>
      </c>
      <c r="G3" s="14">
        <v>2.0</v>
      </c>
      <c r="H3" s="17" t="str">
        <f>IFERROR(__xludf.DUMMYFUNCTION("""COMPUTED_VALUE"""),"AE 8099 UT")</f>
        <v>AE 8099 UT</v>
      </c>
      <c r="I3" s="17" t="str">
        <f>IFERROR(__xludf.DUMMYFUNCTION("""COMPUTED_VALUE"""),"TLPG TJ PERAK")</f>
        <v>TLPG TJ PERAK</v>
      </c>
      <c r="J3" s="17">
        <f>IFERROR(__xludf.DUMMYFUNCTION("""COMPUTED_VALUE"""),1.0)</f>
        <v>1</v>
      </c>
      <c r="L3" s="17">
        <f>IFERROR(__xludf.DUMMYFUNCTION("""COMPUTED_VALUE"""),2.0)</f>
        <v>2</v>
      </c>
      <c r="M3" s="17" t="str">
        <f>IFERROR(__xludf.DUMMYFUNCTION("""COMPUTED_VALUE"""),"AE 8099 UT")</f>
        <v>AE 8099 UT</v>
      </c>
      <c r="N3" s="11" t="str">
        <f>IFERROR(__xludf.DUMMYFUNCTION("""COMPUTED_VALUE"""),"TLPG TJ PERAK")</f>
        <v>TLPG TJ PERAK</v>
      </c>
      <c r="O3" s="17">
        <f>IFERROR(__xludf.DUMMYFUNCTION("""COMPUTED_VALUE"""),1.0)</f>
        <v>1</v>
      </c>
      <c r="P3" s="11" t="s">
        <v>114</v>
      </c>
      <c r="Q3" s="11"/>
      <c r="R3" s="11">
        <f>IFERROR(__xludf.DUMMYFUNCTION("""COMPUTED_VALUE"""),2.0)</f>
        <v>2</v>
      </c>
      <c r="S3" s="11" t="str">
        <f>IFERROR(__xludf.DUMMYFUNCTION("""COMPUTED_VALUE"""),"AE 8458 UF")</f>
        <v>AE 8458 UF</v>
      </c>
      <c r="T3" s="11" t="str">
        <f>IFERROR(__xludf.DUMMYFUNCTION("""COMPUTED_VALUE"""),"TLPG TJ PERAK")</f>
        <v>TLPG TJ PERAK</v>
      </c>
      <c r="U3" s="11">
        <f>IFERROR(__xludf.DUMMYFUNCTION("""COMPUTED_VALUE"""),2.0)</f>
        <v>2</v>
      </c>
      <c r="V3" s="11" t="s">
        <v>108</v>
      </c>
      <c r="W3" s="11"/>
      <c r="X3" s="11">
        <f>IFERROR(__xludf.DUMMYFUNCTION("""COMPUTED_VALUE"""),2.0)</f>
        <v>2</v>
      </c>
      <c r="Y3" s="11" t="str">
        <f>IFERROR(__xludf.DUMMYFUNCTION("""COMPUTED_VALUE"""),"AG 8016 UC")</f>
        <v>AG 8016 UC</v>
      </c>
      <c r="Z3" s="11" t="str">
        <f>IFERROR(__xludf.DUMMYFUNCTION("""COMPUTED_VALUE"""),"TLPG TJ PERAK")</f>
        <v>TLPG TJ PERAK</v>
      </c>
      <c r="AA3" s="11">
        <f>IFERROR(__xludf.DUMMYFUNCTION("""COMPUTED_VALUE"""),3.0)</f>
        <v>3</v>
      </c>
      <c r="AB3" s="11" t="s">
        <v>118</v>
      </c>
      <c r="AC3" s="11"/>
      <c r="AD3" s="11">
        <f>IFERROR(__xludf.DUMMYFUNCTION("""COMPUTED_VALUE"""),2.0)</f>
        <v>2</v>
      </c>
      <c r="AE3" s="11" t="str">
        <f>IFERROR(__xludf.DUMMYFUNCTION("""COMPUTED_VALUE"""),"B 9869 SFV")</f>
        <v>B 9869 SFV</v>
      </c>
      <c r="AF3" s="11" t="str">
        <f>IFERROR(__xludf.DUMMYFUNCTION("""COMPUTED_VALUE"""),"TLPG MEM GRESIK")</f>
        <v>TLPG MEM GRESIK</v>
      </c>
      <c r="AG3" s="11">
        <f>IFERROR(__xludf.DUMMYFUNCTION("""COMPUTED_VALUE"""),4.0)</f>
        <v>4</v>
      </c>
      <c r="AH3" s="11" t="s">
        <v>121</v>
      </c>
      <c r="AI3" s="11"/>
      <c r="AJ3" s="11">
        <f>IFERROR(__xludf.DUMMYFUNCTION("""COMPUTED_VALUE"""),2.0)</f>
        <v>2</v>
      </c>
      <c r="AK3" s="11" t="str">
        <f>IFERROR(__xludf.DUMMYFUNCTION("""COMPUTED_VALUE"""),"AG 8817 UT")</f>
        <v>AG 8817 UT</v>
      </c>
      <c r="AL3" s="11" t="str">
        <f>IFERROR(__xludf.DUMMYFUNCTION("""COMPUTED_VALUE"""),"TLPG TJ PERAK")</f>
        <v>TLPG TJ PERAK</v>
      </c>
      <c r="AM3" s="11">
        <f>IFERROR(__xludf.DUMMYFUNCTION("""COMPUTED_VALUE"""),5.0)</f>
        <v>5</v>
      </c>
      <c r="AN3" s="11" t="s">
        <v>124</v>
      </c>
      <c r="AO3" s="11"/>
      <c r="AP3" s="11">
        <f>IFERROR(__xludf.DUMMYFUNCTION("""COMPUTED_VALUE"""),2.0)</f>
        <v>2</v>
      </c>
      <c r="AQ3" s="11" t="str">
        <f>IFERROR(__xludf.DUMMYFUNCTION("""COMPUTED_VALUE"""),"DK 8837 HC")</f>
        <v>DK 8837 HC</v>
      </c>
      <c r="AR3" s="11" t="str">
        <f>IFERROR(__xludf.DUMMYFUNCTION("""COMPUTED_VALUE"""),"TLPG MANGGIS")</f>
        <v>TLPG MANGGIS</v>
      </c>
      <c r="AS3" s="11">
        <f>IFERROR(__xludf.DUMMYFUNCTION("""COMPUTED_VALUE"""),6.0)</f>
        <v>6</v>
      </c>
      <c r="AT3" s="11" t="s">
        <v>127</v>
      </c>
      <c r="AV3" s="9" t="str">
        <f>'KENDARAAN P1'!A:A</f>
        <v>B 9711 SFU</v>
      </c>
    </row>
    <row r="4">
      <c r="A4" s="13" t="str">
        <f>IFERROR(__xludf.DUMMYFUNCTION("""COMPUTED_VALUE"""),"AE 8099 UT")</f>
        <v>AE 8099 UT</v>
      </c>
      <c r="B4" s="9" t="str">
        <f>IFERROR(__xludf.DUMMYFUNCTION("""COMPUTED_VALUE"""),"TLPG TJ PERAK")</f>
        <v>TLPG TJ PERAK</v>
      </c>
      <c r="C4" s="11">
        <f>IFERROR(__xludf.DUMMYFUNCTION("""COMPUTED_VALUE"""),1.0)</f>
        <v>1</v>
      </c>
      <c r="D4" s="12">
        <v>1.0</v>
      </c>
      <c r="E4" s="34" t="s">
        <v>114</v>
      </c>
      <c r="G4" s="14">
        <v>3.0</v>
      </c>
      <c r="H4" s="17" t="str">
        <f>IFERROR(__xludf.DUMMYFUNCTION("""COMPUTED_VALUE"""),"AE 8175 UC")</f>
        <v>AE 8175 UC</v>
      </c>
      <c r="I4" s="17" t="str">
        <f>IFERROR(__xludf.DUMMYFUNCTION("""COMPUTED_VALUE"""),"TLPG TJ PERAK")</f>
        <v>TLPG TJ PERAK</v>
      </c>
      <c r="J4" s="17">
        <f>IFERROR(__xludf.DUMMYFUNCTION("""COMPUTED_VALUE"""),1.0)</f>
        <v>1</v>
      </c>
      <c r="L4" s="17">
        <f>IFERROR(__xludf.DUMMYFUNCTION("""COMPUTED_VALUE"""),3.0)</f>
        <v>3</v>
      </c>
      <c r="M4" s="17" t="str">
        <f>IFERROR(__xludf.DUMMYFUNCTION("""COMPUTED_VALUE"""),"AE 8175 UC")</f>
        <v>AE 8175 UC</v>
      </c>
      <c r="N4" s="11" t="str">
        <f>IFERROR(__xludf.DUMMYFUNCTION("""COMPUTED_VALUE"""),"TLPG TJ PERAK")</f>
        <v>TLPG TJ PERAK</v>
      </c>
      <c r="O4" s="17">
        <f>IFERROR(__xludf.DUMMYFUNCTION("""COMPUTED_VALUE"""),1.0)</f>
        <v>1</v>
      </c>
      <c r="P4" s="11" t="s">
        <v>108</v>
      </c>
      <c r="Q4" s="11"/>
      <c r="R4" s="11">
        <f>IFERROR(__xludf.DUMMYFUNCTION("""COMPUTED_VALUE"""),3.0)</f>
        <v>3</v>
      </c>
      <c r="S4" s="11" t="str">
        <f>IFERROR(__xludf.DUMMYFUNCTION("""COMPUTED_VALUE"""),"AE 8459 UF")</f>
        <v>AE 8459 UF</v>
      </c>
      <c r="T4" s="11" t="str">
        <f>IFERROR(__xludf.DUMMYFUNCTION("""COMPUTED_VALUE"""),"TLPG TJ PERAK")</f>
        <v>TLPG TJ PERAK</v>
      </c>
      <c r="U4" s="11">
        <f>IFERROR(__xludf.DUMMYFUNCTION("""COMPUTED_VALUE"""),2.0)</f>
        <v>2</v>
      </c>
      <c r="V4" s="11" t="s">
        <v>108</v>
      </c>
      <c r="W4" s="11"/>
      <c r="X4" s="11">
        <f>IFERROR(__xludf.DUMMYFUNCTION("""COMPUTED_VALUE"""),3.0)</f>
        <v>3</v>
      </c>
      <c r="Y4" s="11" t="str">
        <f>IFERROR(__xludf.DUMMYFUNCTION("""COMPUTED_VALUE"""),"AG 8079 UZ")</f>
        <v>AG 8079 UZ</v>
      </c>
      <c r="Z4" s="11" t="str">
        <f>IFERROR(__xludf.DUMMYFUNCTION("""COMPUTED_VALUE"""),"TLPG TJ PERAK")</f>
        <v>TLPG TJ PERAK</v>
      </c>
      <c r="AA4" s="11">
        <f>IFERROR(__xludf.DUMMYFUNCTION("""COMPUTED_VALUE"""),3.0)</f>
        <v>3</v>
      </c>
      <c r="AB4" s="11" t="s">
        <v>135</v>
      </c>
      <c r="AC4" s="11"/>
      <c r="AD4" s="11">
        <f>IFERROR(__xludf.DUMMYFUNCTION("""COMPUTED_VALUE"""),3.0)</f>
        <v>3</v>
      </c>
      <c r="AE4" s="11" t="str">
        <f>IFERROR(__xludf.DUMMYFUNCTION("""COMPUTED_VALUE"""),"B 9884 SFU")</f>
        <v>B 9884 SFU</v>
      </c>
      <c r="AF4" s="11" t="str">
        <f>IFERROR(__xludf.DUMMYFUNCTION("""COMPUTED_VALUE"""),"TLPG MEM GRESIK")</f>
        <v>TLPG MEM GRESIK</v>
      </c>
      <c r="AG4" s="11">
        <f>IFERROR(__xludf.DUMMYFUNCTION("""COMPUTED_VALUE"""),4.0)</f>
        <v>4</v>
      </c>
      <c r="AH4" s="11" t="s">
        <v>83</v>
      </c>
      <c r="AI4" s="11"/>
      <c r="AJ4" s="11">
        <f>IFERROR(__xludf.DUMMYFUNCTION("""COMPUTED_VALUE"""),3.0)</f>
        <v>3</v>
      </c>
      <c r="AK4" s="11" t="str">
        <f>IFERROR(__xludf.DUMMYFUNCTION("""COMPUTED_VALUE"""),"AG 8818 UT")</f>
        <v>AG 8818 UT</v>
      </c>
      <c r="AL4" s="11" t="str">
        <f>IFERROR(__xludf.DUMMYFUNCTION("""COMPUTED_VALUE"""),"TLPG TJ PERAK")</f>
        <v>TLPG TJ PERAK</v>
      </c>
      <c r="AM4" s="11">
        <f>IFERROR(__xludf.DUMMYFUNCTION("""COMPUTED_VALUE"""),5.0)</f>
        <v>5</v>
      </c>
      <c r="AN4" s="11" t="s">
        <v>124</v>
      </c>
      <c r="AO4" s="11"/>
      <c r="AP4" s="11">
        <f>IFERROR(__xludf.DUMMYFUNCTION("""COMPUTED_VALUE"""),3.0)</f>
        <v>3</v>
      </c>
      <c r="AQ4" s="11" t="str">
        <f>IFERROR(__xludf.DUMMYFUNCTION("""COMPUTED_VALUE"""),"DR 8105 LJ")</f>
        <v>DR 8105 LJ</v>
      </c>
      <c r="AR4" s="11" t="str">
        <f>IFERROR(__xludf.DUMMYFUNCTION("""COMPUTED_VALUE"""),"TLPG LOMBOK")</f>
        <v>TLPG LOMBOK</v>
      </c>
      <c r="AS4" s="11">
        <f>IFERROR(__xludf.DUMMYFUNCTION("""COMPUTED_VALUE"""),6.0)</f>
        <v>6</v>
      </c>
      <c r="AT4" s="11" t="s">
        <v>142</v>
      </c>
      <c r="AV4" s="9" t="str">
        <f>'KENDARAAN P1'!A:A</f>
        <v>B 9089 SEI</v>
      </c>
    </row>
    <row r="5">
      <c r="A5" s="13" t="str">
        <f>IFERROR(__xludf.DUMMYFUNCTION("""COMPUTED_VALUE"""),"AE 8175 UC")</f>
        <v>AE 8175 UC</v>
      </c>
      <c r="B5" s="9" t="str">
        <f>IFERROR(__xludf.DUMMYFUNCTION("""COMPUTED_VALUE"""),"TLPG TJ PERAK")</f>
        <v>TLPG TJ PERAK</v>
      </c>
      <c r="C5" s="11">
        <f>IFERROR(__xludf.DUMMYFUNCTION("""COMPUTED_VALUE"""),1.0)</f>
        <v>1</v>
      </c>
      <c r="D5" s="12">
        <v>1.0</v>
      </c>
      <c r="E5" s="34" t="s">
        <v>108</v>
      </c>
      <c r="G5" s="14">
        <v>4.0</v>
      </c>
      <c r="H5" s="17" t="str">
        <f>IFERROR(__xludf.DUMMYFUNCTION("""COMPUTED_VALUE"""),"AE 8518 UJ")</f>
        <v>AE 8518 UJ</v>
      </c>
      <c r="I5" s="17" t="str">
        <f>IFERROR(__xludf.DUMMYFUNCTION("""COMPUTED_VALUE"""),"TLPG TJ PERAK")</f>
        <v>TLPG TJ PERAK</v>
      </c>
      <c r="J5" s="17">
        <f>IFERROR(__xludf.DUMMYFUNCTION("""COMPUTED_VALUE"""),1.0)</f>
        <v>1</v>
      </c>
      <c r="L5" s="17">
        <f>IFERROR(__xludf.DUMMYFUNCTION("""COMPUTED_VALUE"""),4.0)</f>
        <v>4</v>
      </c>
      <c r="M5" s="17" t="str">
        <f>IFERROR(__xludf.DUMMYFUNCTION("""COMPUTED_VALUE"""),"AE 8518 UJ")</f>
        <v>AE 8518 UJ</v>
      </c>
      <c r="N5" s="11" t="str">
        <f>IFERROR(__xludf.DUMMYFUNCTION("""COMPUTED_VALUE"""),"TLPG TJ PERAK")</f>
        <v>TLPG TJ PERAK</v>
      </c>
      <c r="O5" s="17">
        <f>IFERROR(__xludf.DUMMYFUNCTION("""COMPUTED_VALUE"""),1.0)</f>
        <v>1</v>
      </c>
      <c r="P5" s="11" t="s">
        <v>149</v>
      </c>
      <c r="Q5" s="11"/>
      <c r="R5" s="11">
        <f>IFERROR(__xludf.DUMMYFUNCTION("""COMPUTED_VALUE"""),4.0)</f>
        <v>4</v>
      </c>
      <c r="S5" s="11" t="str">
        <f>IFERROR(__xludf.DUMMYFUNCTION("""COMPUTED_VALUE"""),"AE 8835 UQ")</f>
        <v>AE 8835 UQ</v>
      </c>
      <c r="T5" s="11" t="str">
        <f>IFERROR(__xludf.DUMMYFUNCTION("""COMPUTED_VALUE"""),"TLPG TJ PERAK")</f>
        <v>TLPG TJ PERAK</v>
      </c>
      <c r="U5" s="11">
        <f>IFERROR(__xludf.DUMMYFUNCTION("""COMPUTED_VALUE"""),2.0)</f>
        <v>2</v>
      </c>
      <c r="V5" s="11" t="s">
        <v>152</v>
      </c>
      <c r="W5" s="11"/>
      <c r="X5" s="11">
        <f>IFERROR(__xludf.DUMMYFUNCTION("""COMPUTED_VALUE"""),4.0)</f>
        <v>4</v>
      </c>
      <c r="Y5" s="11" t="str">
        <f>IFERROR(__xludf.DUMMYFUNCTION("""COMPUTED_VALUE"""),"AG 8086 UF")</f>
        <v>AG 8086 UF</v>
      </c>
      <c r="Z5" s="11" t="str">
        <f>IFERROR(__xludf.DUMMYFUNCTION("""COMPUTED_VALUE"""),"TLPG TJ PERAK")</f>
        <v>TLPG TJ PERAK</v>
      </c>
      <c r="AA5" s="11">
        <f>IFERROR(__xludf.DUMMYFUNCTION("""COMPUTED_VALUE"""),3.0)</f>
        <v>3</v>
      </c>
      <c r="AB5" s="11" t="s">
        <v>155</v>
      </c>
      <c r="AC5" s="11"/>
      <c r="AD5" s="11">
        <f>IFERROR(__xludf.DUMMYFUNCTION("""COMPUTED_VALUE"""),4.0)</f>
        <v>4</v>
      </c>
      <c r="AE5" s="11" t="str">
        <f>IFERROR(__xludf.DUMMYFUNCTION("""COMPUTED_VALUE"""),"DK 8146 BZ")</f>
        <v>DK 8146 BZ</v>
      </c>
      <c r="AF5" s="11" t="str">
        <f>IFERROR(__xludf.DUMMYFUNCTION("""COMPUTED_VALUE"""),"TLPG MANGGIS")</f>
        <v>TLPG MANGGIS</v>
      </c>
      <c r="AG5" s="11">
        <f>IFERROR(__xludf.DUMMYFUNCTION("""COMPUTED_VALUE"""),4.0)</f>
        <v>4</v>
      </c>
      <c r="AH5" s="11" t="s">
        <v>157</v>
      </c>
      <c r="AI5" s="11"/>
      <c r="AJ5" s="11">
        <f>IFERROR(__xludf.DUMMYFUNCTION("""COMPUTED_VALUE"""),4.0)</f>
        <v>4</v>
      </c>
      <c r="AK5" s="11" t="str">
        <f>IFERROR(__xludf.DUMMYFUNCTION("""COMPUTED_VALUE"""),"B 9088 SEI")</f>
        <v>B 9088 SEI</v>
      </c>
      <c r="AL5" s="11" t="str">
        <f>IFERROR(__xludf.DUMMYFUNCTION("""COMPUTED_VALUE"""),"TLPG MEM GRESIK")</f>
        <v>TLPG MEM GRESIK</v>
      </c>
      <c r="AM5" s="11">
        <f>IFERROR(__xludf.DUMMYFUNCTION("""COMPUTED_VALUE"""),5.0)</f>
        <v>5</v>
      </c>
      <c r="AN5" s="11" t="s">
        <v>83</v>
      </c>
      <c r="AO5" s="11"/>
      <c r="AP5" s="11">
        <f>IFERROR(__xludf.DUMMYFUNCTION("""COMPUTED_VALUE"""),4.0)</f>
        <v>4</v>
      </c>
      <c r="AQ5" s="11" t="str">
        <f>IFERROR(__xludf.DUMMYFUNCTION("""COMPUTED_VALUE"""),"P 8176 UW")</f>
        <v>P 8176 UW</v>
      </c>
      <c r="AR5" s="11" t="str">
        <f>IFERROR(__xludf.DUMMYFUNCTION("""COMPUTED_VALUE"""),"TLPG TJ WANGI")</f>
        <v>TLPG TJ WANGI</v>
      </c>
      <c r="AS5" s="11">
        <f>IFERROR(__xludf.DUMMYFUNCTION("""COMPUTED_VALUE"""),6.0)</f>
        <v>6</v>
      </c>
      <c r="AT5" s="11" t="s">
        <v>161</v>
      </c>
      <c r="AV5" s="9" t="str">
        <f>'KENDARAAN P1'!A:A</f>
        <v>B 9098 SEI</v>
      </c>
    </row>
    <row r="6">
      <c r="A6" s="13" t="str">
        <f>IFERROR(__xludf.DUMMYFUNCTION("""COMPUTED_VALUE"""),"AE 8458 UF")</f>
        <v>AE 8458 UF</v>
      </c>
      <c r="B6" s="9" t="str">
        <f>IFERROR(__xludf.DUMMYFUNCTION("""COMPUTED_VALUE"""),"TLPG TJ PERAK")</f>
        <v>TLPG TJ PERAK</v>
      </c>
      <c r="C6" s="11">
        <f>IFERROR(__xludf.DUMMYFUNCTION("""COMPUTED_VALUE"""),1.0)</f>
        <v>1</v>
      </c>
      <c r="D6" s="12">
        <v>2.0</v>
      </c>
      <c r="E6" s="34" t="s">
        <v>108</v>
      </c>
      <c r="G6" s="14">
        <v>5.0</v>
      </c>
      <c r="H6" s="17" t="str">
        <f>IFERROR(__xludf.DUMMYFUNCTION("""COMPUTED_VALUE"""),"AE 8546 UJ")</f>
        <v>AE 8546 UJ</v>
      </c>
      <c r="I6" s="17" t="str">
        <f>IFERROR(__xludf.DUMMYFUNCTION("""COMPUTED_VALUE"""),"TLPG TJ PERAK")</f>
        <v>TLPG TJ PERAK</v>
      </c>
      <c r="J6" s="17">
        <f>IFERROR(__xludf.DUMMYFUNCTION("""COMPUTED_VALUE"""),1.0)</f>
        <v>1</v>
      </c>
      <c r="L6" s="17">
        <f>IFERROR(__xludf.DUMMYFUNCTION("""COMPUTED_VALUE"""),5.0)</f>
        <v>5</v>
      </c>
      <c r="M6" s="17" t="str">
        <f>IFERROR(__xludf.DUMMYFUNCTION("""COMPUTED_VALUE"""),"AE 8546 UJ")</f>
        <v>AE 8546 UJ</v>
      </c>
      <c r="N6" s="11" t="str">
        <f>IFERROR(__xludf.DUMMYFUNCTION("""COMPUTED_VALUE"""),"TLPG TJ PERAK")</f>
        <v>TLPG TJ PERAK</v>
      </c>
      <c r="O6" s="17">
        <f>IFERROR(__xludf.DUMMYFUNCTION("""COMPUTED_VALUE"""),1.0)</f>
        <v>1</v>
      </c>
      <c r="P6" s="11" t="s">
        <v>149</v>
      </c>
      <c r="Q6" s="11"/>
      <c r="R6" s="11">
        <f>IFERROR(__xludf.DUMMYFUNCTION("""COMPUTED_VALUE"""),5.0)</f>
        <v>5</v>
      </c>
      <c r="S6" s="11" t="str">
        <f>IFERROR(__xludf.DUMMYFUNCTION("""COMPUTED_VALUE"""),"AG 9876 RK")</f>
        <v>AG 9876 RK</v>
      </c>
      <c r="T6" s="11" t="str">
        <f>IFERROR(__xludf.DUMMYFUNCTION("""COMPUTED_VALUE"""),"TLPG MEM GRESIK")</f>
        <v>TLPG MEM GRESIK</v>
      </c>
      <c r="U6" s="11">
        <f>IFERROR(__xludf.DUMMYFUNCTION("""COMPUTED_VALUE"""),2.0)</f>
        <v>2</v>
      </c>
      <c r="V6" s="11" t="s">
        <v>168</v>
      </c>
      <c r="W6" s="11"/>
      <c r="X6" s="11">
        <f>IFERROR(__xludf.DUMMYFUNCTION("""COMPUTED_VALUE"""),5.0)</f>
        <v>5</v>
      </c>
      <c r="Y6" s="11" t="str">
        <f>IFERROR(__xludf.DUMMYFUNCTION("""COMPUTED_VALUE"""),"AG 8087 UF")</f>
        <v>AG 8087 UF</v>
      </c>
      <c r="Z6" s="11" t="str">
        <f>IFERROR(__xludf.DUMMYFUNCTION("""COMPUTED_VALUE"""),"TLPG TJ PERAK")</f>
        <v>TLPG TJ PERAK</v>
      </c>
      <c r="AA6" s="11">
        <f>IFERROR(__xludf.DUMMYFUNCTION("""COMPUTED_VALUE"""),3.0)</f>
        <v>3</v>
      </c>
      <c r="AB6" s="11" t="s">
        <v>155</v>
      </c>
      <c r="AC6" s="11"/>
      <c r="AD6" s="11">
        <f>IFERROR(__xludf.DUMMYFUNCTION("""COMPUTED_VALUE"""),5.0)</f>
        <v>5</v>
      </c>
      <c r="AE6" s="11" t="str">
        <f>IFERROR(__xludf.DUMMYFUNCTION("""COMPUTED_VALUE"""),"L 9837 UJ")</f>
        <v>L 9837 UJ</v>
      </c>
      <c r="AF6" s="11" t="str">
        <f>IFERROR(__xludf.DUMMYFUNCTION("""COMPUTED_VALUE"""),"TLPG MEM GRESIK")</f>
        <v>TLPG MEM GRESIK</v>
      </c>
      <c r="AG6" s="11">
        <f>IFERROR(__xludf.DUMMYFUNCTION("""COMPUTED_VALUE"""),4.0)</f>
        <v>4</v>
      </c>
      <c r="AH6" s="11" t="s">
        <v>83</v>
      </c>
      <c r="AI6" s="11"/>
      <c r="AJ6" s="11">
        <f>IFERROR(__xludf.DUMMYFUNCTION("""COMPUTED_VALUE"""),5.0)</f>
        <v>5</v>
      </c>
      <c r="AK6" s="11" t="str">
        <f>IFERROR(__xludf.DUMMYFUNCTION("""COMPUTED_VALUE"""),"B 9882 SFU")</f>
        <v>B 9882 SFU</v>
      </c>
      <c r="AL6" s="11" t="str">
        <f>IFERROR(__xludf.DUMMYFUNCTION("""COMPUTED_VALUE"""),"TLPG MEM GRESIK")</f>
        <v>TLPG MEM GRESIK</v>
      </c>
      <c r="AM6" s="11">
        <f>IFERROR(__xludf.DUMMYFUNCTION("""COMPUTED_VALUE"""),5.0)</f>
        <v>5</v>
      </c>
      <c r="AN6" s="11" t="s">
        <v>83</v>
      </c>
      <c r="AO6" s="11"/>
      <c r="AP6" s="11">
        <f>IFERROR(__xludf.DUMMYFUNCTION("""COMPUTED_VALUE"""),5.0)</f>
        <v>5</v>
      </c>
      <c r="AQ6" s="11" t="str">
        <f>IFERROR(__xludf.DUMMYFUNCTION("""COMPUTED_VALUE"""),"W 9170 PD")</f>
        <v>W 9170 PD</v>
      </c>
      <c r="AR6" s="11" t="str">
        <f>IFERROR(__xludf.DUMMYFUNCTION("""COMPUTED_VALUE"""),"TLPG TJ PERAK")</f>
        <v>TLPG TJ PERAK</v>
      </c>
      <c r="AS6" s="11">
        <f>IFERROR(__xludf.DUMMYFUNCTION("""COMPUTED_VALUE"""),6.0)</f>
        <v>6</v>
      </c>
      <c r="AT6" s="11" t="s">
        <v>175</v>
      </c>
      <c r="AV6" s="9" t="str">
        <f>'KENDARAAN P1'!A:A</f>
        <v>B 9099 SEI</v>
      </c>
    </row>
    <row r="7">
      <c r="A7" s="13" t="str">
        <f>IFERROR(__xludf.DUMMYFUNCTION("""COMPUTED_VALUE"""),"AE 8459 UF")</f>
        <v>AE 8459 UF</v>
      </c>
      <c r="B7" s="9" t="str">
        <f>IFERROR(__xludf.DUMMYFUNCTION("""COMPUTED_VALUE"""),"TLPG TJ PERAK")</f>
        <v>TLPG TJ PERAK</v>
      </c>
      <c r="C7" s="11">
        <f>IFERROR(__xludf.DUMMYFUNCTION("""COMPUTED_VALUE"""),1.0)</f>
        <v>1</v>
      </c>
      <c r="D7" s="12">
        <v>2.0</v>
      </c>
      <c r="E7" s="34" t="s">
        <v>108</v>
      </c>
      <c r="G7" s="14">
        <v>6.0</v>
      </c>
      <c r="H7" s="17" t="str">
        <f>IFERROR(__xludf.DUMMYFUNCTION("""COMPUTED_VALUE"""),"AE 8639 UP")</f>
        <v>AE 8639 UP</v>
      </c>
      <c r="I7" s="17" t="str">
        <f>IFERROR(__xludf.DUMMYFUNCTION("""COMPUTED_VALUE"""),"TLPG TJ PERAK")</f>
        <v>TLPG TJ PERAK</v>
      </c>
      <c r="J7" s="17">
        <f>IFERROR(__xludf.DUMMYFUNCTION("""COMPUTED_VALUE"""),1.0)</f>
        <v>1</v>
      </c>
      <c r="L7" s="17">
        <f>IFERROR(__xludf.DUMMYFUNCTION("""COMPUTED_VALUE"""),6.0)</f>
        <v>6</v>
      </c>
      <c r="M7" s="17" t="str">
        <f>IFERROR(__xludf.DUMMYFUNCTION("""COMPUTED_VALUE"""),"AE 8639 UP")</f>
        <v>AE 8639 UP</v>
      </c>
      <c r="N7" s="11" t="str">
        <f>IFERROR(__xludf.DUMMYFUNCTION("""COMPUTED_VALUE"""),"TLPG TJ PERAK")</f>
        <v>TLPG TJ PERAK</v>
      </c>
      <c r="O7" s="17">
        <f>IFERROR(__xludf.DUMMYFUNCTION("""COMPUTED_VALUE"""),1.0)</f>
        <v>1</v>
      </c>
      <c r="P7" s="11" t="s">
        <v>180</v>
      </c>
      <c r="Q7" s="11"/>
      <c r="R7" s="11">
        <f>IFERROR(__xludf.DUMMYFUNCTION("""COMPUTED_VALUE"""),6.0)</f>
        <v>6</v>
      </c>
      <c r="S7" s="11" t="str">
        <f>IFERROR(__xludf.DUMMYFUNCTION("""COMPUTED_VALUE"""),"AD 9838 AB")</f>
        <v>AD 9838 AB</v>
      </c>
      <c r="T7" s="11" t="str">
        <f>IFERROR(__xludf.DUMMYFUNCTION("""COMPUTED_VALUE"""),"TLPG LOMBOK")</f>
        <v>TLPG LOMBOK</v>
      </c>
      <c r="U7" s="11">
        <f>IFERROR(__xludf.DUMMYFUNCTION("""COMPUTED_VALUE"""),2.0)</f>
        <v>2</v>
      </c>
      <c r="V7" s="11" t="s">
        <v>44</v>
      </c>
      <c r="W7" s="11"/>
      <c r="X7" s="11">
        <f>IFERROR(__xludf.DUMMYFUNCTION("""COMPUTED_VALUE"""),6.0)</f>
        <v>6</v>
      </c>
      <c r="Y7" s="11" t="str">
        <f>IFERROR(__xludf.DUMMYFUNCTION("""COMPUTED_VALUE"""),"AG 8088 UF")</f>
        <v>AG 8088 UF</v>
      </c>
      <c r="Z7" s="11" t="str">
        <f>IFERROR(__xludf.DUMMYFUNCTION("""COMPUTED_VALUE"""),"TLPG TJ PERAK")</f>
        <v>TLPG TJ PERAK</v>
      </c>
      <c r="AA7" s="11">
        <f>IFERROR(__xludf.DUMMYFUNCTION("""COMPUTED_VALUE"""),3.0)</f>
        <v>3</v>
      </c>
      <c r="AB7" s="11" t="s">
        <v>155</v>
      </c>
      <c r="AC7" s="11"/>
      <c r="AD7" s="11">
        <f>IFERROR(__xludf.DUMMYFUNCTION("""COMPUTED_VALUE"""),6.0)</f>
        <v>6</v>
      </c>
      <c r="AE7" s="11" t="str">
        <f>IFERROR(__xludf.DUMMYFUNCTION("""COMPUTED_VALUE"""),"P 8277 UG")</f>
        <v>P 8277 UG</v>
      </c>
      <c r="AF7" s="11" t="str">
        <f>IFERROR(__xludf.DUMMYFUNCTION("""COMPUTED_VALUE"""),"TLPG TJ WANGI")</f>
        <v>TLPG TJ WANGI</v>
      </c>
      <c r="AG7" s="11">
        <f>IFERROR(__xludf.DUMMYFUNCTION("""COMPUTED_VALUE"""),4.0)</f>
        <v>4</v>
      </c>
      <c r="AH7" s="11" t="s">
        <v>184</v>
      </c>
      <c r="AI7" s="11"/>
      <c r="AJ7" s="11">
        <f>IFERROR(__xludf.DUMMYFUNCTION("""COMPUTED_VALUE"""),6.0)</f>
        <v>6</v>
      </c>
      <c r="AK7" s="11" t="str">
        <f>IFERROR(__xludf.DUMMYFUNCTION("""COMPUTED_VALUE"""),"B 9883 SFU")</f>
        <v>B 9883 SFU</v>
      </c>
      <c r="AL7" s="11" t="str">
        <f>IFERROR(__xludf.DUMMYFUNCTION("""COMPUTED_VALUE"""),"TLPG MEM GRESIK")</f>
        <v>TLPG MEM GRESIK</v>
      </c>
      <c r="AM7" s="11">
        <f>IFERROR(__xludf.DUMMYFUNCTION("""COMPUTED_VALUE"""),5.0)</f>
        <v>5</v>
      </c>
      <c r="AN7" s="11" t="s">
        <v>83</v>
      </c>
      <c r="AO7" s="11"/>
      <c r="AP7" s="11">
        <f>IFERROR(__xludf.DUMMYFUNCTION("""COMPUTED_VALUE"""),6.0)</f>
        <v>6</v>
      </c>
      <c r="AQ7" s="11" t="str">
        <f>IFERROR(__xludf.DUMMYFUNCTION("""COMPUTED_VALUE"""),"B 9717 SFU")</f>
        <v>B 9717 SFU</v>
      </c>
      <c r="AR7" s="11" t="str">
        <f>IFERROR(__xludf.DUMMYFUNCTION("""COMPUTED_VALUE"""),"TLPG MEM GRESIK")</f>
        <v>TLPG MEM GRESIK</v>
      </c>
      <c r="AS7" s="11">
        <f>IFERROR(__xludf.DUMMYFUNCTION("""COMPUTED_VALUE"""),6.0)</f>
        <v>6</v>
      </c>
      <c r="AT7" s="11" t="s">
        <v>83</v>
      </c>
      <c r="AV7" s="9" t="str">
        <f>'KENDARAAN P1'!A:A</f>
        <v>B 9105 SEI</v>
      </c>
    </row>
    <row r="8">
      <c r="A8" s="13" t="str">
        <f>IFERROR(__xludf.DUMMYFUNCTION("""COMPUTED_VALUE"""),"AE 8518 UJ")</f>
        <v>AE 8518 UJ</v>
      </c>
      <c r="B8" s="9" t="str">
        <f>IFERROR(__xludf.DUMMYFUNCTION("""COMPUTED_VALUE"""),"TLPG TJ PERAK")</f>
        <v>TLPG TJ PERAK</v>
      </c>
      <c r="C8" s="11">
        <f>IFERROR(__xludf.DUMMYFUNCTION("""COMPUTED_VALUE"""),1.0)</f>
        <v>1</v>
      </c>
      <c r="D8" s="12">
        <v>1.0</v>
      </c>
      <c r="E8" s="34" t="s">
        <v>149</v>
      </c>
      <c r="G8" s="14">
        <v>7.0</v>
      </c>
      <c r="H8" s="17" t="str">
        <f>IFERROR(__xludf.DUMMYFUNCTION("""COMPUTED_VALUE"""),"AE 8641 UP")</f>
        <v>AE 8641 UP</v>
      </c>
      <c r="I8" s="17" t="str">
        <f>IFERROR(__xludf.DUMMYFUNCTION("""COMPUTED_VALUE"""),"TLPG TJ PERAK")</f>
        <v>TLPG TJ PERAK</v>
      </c>
      <c r="J8" s="17">
        <f>IFERROR(__xludf.DUMMYFUNCTION("""COMPUTED_VALUE"""),1.0)</f>
        <v>1</v>
      </c>
      <c r="L8" s="17">
        <f>IFERROR(__xludf.DUMMYFUNCTION("""COMPUTED_VALUE"""),7.0)</f>
        <v>7</v>
      </c>
      <c r="M8" s="17" t="str">
        <f>IFERROR(__xludf.DUMMYFUNCTION("""COMPUTED_VALUE"""),"AE 8641 UP")</f>
        <v>AE 8641 UP</v>
      </c>
      <c r="N8" s="11" t="str">
        <f>IFERROR(__xludf.DUMMYFUNCTION("""COMPUTED_VALUE"""),"TLPG TJ PERAK")</f>
        <v>TLPG TJ PERAK</v>
      </c>
      <c r="O8" s="17">
        <f>IFERROR(__xludf.DUMMYFUNCTION("""COMPUTED_VALUE"""),1.0)</f>
        <v>1</v>
      </c>
      <c r="P8" s="11" t="s">
        <v>180</v>
      </c>
      <c r="Q8" s="11"/>
      <c r="R8" s="11">
        <f>IFERROR(__xludf.DUMMYFUNCTION("""COMPUTED_VALUE"""),7.0)</f>
        <v>7</v>
      </c>
      <c r="S8" s="11" t="str">
        <f>IFERROR(__xludf.DUMMYFUNCTION("""COMPUTED_VALUE"""),"AD 9877 AB")</f>
        <v>AD 9877 AB</v>
      </c>
      <c r="T8" s="11" t="str">
        <f>IFERROR(__xludf.DUMMYFUNCTION("""COMPUTED_VALUE"""),"TLPG LOMBOK")</f>
        <v>TLPG LOMBOK</v>
      </c>
      <c r="U8" s="11">
        <f>IFERROR(__xludf.DUMMYFUNCTION("""COMPUTED_VALUE"""),2.0)</f>
        <v>2</v>
      </c>
      <c r="V8" s="11" t="s">
        <v>44</v>
      </c>
      <c r="W8" s="11"/>
      <c r="X8" s="11">
        <f>IFERROR(__xludf.DUMMYFUNCTION("""COMPUTED_VALUE"""),7.0)</f>
        <v>7</v>
      </c>
      <c r="Y8" s="11" t="str">
        <f>IFERROR(__xludf.DUMMYFUNCTION("""COMPUTED_VALUE"""),"AG 8106 UC")</f>
        <v>AG 8106 UC</v>
      </c>
      <c r="Z8" s="11" t="str">
        <f>IFERROR(__xludf.DUMMYFUNCTION("""COMPUTED_VALUE"""),"TLPG TJ PERAK")</f>
        <v>TLPG TJ PERAK</v>
      </c>
      <c r="AA8" s="11">
        <f>IFERROR(__xludf.DUMMYFUNCTION("""COMPUTED_VALUE"""),3.0)</f>
        <v>3</v>
      </c>
      <c r="AB8" s="11" t="s">
        <v>118</v>
      </c>
      <c r="AC8" s="11"/>
      <c r="AD8" s="11">
        <f>IFERROR(__xludf.DUMMYFUNCTION("""COMPUTED_VALUE"""),7.0)</f>
        <v>7</v>
      </c>
      <c r="AE8" s="11" t="str">
        <f>IFERROR(__xludf.DUMMYFUNCTION("""COMPUTED_VALUE"""),"AG 8223 LB")</f>
        <v>AG 8223 LB</v>
      </c>
      <c r="AF8" s="11" t="str">
        <f>IFERROR(__xludf.DUMMYFUNCTION("""COMPUTED_VALUE"""),"TLPG TJ PERAK")</f>
        <v>TLPG TJ PERAK</v>
      </c>
      <c r="AG8" s="11">
        <f>IFERROR(__xludf.DUMMYFUNCTION("""COMPUTED_VALUE"""),4.0)</f>
        <v>4</v>
      </c>
      <c r="AH8" s="11" t="s">
        <v>204</v>
      </c>
      <c r="AI8" s="11"/>
      <c r="AJ8" s="11">
        <f>IFERROR(__xludf.DUMMYFUNCTION("""COMPUTED_VALUE"""),7.0)</f>
        <v>7</v>
      </c>
      <c r="AK8" s="11" t="str">
        <f>IFERROR(__xludf.DUMMYFUNCTION("""COMPUTED_VALUE"""),"DK 8170 UB")</f>
        <v>DK 8170 UB</v>
      </c>
      <c r="AL8" s="11" t="str">
        <f>IFERROR(__xludf.DUMMYFUNCTION("""COMPUTED_VALUE"""),"TLPG MANGGIS")</f>
        <v>TLPG MANGGIS</v>
      </c>
      <c r="AM8" s="11">
        <f>IFERROR(__xludf.DUMMYFUNCTION("""COMPUTED_VALUE"""),5.0)</f>
        <v>5</v>
      </c>
      <c r="AN8" s="11" t="s">
        <v>206</v>
      </c>
      <c r="AO8" s="11"/>
      <c r="AP8" s="11">
        <f>IFERROR(__xludf.DUMMYFUNCTION("""COMPUTED_VALUE"""),7.0)</f>
        <v>7</v>
      </c>
      <c r="AQ8" s="11" t="str">
        <f>IFERROR(__xludf.DUMMYFUNCTION("""COMPUTED_VALUE"""),"B 9881 SFU")</f>
        <v>B 9881 SFU</v>
      </c>
      <c r="AR8" s="11" t="str">
        <f>IFERROR(__xludf.DUMMYFUNCTION("""COMPUTED_VALUE"""),"TLPG MEM GRESIK")</f>
        <v>TLPG MEM GRESIK</v>
      </c>
      <c r="AS8" s="11">
        <f>IFERROR(__xludf.DUMMYFUNCTION("""COMPUTED_VALUE"""),6.0)</f>
        <v>6</v>
      </c>
      <c r="AT8" s="11" t="s">
        <v>83</v>
      </c>
      <c r="AV8" s="9" t="str">
        <f>'KENDARAAN P1'!A:A</f>
        <v>B 9884 SFU</v>
      </c>
    </row>
    <row r="9">
      <c r="A9" s="13" t="str">
        <f>IFERROR(__xludf.DUMMYFUNCTION("""COMPUTED_VALUE"""),"AE 8546 UJ")</f>
        <v>AE 8546 UJ</v>
      </c>
      <c r="B9" s="9" t="str">
        <f>IFERROR(__xludf.DUMMYFUNCTION("""COMPUTED_VALUE"""),"TLPG TJ PERAK")</f>
        <v>TLPG TJ PERAK</v>
      </c>
      <c r="C9" s="11">
        <f>IFERROR(__xludf.DUMMYFUNCTION("""COMPUTED_VALUE"""),1.0)</f>
        <v>1</v>
      </c>
      <c r="D9" s="12">
        <v>1.0</v>
      </c>
      <c r="E9" s="34" t="s">
        <v>149</v>
      </c>
      <c r="G9" s="14">
        <v>8.0</v>
      </c>
      <c r="H9" s="17" t="str">
        <f>IFERROR(__xludf.DUMMYFUNCTION("""COMPUTED_VALUE"""),"AE 8642 UP")</f>
        <v>AE 8642 UP</v>
      </c>
      <c r="I9" s="17" t="str">
        <f>IFERROR(__xludf.DUMMYFUNCTION("""COMPUTED_VALUE"""),"TLPG TJ PERAK")</f>
        <v>TLPG TJ PERAK</v>
      </c>
      <c r="J9" s="17">
        <f>IFERROR(__xludf.DUMMYFUNCTION("""COMPUTED_VALUE"""),1.0)</f>
        <v>1</v>
      </c>
      <c r="L9" s="17">
        <f>IFERROR(__xludf.DUMMYFUNCTION("""COMPUTED_VALUE"""),8.0)</f>
        <v>8</v>
      </c>
      <c r="M9" s="17" t="str">
        <f>IFERROR(__xludf.DUMMYFUNCTION("""COMPUTED_VALUE"""),"AE 8642 UP")</f>
        <v>AE 8642 UP</v>
      </c>
      <c r="N9" s="11" t="str">
        <f>IFERROR(__xludf.DUMMYFUNCTION("""COMPUTED_VALUE"""),"TLPG TJ PERAK")</f>
        <v>TLPG TJ PERAK</v>
      </c>
      <c r="O9" s="17">
        <f>IFERROR(__xludf.DUMMYFUNCTION("""COMPUTED_VALUE"""),1.0)</f>
        <v>1</v>
      </c>
      <c r="P9" s="11" t="s">
        <v>180</v>
      </c>
      <c r="Q9" s="11"/>
      <c r="R9" s="11">
        <f>IFERROR(__xludf.DUMMYFUNCTION("""COMPUTED_VALUE"""),8.0)</f>
        <v>8</v>
      </c>
      <c r="S9" s="11" t="str">
        <f>IFERROR(__xludf.DUMMYFUNCTION("""COMPUTED_VALUE"""),"AE 8845 UT")</f>
        <v>AE 8845 UT</v>
      </c>
      <c r="T9" s="11" t="str">
        <f>IFERROR(__xludf.DUMMYFUNCTION("""COMPUTED_VALUE"""),"TLPG TJ PERAK")</f>
        <v>TLPG TJ PERAK</v>
      </c>
      <c r="U9" s="11">
        <f>IFERROR(__xludf.DUMMYFUNCTION("""COMPUTED_VALUE"""),2.0)</f>
        <v>2</v>
      </c>
      <c r="V9" s="11" t="s">
        <v>215</v>
      </c>
      <c r="W9" s="11"/>
      <c r="X9" s="11">
        <f>IFERROR(__xludf.DUMMYFUNCTION("""COMPUTED_VALUE"""),8.0)</f>
        <v>8</v>
      </c>
      <c r="Y9" s="11" t="str">
        <f>IFERROR(__xludf.DUMMYFUNCTION("""COMPUTED_VALUE"""),"AG 8126 UF")</f>
        <v>AG 8126 UF</v>
      </c>
      <c r="Z9" s="11" t="str">
        <f>IFERROR(__xludf.DUMMYFUNCTION("""COMPUTED_VALUE"""),"TLPG TJ PERAK")</f>
        <v>TLPG TJ PERAK</v>
      </c>
      <c r="AA9" s="11">
        <f>IFERROR(__xludf.DUMMYFUNCTION("""COMPUTED_VALUE"""),3.0)</f>
        <v>3</v>
      </c>
      <c r="AB9" s="11" t="s">
        <v>219</v>
      </c>
      <c r="AC9" s="11"/>
      <c r="AD9" s="11">
        <f>IFERROR(__xludf.DUMMYFUNCTION("""COMPUTED_VALUE"""),8.0)</f>
        <v>8</v>
      </c>
      <c r="AE9" s="11" t="str">
        <f>IFERROR(__xludf.DUMMYFUNCTION("""COMPUTED_VALUE"""),"AG 8701 UO")</f>
        <v>AG 8701 UO</v>
      </c>
      <c r="AF9" s="11" t="str">
        <f>IFERROR(__xludf.DUMMYFUNCTION("""COMPUTED_VALUE"""),"TLPG TJ PERAK")</f>
        <v>TLPG TJ PERAK</v>
      </c>
      <c r="AG9" s="11">
        <f>IFERROR(__xludf.DUMMYFUNCTION("""COMPUTED_VALUE"""),4.0)</f>
        <v>4</v>
      </c>
      <c r="AH9" s="11" t="s">
        <v>220</v>
      </c>
      <c r="AI9" s="11"/>
      <c r="AJ9" s="11">
        <f>IFERROR(__xludf.DUMMYFUNCTION("""COMPUTED_VALUE"""),8.0)</f>
        <v>8</v>
      </c>
      <c r="AK9" s="11" t="str">
        <f>IFERROR(__xludf.DUMMYFUNCTION("""COMPUTED_VALUE"""),"DK 8773 MG")</f>
        <v>DK 8773 MG</v>
      </c>
      <c r="AL9" s="11" t="str">
        <f>IFERROR(__xludf.DUMMYFUNCTION("""COMPUTED_VALUE"""),"TLPG LOMBOK")</f>
        <v>TLPG LOMBOK</v>
      </c>
      <c r="AM9" s="11">
        <f>IFERROR(__xludf.DUMMYFUNCTION("""COMPUTED_VALUE"""),5.0)</f>
        <v>5</v>
      </c>
      <c r="AN9" s="11" t="s">
        <v>223</v>
      </c>
      <c r="AO9" s="11"/>
      <c r="AP9" s="11">
        <f>IFERROR(__xludf.DUMMYFUNCTION("""COMPUTED_VALUE"""),8.0)</f>
        <v>8</v>
      </c>
      <c r="AQ9" s="11" t="str">
        <f>IFERROR(__xludf.DUMMYFUNCTION("""COMPUTED_VALUE"""),"L 8121 UUA")</f>
        <v>L 8121 UUA</v>
      </c>
      <c r="AR9" s="11" t="str">
        <f>IFERROR(__xludf.DUMMYFUNCTION("""COMPUTED_VALUE"""),"TLPG MEM GRESIK")</f>
        <v>TLPG MEM GRESIK</v>
      </c>
      <c r="AS9" s="11">
        <f>IFERROR(__xludf.DUMMYFUNCTION("""COMPUTED_VALUE"""),6.0)</f>
        <v>6</v>
      </c>
      <c r="AT9" s="11" t="s">
        <v>226</v>
      </c>
      <c r="AV9" s="9" t="str">
        <f>'KENDARAAN P1'!A:A</f>
        <v>B 9869 SFV</v>
      </c>
    </row>
    <row r="10">
      <c r="A10" s="13" t="str">
        <f>IFERROR(__xludf.DUMMYFUNCTION("""COMPUTED_VALUE"""),"AE 8639 UP")</f>
        <v>AE 8639 UP</v>
      </c>
      <c r="B10" s="9" t="str">
        <f>IFERROR(__xludf.DUMMYFUNCTION("""COMPUTED_VALUE"""),"TLPG TJ PERAK")</f>
        <v>TLPG TJ PERAK</v>
      </c>
      <c r="C10" s="11">
        <f>IFERROR(__xludf.DUMMYFUNCTION("""COMPUTED_VALUE"""),1.0)</f>
        <v>1</v>
      </c>
      <c r="D10" s="12">
        <v>1.0</v>
      </c>
      <c r="E10" s="34" t="s">
        <v>180</v>
      </c>
      <c r="G10" s="14">
        <v>9.0</v>
      </c>
      <c r="H10" s="17" t="str">
        <f>IFERROR(__xludf.DUMMYFUNCTION("""COMPUTED_VALUE"""),"AE 9061 UJ")</f>
        <v>AE 9061 UJ</v>
      </c>
      <c r="I10" s="17" t="str">
        <f>IFERROR(__xludf.DUMMYFUNCTION("""COMPUTED_VALUE"""),"TLPG TJ PERAK")</f>
        <v>TLPG TJ PERAK</v>
      </c>
      <c r="J10" s="17">
        <f>IFERROR(__xludf.DUMMYFUNCTION("""COMPUTED_VALUE"""),1.0)</f>
        <v>1</v>
      </c>
      <c r="L10" s="17">
        <f>IFERROR(__xludf.DUMMYFUNCTION("""COMPUTED_VALUE"""),9.0)</f>
        <v>9</v>
      </c>
      <c r="M10" s="17" t="str">
        <f>IFERROR(__xludf.DUMMYFUNCTION("""COMPUTED_VALUE"""),"AE 9061 UJ")</f>
        <v>AE 9061 UJ</v>
      </c>
      <c r="N10" s="11" t="str">
        <f>IFERROR(__xludf.DUMMYFUNCTION("""COMPUTED_VALUE"""),"TLPG TJ PERAK")</f>
        <v>TLPG TJ PERAK</v>
      </c>
      <c r="O10" s="17">
        <f>IFERROR(__xludf.DUMMYFUNCTION("""COMPUTED_VALUE"""),1.0)</f>
        <v>1</v>
      </c>
      <c r="P10" s="11" t="s">
        <v>149</v>
      </c>
      <c r="Q10" s="11"/>
      <c r="R10" s="11">
        <f>IFERROR(__xludf.DUMMYFUNCTION("""COMPUTED_VALUE"""),9.0)</f>
        <v>9</v>
      </c>
      <c r="S10" s="11" t="str">
        <f>IFERROR(__xludf.DUMMYFUNCTION("""COMPUTED_VALUE"""),"AE 8846 UT")</f>
        <v>AE 8846 UT</v>
      </c>
      <c r="T10" s="11" t="str">
        <f>IFERROR(__xludf.DUMMYFUNCTION("""COMPUTED_VALUE"""),"TLPG TJ PERAK")</f>
        <v>TLPG TJ PERAK</v>
      </c>
      <c r="U10" s="11">
        <f>IFERROR(__xludf.DUMMYFUNCTION("""COMPUTED_VALUE"""),2.0)</f>
        <v>2</v>
      </c>
      <c r="V10" s="11" t="s">
        <v>215</v>
      </c>
      <c r="W10" s="11"/>
      <c r="X10" s="11">
        <f>IFERROR(__xludf.DUMMYFUNCTION("""COMPUTED_VALUE"""),9.0)</f>
        <v>9</v>
      </c>
      <c r="Y10" s="11" t="str">
        <f>IFERROR(__xludf.DUMMYFUNCTION("""COMPUTED_VALUE"""),"AG 8128 UF")</f>
        <v>AG 8128 UF</v>
      </c>
      <c r="Z10" s="11" t="str">
        <f>IFERROR(__xludf.DUMMYFUNCTION("""COMPUTED_VALUE"""),"TLPG TJ PERAK")</f>
        <v>TLPG TJ PERAK</v>
      </c>
      <c r="AA10" s="11">
        <f>IFERROR(__xludf.DUMMYFUNCTION("""COMPUTED_VALUE"""),3.0)</f>
        <v>3</v>
      </c>
      <c r="AB10" s="11" t="s">
        <v>219</v>
      </c>
      <c r="AC10" s="11"/>
      <c r="AD10" s="11">
        <f>IFERROR(__xludf.DUMMYFUNCTION("""COMPUTED_VALUE"""),9.0)</f>
        <v>9</v>
      </c>
      <c r="AE10" s="11" t="str">
        <f>IFERROR(__xludf.DUMMYFUNCTION("""COMPUTED_VALUE"""),"AG 8702 UO")</f>
        <v>AG 8702 UO</v>
      </c>
      <c r="AF10" s="11" t="str">
        <f>IFERROR(__xludf.DUMMYFUNCTION("""COMPUTED_VALUE"""),"TLPG TJ PERAK")</f>
        <v>TLPG TJ PERAK</v>
      </c>
      <c r="AG10" s="11">
        <f>IFERROR(__xludf.DUMMYFUNCTION("""COMPUTED_VALUE"""),4.0)</f>
        <v>4</v>
      </c>
      <c r="AH10" s="11" t="s">
        <v>220</v>
      </c>
      <c r="AI10" s="11"/>
      <c r="AJ10" s="11">
        <f>IFERROR(__xludf.DUMMYFUNCTION("""COMPUTED_VALUE"""),9.0)</f>
        <v>9</v>
      </c>
      <c r="AK10" s="11" t="str">
        <f>IFERROR(__xludf.DUMMYFUNCTION("""COMPUTED_VALUE"""),"N 8857 UR")</f>
        <v>N 8857 UR</v>
      </c>
      <c r="AL10" s="11" t="str">
        <f>IFERROR(__xludf.DUMMYFUNCTION("""COMPUTED_VALUE"""),"TLPG TJ WANGI")</f>
        <v>TLPG TJ WANGI</v>
      </c>
      <c r="AM10" s="11">
        <f>IFERROR(__xludf.DUMMYFUNCTION("""COMPUTED_VALUE"""),5.0)</f>
        <v>5</v>
      </c>
      <c r="AN10" s="11" t="s">
        <v>83</v>
      </c>
      <c r="AO10" s="11"/>
      <c r="AP10" s="11">
        <f>IFERROR(__xludf.DUMMYFUNCTION("""COMPUTED_VALUE"""),9.0)</f>
        <v>9</v>
      </c>
      <c r="AQ10" s="11" t="str">
        <f>IFERROR(__xludf.DUMMYFUNCTION("""COMPUTED_VALUE"""),"L 8892 UU")</f>
        <v>L 8892 UU</v>
      </c>
      <c r="AR10" s="11" t="str">
        <f>IFERROR(__xludf.DUMMYFUNCTION("""COMPUTED_VALUE"""),"TLPG TJ PERAK")</f>
        <v>TLPG TJ PERAK</v>
      </c>
      <c r="AS10" s="11">
        <f>IFERROR(__xludf.DUMMYFUNCTION("""COMPUTED_VALUE"""),6.0)</f>
        <v>6</v>
      </c>
      <c r="AT10" s="11" t="s">
        <v>246</v>
      </c>
      <c r="AV10" s="9" t="str">
        <f>'KENDARAAN P1'!A:A</f>
        <v>B 9115 SEI</v>
      </c>
    </row>
    <row r="11">
      <c r="A11" s="13" t="str">
        <f>IFERROR(__xludf.DUMMYFUNCTION("""COMPUTED_VALUE"""),"AE 8641 UP")</f>
        <v>AE 8641 UP</v>
      </c>
      <c r="B11" s="9" t="str">
        <f>IFERROR(__xludf.DUMMYFUNCTION("""COMPUTED_VALUE"""),"TLPG TJ PERAK")</f>
        <v>TLPG TJ PERAK</v>
      </c>
      <c r="C11" s="11">
        <f>IFERROR(__xludf.DUMMYFUNCTION("""COMPUTED_VALUE"""),1.0)</f>
        <v>1</v>
      </c>
      <c r="D11" s="12">
        <v>1.0</v>
      </c>
      <c r="E11" s="34" t="s">
        <v>180</v>
      </c>
      <c r="G11" s="14">
        <v>10.0</v>
      </c>
      <c r="H11" s="17" t="str">
        <f>IFERROR(__xludf.DUMMYFUNCTION("""COMPUTED_VALUE"""),"B 9080 SEI")</f>
        <v>B 9080 SEI</v>
      </c>
      <c r="I11" s="17" t="str">
        <f>IFERROR(__xludf.DUMMYFUNCTION("""COMPUTED_VALUE"""),"TLPG TJ WANGI")</f>
        <v>TLPG TJ WANGI</v>
      </c>
      <c r="J11" s="17">
        <f>IFERROR(__xludf.DUMMYFUNCTION("""COMPUTED_VALUE"""),1.0)</f>
        <v>1</v>
      </c>
      <c r="L11" s="17">
        <f>IFERROR(__xludf.DUMMYFUNCTION("""COMPUTED_VALUE"""),10.0)</f>
        <v>10</v>
      </c>
      <c r="M11" s="17" t="str">
        <f>IFERROR(__xludf.DUMMYFUNCTION("""COMPUTED_VALUE"""),"B 9080 SEI")</f>
        <v>B 9080 SEI</v>
      </c>
      <c r="N11" s="11" t="str">
        <f>IFERROR(__xludf.DUMMYFUNCTION("""COMPUTED_VALUE"""),"TLPG TJ WANGI")</f>
        <v>TLPG TJ WANGI</v>
      </c>
      <c r="O11" s="17">
        <f>IFERROR(__xludf.DUMMYFUNCTION("""COMPUTED_VALUE"""),1.0)</f>
        <v>1</v>
      </c>
      <c r="P11" s="11" t="s">
        <v>48</v>
      </c>
      <c r="Q11" s="11"/>
      <c r="R11" s="11">
        <f>IFERROR(__xludf.DUMMYFUNCTION("""COMPUTED_VALUE"""),10.0)</f>
        <v>10</v>
      </c>
      <c r="S11" s="11" t="str">
        <f>IFERROR(__xludf.DUMMYFUNCTION("""COMPUTED_VALUE"""),"AE 8857 UT")</f>
        <v>AE 8857 UT</v>
      </c>
      <c r="T11" s="11" t="str">
        <f>IFERROR(__xludf.DUMMYFUNCTION("""COMPUTED_VALUE"""),"TLPG TJ PERAK")</f>
        <v>TLPG TJ PERAK</v>
      </c>
      <c r="U11" s="11">
        <f>IFERROR(__xludf.DUMMYFUNCTION("""COMPUTED_VALUE"""),2.0)</f>
        <v>2</v>
      </c>
      <c r="V11" s="11" t="s">
        <v>215</v>
      </c>
      <c r="W11" s="11"/>
      <c r="X11" s="11">
        <f>IFERROR(__xludf.DUMMYFUNCTION("""COMPUTED_VALUE"""),10.0)</f>
        <v>10</v>
      </c>
      <c r="Y11" s="11" t="str">
        <f>IFERROR(__xludf.DUMMYFUNCTION("""COMPUTED_VALUE"""),"AG 8129 UF")</f>
        <v>AG 8129 UF</v>
      </c>
      <c r="Z11" s="11" t="str">
        <f>IFERROR(__xludf.DUMMYFUNCTION("""COMPUTED_VALUE"""),"TLPG TJ PERAK")</f>
        <v>TLPG TJ PERAK</v>
      </c>
      <c r="AA11" s="11">
        <f>IFERROR(__xludf.DUMMYFUNCTION("""COMPUTED_VALUE"""),3.0)</f>
        <v>3</v>
      </c>
      <c r="AB11" s="11" t="s">
        <v>219</v>
      </c>
      <c r="AC11" s="11"/>
      <c r="AD11" s="11">
        <f>IFERROR(__xludf.DUMMYFUNCTION("""COMPUTED_VALUE"""),10.0)</f>
        <v>10</v>
      </c>
      <c r="AE11" s="11" t="str">
        <f>IFERROR(__xludf.DUMMYFUNCTION("""COMPUTED_VALUE"""),"AG 8717 UO")</f>
        <v>AG 8717 UO</v>
      </c>
      <c r="AF11" s="11" t="str">
        <f>IFERROR(__xludf.DUMMYFUNCTION("""COMPUTED_VALUE"""),"TLPG TJ PERAK")</f>
        <v>TLPG TJ PERAK</v>
      </c>
      <c r="AG11" s="11">
        <f>IFERROR(__xludf.DUMMYFUNCTION("""COMPUTED_VALUE"""),4.0)</f>
        <v>4</v>
      </c>
      <c r="AH11" s="11" t="s">
        <v>220</v>
      </c>
      <c r="AI11" s="11"/>
      <c r="AJ11" s="11">
        <f>IFERROR(__xludf.DUMMYFUNCTION("""COMPUTED_VALUE"""),10.0)</f>
        <v>10</v>
      </c>
      <c r="AK11" s="11" t="str">
        <f>IFERROR(__xludf.DUMMYFUNCTION("""COMPUTED_VALUE"""),"N 9287 UN")</f>
        <v>N 9287 UN</v>
      </c>
      <c r="AL11" s="11" t="str">
        <f>IFERROR(__xludf.DUMMYFUNCTION("""COMPUTED_VALUE"""),"TLPG TJ WANGI")</f>
        <v>TLPG TJ WANGI</v>
      </c>
      <c r="AM11" s="11">
        <f>IFERROR(__xludf.DUMMYFUNCTION("""COMPUTED_VALUE"""),5.0)</f>
        <v>5</v>
      </c>
      <c r="AN11" s="11" t="s">
        <v>257</v>
      </c>
      <c r="AO11" s="11"/>
      <c r="AP11" s="11">
        <f>IFERROR(__xludf.DUMMYFUNCTION("""COMPUTED_VALUE"""),10.0)</f>
        <v>10</v>
      </c>
      <c r="AQ11" s="11" t="str">
        <f>IFERROR(__xludf.DUMMYFUNCTION("""COMPUTED_VALUE"""),"L 8973 UU")</f>
        <v>L 8973 UU</v>
      </c>
      <c r="AR11" s="11" t="str">
        <f>IFERROR(__xludf.DUMMYFUNCTION("""COMPUTED_VALUE"""),"TLPG TJ PERAK")</f>
        <v>TLPG TJ PERAK</v>
      </c>
      <c r="AS11" s="11">
        <f>IFERROR(__xludf.DUMMYFUNCTION("""COMPUTED_VALUE"""),6.0)</f>
        <v>6</v>
      </c>
      <c r="AT11" s="11" t="s">
        <v>260</v>
      </c>
      <c r="AV11" s="9" t="str">
        <f>'KENDARAAN P1'!A:A</f>
        <v>B 9712 SFU</v>
      </c>
    </row>
    <row r="12">
      <c r="A12" s="13" t="str">
        <f>IFERROR(__xludf.DUMMYFUNCTION("""COMPUTED_VALUE"""),"AE 8642 UP")</f>
        <v>AE 8642 UP</v>
      </c>
      <c r="B12" s="9" t="str">
        <f>IFERROR(__xludf.DUMMYFUNCTION("""COMPUTED_VALUE"""),"TLPG TJ PERAK")</f>
        <v>TLPG TJ PERAK</v>
      </c>
      <c r="C12" s="11">
        <f>IFERROR(__xludf.DUMMYFUNCTION("""COMPUTED_VALUE"""),1.0)</f>
        <v>1</v>
      </c>
      <c r="D12" s="12">
        <v>1.0</v>
      </c>
      <c r="E12" s="34" t="s">
        <v>180</v>
      </c>
      <c r="G12" s="14">
        <v>11.0</v>
      </c>
      <c r="H12" s="17" t="str">
        <f>IFERROR(__xludf.DUMMYFUNCTION("""COMPUTED_VALUE"""),"B 9089 SEI")</f>
        <v>B 9089 SEI</v>
      </c>
      <c r="I12" s="17" t="str">
        <f>IFERROR(__xludf.DUMMYFUNCTION("""COMPUTED_VALUE"""),"TLPG MEM GRESIK")</f>
        <v>TLPG MEM GRESIK</v>
      </c>
      <c r="J12" s="17">
        <f>IFERROR(__xludf.DUMMYFUNCTION("""COMPUTED_VALUE"""),1.0)</f>
        <v>1</v>
      </c>
      <c r="L12" s="17">
        <f>IFERROR(__xludf.DUMMYFUNCTION("""COMPUTED_VALUE"""),11.0)</f>
        <v>11</v>
      </c>
      <c r="M12" s="17" t="str">
        <f>IFERROR(__xludf.DUMMYFUNCTION("""COMPUTED_VALUE"""),"B 9089 SEI")</f>
        <v>B 9089 SEI</v>
      </c>
      <c r="N12" s="11" t="str">
        <f>IFERROR(__xludf.DUMMYFUNCTION("""COMPUTED_VALUE"""),"TLPG MEM GRESIK")</f>
        <v>TLPG MEM GRESIK</v>
      </c>
      <c r="O12" s="17">
        <f>IFERROR(__xludf.DUMMYFUNCTION("""COMPUTED_VALUE"""),1.0)</f>
        <v>1</v>
      </c>
      <c r="P12" s="11" t="s">
        <v>83</v>
      </c>
      <c r="Q12" s="11"/>
      <c r="R12" s="11">
        <f>IFERROR(__xludf.DUMMYFUNCTION("""COMPUTED_VALUE"""),11.0)</f>
        <v>11</v>
      </c>
      <c r="S12" s="11" t="str">
        <f>IFERROR(__xludf.DUMMYFUNCTION("""COMPUTED_VALUE"""),"AE 9401 UJ")</f>
        <v>AE 9401 UJ</v>
      </c>
      <c r="T12" s="11" t="str">
        <f>IFERROR(__xludf.DUMMYFUNCTION("""COMPUTED_VALUE"""),"TLPG TJ PERAK")</f>
        <v>TLPG TJ PERAK</v>
      </c>
      <c r="U12" s="11">
        <f>IFERROR(__xludf.DUMMYFUNCTION("""COMPUTED_VALUE"""),2.0)</f>
        <v>2</v>
      </c>
      <c r="V12" s="11" t="s">
        <v>266</v>
      </c>
      <c r="W12" s="11"/>
      <c r="X12" s="11">
        <f>IFERROR(__xludf.DUMMYFUNCTION("""COMPUTED_VALUE"""),11.0)</f>
        <v>11</v>
      </c>
      <c r="Y12" s="11" t="str">
        <f>IFERROR(__xludf.DUMMYFUNCTION("""COMPUTED_VALUE"""),"AG 8152 UL")</f>
        <v>AG 8152 UL</v>
      </c>
      <c r="Z12" s="11" t="str">
        <f>IFERROR(__xludf.DUMMYFUNCTION("""COMPUTED_VALUE"""),"TLPG TJ PERAK")</f>
        <v>TLPG TJ PERAK</v>
      </c>
      <c r="AA12" s="11">
        <f>IFERROR(__xludf.DUMMYFUNCTION("""COMPUTED_VALUE"""),3.0)</f>
        <v>3</v>
      </c>
      <c r="AB12" s="11" t="s">
        <v>204</v>
      </c>
      <c r="AC12" s="11"/>
      <c r="AD12" s="11">
        <f>IFERROR(__xludf.DUMMYFUNCTION("""COMPUTED_VALUE"""),11.0)</f>
        <v>11</v>
      </c>
      <c r="AE12" s="11" t="str">
        <f>IFERROR(__xludf.DUMMYFUNCTION("""COMPUTED_VALUE"""),"AG 8817 UK")</f>
        <v>AG 8817 UK</v>
      </c>
      <c r="AF12" s="11" t="str">
        <f>IFERROR(__xludf.DUMMYFUNCTION("""COMPUTED_VALUE"""),"TLPG TJ PERAK")</f>
        <v>TLPG TJ PERAK</v>
      </c>
      <c r="AG12" s="11">
        <f>IFERROR(__xludf.DUMMYFUNCTION("""COMPUTED_VALUE"""),4.0)</f>
        <v>4</v>
      </c>
      <c r="AH12" s="11" t="s">
        <v>204</v>
      </c>
      <c r="AI12" s="11"/>
      <c r="AJ12" s="11">
        <f>IFERROR(__xludf.DUMMYFUNCTION("""COMPUTED_VALUE"""),11.0)</f>
        <v>11</v>
      </c>
      <c r="AK12" s="11" t="str">
        <f>IFERROR(__xludf.DUMMYFUNCTION("""COMPUTED_VALUE"""),"N 9579 US")</f>
        <v>N 9579 US</v>
      </c>
      <c r="AL12" s="11" t="str">
        <f>IFERROR(__xludf.DUMMYFUNCTION("""COMPUTED_VALUE"""),"TLPG TJ PERAK")</f>
        <v>TLPG TJ PERAK</v>
      </c>
      <c r="AM12" s="11">
        <f>IFERROR(__xludf.DUMMYFUNCTION("""COMPUTED_VALUE"""),5.0)</f>
        <v>5</v>
      </c>
      <c r="AN12" s="11" t="s">
        <v>271</v>
      </c>
      <c r="AO12" s="11"/>
      <c r="AP12" s="11">
        <f>IFERROR(__xludf.DUMMYFUNCTION("""COMPUTED_VALUE"""),11.0)</f>
        <v>11</v>
      </c>
      <c r="AQ12" s="11" t="str">
        <f>IFERROR(__xludf.DUMMYFUNCTION("""COMPUTED_VALUE"""),"L 9161 UB")</f>
        <v>L 9161 UB</v>
      </c>
      <c r="AR12" s="11" t="str">
        <f>IFERROR(__xludf.DUMMYFUNCTION("""COMPUTED_VALUE"""),"TLPG TJ PERAK")</f>
        <v>TLPG TJ PERAK</v>
      </c>
      <c r="AS12" s="11">
        <f>IFERROR(__xludf.DUMMYFUNCTION("""COMPUTED_VALUE"""),6.0)</f>
        <v>6</v>
      </c>
      <c r="AT12" s="11" t="s">
        <v>273</v>
      </c>
      <c r="AV12" s="9" t="str">
        <f>'KENDARAAN P1'!A:A</f>
        <v>B 9880 SFU</v>
      </c>
    </row>
    <row r="13">
      <c r="A13" s="13" t="str">
        <f>IFERROR(__xludf.DUMMYFUNCTION("""COMPUTED_VALUE"""),"AE 9061 UJ")</f>
        <v>AE 9061 UJ</v>
      </c>
      <c r="B13" s="9" t="str">
        <f>IFERROR(__xludf.DUMMYFUNCTION("""COMPUTED_VALUE"""),"TLPG TJ PERAK")</f>
        <v>TLPG TJ PERAK</v>
      </c>
      <c r="C13" s="11">
        <f>IFERROR(__xludf.DUMMYFUNCTION("""COMPUTED_VALUE"""),1.0)</f>
        <v>1</v>
      </c>
      <c r="D13" s="12">
        <v>1.0</v>
      </c>
      <c r="E13" s="39" t="s">
        <v>149</v>
      </c>
      <c r="G13" s="14">
        <v>12.0</v>
      </c>
      <c r="H13" s="17" t="str">
        <f>IFERROR(__xludf.DUMMYFUNCTION("""COMPUTED_VALUE"""),"B 9711 SFU")</f>
        <v>B 9711 SFU</v>
      </c>
      <c r="I13" s="17" t="str">
        <f>IFERROR(__xludf.DUMMYFUNCTION("""COMPUTED_VALUE"""),"TLPG TJ WANGI")</f>
        <v>TLPG TJ WANGI</v>
      </c>
      <c r="J13" s="17">
        <f>IFERROR(__xludf.DUMMYFUNCTION("""COMPUTED_VALUE"""),1.0)</f>
        <v>1</v>
      </c>
      <c r="L13" s="17">
        <f>IFERROR(__xludf.DUMMYFUNCTION("""COMPUTED_VALUE"""),12.0)</f>
        <v>12</v>
      </c>
      <c r="M13" s="17" t="str">
        <f>IFERROR(__xludf.DUMMYFUNCTION("""COMPUTED_VALUE"""),"B 9711 SFU")</f>
        <v>B 9711 SFU</v>
      </c>
      <c r="N13" s="11" t="str">
        <f>IFERROR(__xludf.DUMMYFUNCTION("""COMPUTED_VALUE"""),"TLPG TJ WANGI")</f>
        <v>TLPG TJ WANGI</v>
      </c>
      <c r="O13" s="17">
        <f>IFERROR(__xludf.DUMMYFUNCTION("""COMPUTED_VALUE"""),1.0)</f>
        <v>1</v>
      </c>
      <c r="P13" s="11" t="s">
        <v>48</v>
      </c>
      <c r="Q13" s="11"/>
      <c r="R13" s="11">
        <f>IFERROR(__xludf.DUMMYFUNCTION("""COMPUTED_VALUE"""),12.0)</f>
        <v>12</v>
      </c>
      <c r="S13" s="11" t="str">
        <f>IFERROR(__xludf.DUMMYFUNCTION("""COMPUTED_VALUE"""),"AE 8828 UQ")</f>
        <v>AE 8828 UQ</v>
      </c>
      <c r="T13" s="11" t="str">
        <f>IFERROR(__xludf.DUMMYFUNCTION("""COMPUTED_VALUE"""),"TLPG TJ PERAK")</f>
        <v>TLPG TJ PERAK</v>
      </c>
      <c r="U13" s="11">
        <f>IFERROR(__xludf.DUMMYFUNCTION("""COMPUTED_VALUE"""),2.0)</f>
        <v>2</v>
      </c>
      <c r="V13" s="11" t="s">
        <v>152</v>
      </c>
      <c r="W13" s="11"/>
      <c r="X13" s="11">
        <f>IFERROR(__xludf.DUMMYFUNCTION("""COMPUTED_VALUE"""),12.0)</f>
        <v>12</v>
      </c>
      <c r="Y13" s="11" t="str">
        <f>IFERROR(__xludf.DUMMYFUNCTION("""COMPUTED_VALUE"""),"AG 8225 UG")</f>
        <v>AG 8225 UG</v>
      </c>
      <c r="Z13" s="11" t="str">
        <f>IFERROR(__xludf.DUMMYFUNCTION("""COMPUTED_VALUE"""),"TLPG TJ PERAK")</f>
        <v>TLPG TJ PERAK</v>
      </c>
      <c r="AA13" s="11">
        <f>IFERROR(__xludf.DUMMYFUNCTION("""COMPUTED_VALUE"""),3.0)</f>
        <v>3</v>
      </c>
      <c r="AB13" s="11" t="s">
        <v>285</v>
      </c>
      <c r="AC13" s="11"/>
      <c r="AD13" s="11">
        <f>IFERROR(__xludf.DUMMYFUNCTION("""COMPUTED_VALUE"""),12.0)</f>
        <v>12</v>
      </c>
      <c r="AE13" s="11" t="str">
        <f>IFERROR(__xludf.DUMMYFUNCTION("""COMPUTED_VALUE"""),"AG 8818 UK")</f>
        <v>AG 8818 UK</v>
      </c>
      <c r="AF13" s="11" t="str">
        <f>IFERROR(__xludf.DUMMYFUNCTION("""COMPUTED_VALUE"""),"TLPG TJ PERAK")</f>
        <v>TLPG TJ PERAK</v>
      </c>
      <c r="AG13" s="11">
        <f>IFERROR(__xludf.DUMMYFUNCTION("""COMPUTED_VALUE"""),4.0)</f>
        <v>4</v>
      </c>
      <c r="AH13" s="11" t="s">
        <v>204</v>
      </c>
      <c r="AI13" s="11"/>
      <c r="AJ13" s="11">
        <f>IFERROR(__xludf.DUMMYFUNCTION("""COMPUTED_VALUE"""),12.0)</f>
        <v>12</v>
      </c>
      <c r="AK13" s="11" t="str">
        <f>IFERROR(__xludf.DUMMYFUNCTION("""COMPUTED_VALUE"""),"AG 9151 UL")</f>
        <v>AG 9151 UL</v>
      </c>
      <c r="AL13" s="11" t="str">
        <f>IFERROR(__xludf.DUMMYFUNCTION("""COMPUTED_VALUE"""),"TLPG TJ PERAK")</f>
        <v>TLPG TJ PERAK</v>
      </c>
      <c r="AM13" s="11">
        <f>IFERROR(__xludf.DUMMYFUNCTION("""COMPUTED_VALUE"""),5.0)</f>
        <v>5</v>
      </c>
      <c r="AN13" s="11" t="s">
        <v>266</v>
      </c>
      <c r="AO13" s="11"/>
      <c r="AP13" s="11">
        <f>IFERROR(__xludf.DUMMYFUNCTION("""COMPUTED_VALUE"""),12.0)</f>
        <v>12</v>
      </c>
      <c r="AQ13" s="11" t="str">
        <f>IFERROR(__xludf.DUMMYFUNCTION("""COMPUTED_VALUE"""),"L 9290 UQ")</f>
        <v>L 9290 UQ</v>
      </c>
      <c r="AR13" s="11" t="str">
        <f>IFERROR(__xludf.DUMMYFUNCTION("""COMPUTED_VALUE"""),"TLPG TJ PERAK")</f>
        <v>TLPG TJ PERAK</v>
      </c>
      <c r="AS13" s="11">
        <f>IFERROR(__xludf.DUMMYFUNCTION("""COMPUTED_VALUE"""),6.0)</f>
        <v>6</v>
      </c>
      <c r="AT13" s="11" t="s">
        <v>273</v>
      </c>
      <c r="AV13" s="9" t="str">
        <f>'KENDARAAN P1'!A:A</f>
        <v>L 9837 UJ</v>
      </c>
    </row>
    <row r="14">
      <c r="A14" s="13" t="str">
        <f>IFERROR(__xludf.DUMMYFUNCTION("""COMPUTED_VALUE"""),"AE 8835 UQ")</f>
        <v>AE 8835 UQ</v>
      </c>
      <c r="B14" s="9" t="str">
        <f>IFERROR(__xludf.DUMMYFUNCTION("""COMPUTED_VALUE"""),"TLPG TJ PERAK")</f>
        <v>TLPG TJ PERAK</v>
      </c>
      <c r="C14" s="11">
        <f>IFERROR(__xludf.DUMMYFUNCTION("""COMPUTED_VALUE"""),1.0)</f>
        <v>1</v>
      </c>
      <c r="D14" s="12">
        <v>2.0</v>
      </c>
      <c r="E14" s="39" t="s">
        <v>152</v>
      </c>
      <c r="G14" s="14">
        <v>13.0</v>
      </c>
      <c r="H14" s="17" t="str">
        <f>IFERROR(__xludf.DUMMYFUNCTION("""COMPUTED_VALUE"""),"B 9914 PEI")</f>
        <v>B 9914 PEI</v>
      </c>
      <c r="I14" s="17" t="str">
        <f>IFERROR(__xludf.DUMMYFUNCTION("""COMPUTED_VALUE"""),"TLPG MANGGIS")</f>
        <v>TLPG MANGGIS</v>
      </c>
      <c r="J14" s="17">
        <f>IFERROR(__xludf.DUMMYFUNCTION("""COMPUTED_VALUE"""),1.0)</f>
        <v>1</v>
      </c>
      <c r="L14" s="17">
        <f>IFERROR(__xludf.DUMMYFUNCTION("""COMPUTED_VALUE"""),13.0)</f>
        <v>13</v>
      </c>
      <c r="M14" s="17" t="str">
        <f>IFERROR(__xludf.DUMMYFUNCTION("""COMPUTED_VALUE"""),"B 9914 PEI")</f>
        <v>B 9914 PEI</v>
      </c>
      <c r="N14" s="11" t="str">
        <f>IFERROR(__xludf.DUMMYFUNCTION("""COMPUTED_VALUE"""),"TLPG MANGGIS")</f>
        <v>TLPG MANGGIS</v>
      </c>
      <c r="O14" s="17">
        <f>IFERROR(__xludf.DUMMYFUNCTION("""COMPUTED_VALUE"""),1.0)</f>
        <v>1</v>
      </c>
      <c r="P14" s="11" t="s">
        <v>299</v>
      </c>
      <c r="Q14" s="11"/>
      <c r="R14" s="11">
        <f>IFERROR(__xludf.DUMMYFUNCTION("""COMPUTED_VALUE"""),13.0)</f>
        <v>13</v>
      </c>
      <c r="S14" s="11" t="str">
        <f>IFERROR(__xludf.DUMMYFUNCTION("""COMPUTED_VALUE"""),"AE 9634 UJ")</f>
        <v>AE 9634 UJ</v>
      </c>
      <c r="T14" s="11" t="str">
        <f>IFERROR(__xludf.DUMMYFUNCTION("""COMPUTED_VALUE"""),"TLPG TJ PERAK")</f>
        <v>TLPG TJ PERAK</v>
      </c>
      <c r="U14" s="11">
        <f>IFERROR(__xludf.DUMMYFUNCTION("""COMPUTED_VALUE"""),2.0)</f>
        <v>2</v>
      </c>
      <c r="V14" s="11" t="s">
        <v>302</v>
      </c>
      <c r="W14" s="11"/>
      <c r="X14" s="11">
        <f>IFERROR(__xludf.DUMMYFUNCTION("""COMPUTED_VALUE"""),13.0)</f>
        <v>13</v>
      </c>
      <c r="Y14" s="11" t="str">
        <f>IFERROR(__xludf.DUMMYFUNCTION("""COMPUTED_VALUE"""),"AG 8374 UG")</f>
        <v>AG 8374 UG</v>
      </c>
      <c r="Z14" s="11" t="str">
        <f>IFERROR(__xludf.DUMMYFUNCTION("""COMPUTED_VALUE"""),"TLPG TJ PERAK")</f>
        <v>TLPG TJ PERAK</v>
      </c>
      <c r="AA14" s="11">
        <f>IFERROR(__xludf.DUMMYFUNCTION("""COMPUTED_VALUE"""),3.0)</f>
        <v>3</v>
      </c>
      <c r="AB14" s="11" t="s">
        <v>304</v>
      </c>
      <c r="AC14" s="11"/>
      <c r="AD14" s="11">
        <f>IFERROR(__xludf.DUMMYFUNCTION("""COMPUTED_VALUE"""),13.0)</f>
        <v>13</v>
      </c>
      <c r="AE14" s="11" t="str">
        <f>IFERROR(__xludf.DUMMYFUNCTION("""COMPUTED_VALUE"""),"L 8013 UX")</f>
        <v>L 8013 UX</v>
      </c>
      <c r="AF14" s="11" t="str">
        <f>IFERROR(__xludf.DUMMYFUNCTION("""COMPUTED_VALUE"""),"TLPG MEM GRESIK")</f>
        <v>TLPG MEM GRESIK</v>
      </c>
      <c r="AG14" s="11">
        <f>IFERROR(__xludf.DUMMYFUNCTION("""COMPUTED_VALUE"""),4.0)</f>
        <v>4</v>
      </c>
      <c r="AH14" s="11" t="s">
        <v>307</v>
      </c>
      <c r="AI14" s="11"/>
      <c r="AJ14" s="11">
        <f>IFERROR(__xludf.DUMMYFUNCTION("""COMPUTED_VALUE"""),13.0)</f>
        <v>13</v>
      </c>
      <c r="AK14" s="11" t="str">
        <f>IFERROR(__xludf.DUMMYFUNCTION("""COMPUTED_VALUE"""),"DK 8198 BK")</f>
        <v>DK 8198 BK</v>
      </c>
      <c r="AL14" s="11" t="str">
        <f>IFERROR(__xludf.DUMMYFUNCTION("""COMPUTED_VALUE"""),"TLPG MANGGIS")</f>
        <v>TLPG MANGGIS</v>
      </c>
      <c r="AM14" s="11">
        <f>IFERROR(__xludf.DUMMYFUNCTION("""COMPUTED_VALUE"""),5.0)</f>
        <v>5</v>
      </c>
      <c r="AN14" s="11" t="s">
        <v>310</v>
      </c>
      <c r="AO14" s="11"/>
      <c r="AP14" s="11">
        <f>IFERROR(__xludf.DUMMYFUNCTION("""COMPUTED_VALUE"""),13.0)</f>
        <v>13</v>
      </c>
      <c r="AQ14" s="11" t="str">
        <f>IFERROR(__xludf.DUMMYFUNCTION("""COMPUTED_VALUE"""),"L 9476 UL")</f>
        <v>L 9476 UL</v>
      </c>
      <c r="AR14" s="11" t="str">
        <f>IFERROR(__xludf.DUMMYFUNCTION("""COMPUTED_VALUE"""),"TLPG TJ PERAK")</f>
        <v>TLPG TJ PERAK</v>
      </c>
      <c r="AS14" s="11">
        <f>IFERROR(__xludf.DUMMYFUNCTION("""COMPUTED_VALUE"""),6.0)</f>
        <v>6</v>
      </c>
      <c r="AT14" s="11" t="s">
        <v>313</v>
      </c>
      <c r="AV14" s="9" t="str">
        <f>'KENDARAAN P1'!A:A</f>
        <v>B 9882 SFU</v>
      </c>
    </row>
    <row r="15">
      <c r="A15" s="13" t="str">
        <f>IFERROR(__xludf.DUMMYFUNCTION("""COMPUTED_VALUE"""),"AG 8093 EI")</f>
        <v>AG 8093 EI</v>
      </c>
      <c r="B15" s="9" t="str">
        <f>IFERROR(__xludf.DUMMYFUNCTION("""COMPUTED_VALUE"""),"TLPG MEM GRESIK")</f>
        <v>TLPG MEM GRESIK</v>
      </c>
      <c r="C15" s="11">
        <f>IFERROR(__xludf.DUMMYFUNCTION("""COMPUTED_VALUE"""),1.0)</f>
        <v>1</v>
      </c>
      <c r="D15" s="12">
        <v>3.0</v>
      </c>
      <c r="E15" s="34" t="s">
        <v>317</v>
      </c>
      <c r="G15" s="14">
        <v>14.0</v>
      </c>
      <c r="H15" s="17" t="str">
        <f>IFERROR(__xludf.DUMMYFUNCTION("""COMPUTED_VALUE"""),"DK 8011 UK")</f>
        <v>DK 8011 UK</v>
      </c>
      <c r="I15" s="17" t="str">
        <f>IFERROR(__xludf.DUMMYFUNCTION("""COMPUTED_VALUE"""),"TLPG MANGGIS")</f>
        <v>TLPG MANGGIS</v>
      </c>
      <c r="J15" s="17">
        <f>IFERROR(__xludf.DUMMYFUNCTION("""COMPUTED_VALUE"""),1.0)</f>
        <v>1</v>
      </c>
      <c r="L15" s="17">
        <f>IFERROR(__xludf.DUMMYFUNCTION("""COMPUTED_VALUE"""),14.0)</f>
        <v>14</v>
      </c>
      <c r="M15" s="17" t="str">
        <f>IFERROR(__xludf.DUMMYFUNCTION("""COMPUTED_VALUE"""),"DK 8011 UK")</f>
        <v>DK 8011 UK</v>
      </c>
      <c r="N15" s="11" t="str">
        <f>IFERROR(__xludf.DUMMYFUNCTION("""COMPUTED_VALUE"""),"TLPG MANGGIS")</f>
        <v>TLPG MANGGIS</v>
      </c>
      <c r="O15" s="17">
        <f>IFERROR(__xludf.DUMMYFUNCTION("""COMPUTED_VALUE"""),1.0)</f>
        <v>1</v>
      </c>
      <c r="P15" s="11" t="s">
        <v>321</v>
      </c>
      <c r="Q15" s="11"/>
      <c r="R15" s="11">
        <f>IFERROR(__xludf.DUMMYFUNCTION("""COMPUTED_VALUE"""),14.0)</f>
        <v>14</v>
      </c>
      <c r="S15" s="11" t="str">
        <f>IFERROR(__xludf.DUMMYFUNCTION("""COMPUTED_VALUE"""),"AG 8032 YQ")</f>
        <v>AG 8032 YQ</v>
      </c>
      <c r="T15" s="11" t="str">
        <f>IFERROR(__xludf.DUMMYFUNCTION("""COMPUTED_VALUE"""),"TLPG TJ PERAK")</f>
        <v>TLPG TJ PERAK</v>
      </c>
      <c r="U15" s="11">
        <f>IFERROR(__xludf.DUMMYFUNCTION("""COMPUTED_VALUE"""),2.0)</f>
        <v>2</v>
      </c>
      <c r="V15" s="11" t="s">
        <v>168</v>
      </c>
      <c r="W15" s="11"/>
      <c r="X15" s="11">
        <f>IFERROR(__xludf.DUMMYFUNCTION("""COMPUTED_VALUE"""),14.0)</f>
        <v>14</v>
      </c>
      <c r="Y15" s="11" t="str">
        <f>IFERROR(__xludf.DUMMYFUNCTION("""COMPUTED_VALUE"""),"AG 8380 KL")</f>
        <v>AG 8380 KL</v>
      </c>
      <c r="Z15" s="11" t="str">
        <f>IFERROR(__xludf.DUMMYFUNCTION("""COMPUTED_VALUE"""),"TLPG TJ PERAK")</f>
        <v>TLPG TJ PERAK</v>
      </c>
      <c r="AA15" s="11">
        <f>IFERROR(__xludf.DUMMYFUNCTION("""COMPUTED_VALUE"""),3.0)</f>
        <v>3</v>
      </c>
      <c r="AB15" s="11" t="s">
        <v>327</v>
      </c>
      <c r="AC15" s="11"/>
      <c r="AD15" s="11">
        <f>IFERROR(__xludf.DUMMYFUNCTION("""COMPUTED_VALUE"""),14.0)</f>
        <v>14</v>
      </c>
      <c r="AE15" s="11" t="str">
        <f>IFERROR(__xludf.DUMMYFUNCTION("""COMPUTED_VALUE"""),"L 8440 UD")</f>
        <v>L 8440 UD</v>
      </c>
      <c r="AF15" s="11" t="str">
        <f>IFERROR(__xludf.DUMMYFUNCTION("""COMPUTED_VALUE"""),"TLPG MEM GRESIK")</f>
        <v>TLPG MEM GRESIK</v>
      </c>
      <c r="AG15" s="11">
        <f>IFERROR(__xludf.DUMMYFUNCTION("""COMPUTED_VALUE"""),4.0)</f>
        <v>4</v>
      </c>
      <c r="AH15" s="11" t="s">
        <v>329</v>
      </c>
      <c r="AI15" s="11"/>
      <c r="AJ15" s="11">
        <f>IFERROR(__xludf.DUMMYFUNCTION("""COMPUTED_VALUE"""),14.0)</f>
        <v>14</v>
      </c>
      <c r="AK15" s="11" t="str">
        <f>IFERROR(__xludf.DUMMYFUNCTION("""COMPUTED_VALUE"""),"DK 8203 KO")</f>
        <v>DK 8203 KO</v>
      </c>
      <c r="AL15" s="11" t="str">
        <f>IFERROR(__xludf.DUMMYFUNCTION("""COMPUTED_VALUE"""),"TLPG MANGGIS")</f>
        <v>TLPG MANGGIS</v>
      </c>
      <c r="AM15" s="11">
        <f>IFERROR(__xludf.DUMMYFUNCTION("""COMPUTED_VALUE"""),5.0)</f>
        <v>5</v>
      </c>
      <c r="AN15" s="11" t="s">
        <v>332</v>
      </c>
      <c r="AO15" s="11"/>
      <c r="AP15" s="11">
        <f>IFERROR(__xludf.DUMMYFUNCTION("""COMPUTED_VALUE"""),14.0)</f>
        <v>14</v>
      </c>
      <c r="AQ15" s="11" t="str">
        <f>IFERROR(__xludf.DUMMYFUNCTION("""COMPUTED_VALUE"""),"L 9489 UL")</f>
        <v>L 9489 UL</v>
      </c>
      <c r="AR15" s="11" t="str">
        <f>IFERROR(__xludf.DUMMYFUNCTION("""COMPUTED_VALUE"""),"TLPG TJ PERAK")</f>
        <v>TLPG TJ PERAK</v>
      </c>
      <c r="AS15" s="11">
        <f>IFERROR(__xludf.DUMMYFUNCTION("""COMPUTED_VALUE"""),6.0)</f>
        <v>6</v>
      </c>
      <c r="AT15" s="11" t="s">
        <v>313</v>
      </c>
      <c r="AV15" s="9" t="str">
        <f>'KENDARAAN P1'!A:A</f>
        <v>B 9883 SFU</v>
      </c>
    </row>
    <row r="16">
      <c r="A16" s="13" t="str">
        <f>IFERROR(__xludf.DUMMYFUNCTION("""COMPUTED_VALUE"""),"AG 9876 RK")</f>
        <v>AG 9876 RK</v>
      </c>
      <c r="B16" s="9" t="str">
        <f>IFERROR(__xludf.DUMMYFUNCTION("""COMPUTED_VALUE"""),"TLPG MEM GRESIK")</f>
        <v>TLPG MEM GRESIK</v>
      </c>
      <c r="C16" s="11">
        <f>IFERROR(__xludf.DUMMYFUNCTION("""COMPUTED_VALUE"""),1.0)</f>
        <v>1</v>
      </c>
      <c r="D16" s="12">
        <v>2.0</v>
      </c>
      <c r="E16" s="34" t="s">
        <v>168</v>
      </c>
      <c r="G16" s="14">
        <v>15.0</v>
      </c>
      <c r="H16" s="17" t="str">
        <f>IFERROR(__xludf.DUMMYFUNCTION("""COMPUTED_VALUE"""),"DK 8018 UF")</f>
        <v>DK 8018 UF</v>
      </c>
      <c r="I16" s="17" t="str">
        <f>IFERROR(__xludf.DUMMYFUNCTION("""COMPUTED_VALUE"""),"TLPG MANGGIS")</f>
        <v>TLPG MANGGIS</v>
      </c>
      <c r="J16" s="17">
        <f>IFERROR(__xludf.DUMMYFUNCTION("""COMPUTED_VALUE"""),1.0)</f>
        <v>1</v>
      </c>
      <c r="L16" s="17">
        <f>IFERROR(__xludf.DUMMYFUNCTION("""COMPUTED_VALUE"""),15.0)</f>
        <v>15</v>
      </c>
      <c r="M16" s="17" t="str">
        <f>IFERROR(__xludf.DUMMYFUNCTION("""COMPUTED_VALUE"""),"DK 8018 UF")</f>
        <v>DK 8018 UF</v>
      </c>
      <c r="N16" s="11" t="str">
        <f>IFERROR(__xludf.DUMMYFUNCTION("""COMPUTED_VALUE"""),"TLPG MANGGIS")</f>
        <v>TLPG MANGGIS</v>
      </c>
      <c r="O16" s="17">
        <f>IFERROR(__xludf.DUMMYFUNCTION("""COMPUTED_VALUE"""),1.0)</f>
        <v>1</v>
      </c>
      <c r="P16" s="11" t="s">
        <v>339</v>
      </c>
      <c r="Q16" s="11"/>
      <c r="R16" s="11">
        <f>IFERROR(__xludf.DUMMYFUNCTION("""COMPUTED_VALUE"""),15.0)</f>
        <v>15</v>
      </c>
      <c r="S16" s="11" t="str">
        <f>IFERROR(__xludf.DUMMYFUNCTION("""COMPUTED_VALUE"""),"AG 8070 UW")</f>
        <v>AG 8070 UW</v>
      </c>
      <c r="T16" s="11" t="str">
        <f>IFERROR(__xludf.DUMMYFUNCTION("""COMPUTED_VALUE"""),"TLPG TJ PERAK")</f>
        <v>TLPG TJ PERAK</v>
      </c>
      <c r="U16" s="11">
        <f>IFERROR(__xludf.DUMMYFUNCTION("""COMPUTED_VALUE"""),2.0)</f>
        <v>2</v>
      </c>
      <c r="V16" s="11" t="s">
        <v>341</v>
      </c>
      <c r="W16" s="11"/>
      <c r="X16" s="11">
        <f>IFERROR(__xludf.DUMMYFUNCTION("""COMPUTED_VALUE"""),15.0)</f>
        <v>15</v>
      </c>
      <c r="Y16" s="11" t="str">
        <f>IFERROR(__xludf.DUMMYFUNCTION("""COMPUTED_VALUE"""),"AG 8384 UE")</f>
        <v>AG 8384 UE</v>
      </c>
      <c r="Z16" s="11" t="str">
        <f>IFERROR(__xludf.DUMMYFUNCTION("""COMPUTED_VALUE"""),"TLPG TJ PERAK")</f>
        <v>TLPG TJ PERAK</v>
      </c>
      <c r="AA16" s="11">
        <f>IFERROR(__xludf.DUMMYFUNCTION("""COMPUTED_VALUE"""),3.0)</f>
        <v>3</v>
      </c>
      <c r="AB16" s="11" t="s">
        <v>343</v>
      </c>
      <c r="AC16" s="11"/>
      <c r="AD16" s="11">
        <f>IFERROR(__xludf.DUMMYFUNCTION("""COMPUTED_VALUE"""),15.0)</f>
        <v>15</v>
      </c>
      <c r="AE16" s="11" t="str">
        <f>IFERROR(__xludf.DUMMYFUNCTION("""COMPUTED_VALUE"""),"L 8537 UD")</f>
        <v>L 8537 UD</v>
      </c>
      <c r="AF16" s="11" t="str">
        <f>IFERROR(__xludf.DUMMYFUNCTION("""COMPUTED_VALUE"""),"TLPG TJ PERAK")</f>
        <v>TLPG TJ PERAK</v>
      </c>
      <c r="AG16" s="11">
        <f>IFERROR(__xludf.DUMMYFUNCTION("""COMPUTED_VALUE"""),4.0)</f>
        <v>4</v>
      </c>
      <c r="AH16" s="11" t="s">
        <v>260</v>
      </c>
      <c r="AI16" s="11"/>
      <c r="AJ16" s="11">
        <f>IFERROR(__xludf.DUMMYFUNCTION("""COMPUTED_VALUE"""),15.0)</f>
        <v>15</v>
      </c>
      <c r="AK16" s="11" t="str">
        <f>IFERROR(__xludf.DUMMYFUNCTION("""COMPUTED_VALUE"""),"DK 8204 KO")</f>
        <v>DK 8204 KO</v>
      </c>
      <c r="AL16" s="11" t="str">
        <f>IFERROR(__xludf.DUMMYFUNCTION("""COMPUTED_VALUE"""),"TLPG MANGGIS")</f>
        <v>TLPG MANGGIS</v>
      </c>
      <c r="AM16" s="11">
        <f>IFERROR(__xludf.DUMMYFUNCTION("""COMPUTED_VALUE"""),5.0)</f>
        <v>5</v>
      </c>
      <c r="AN16" s="11" t="s">
        <v>332</v>
      </c>
      <c r="AO16" s="11"/>
      <c r="AP16" s="11">
        <f>IFERROR(__xludf.DUMMYFUNCTION("""COMPUTED_VALUE"""),15.0)</f>
        <v>15</v>
      </c>
      <c r="AQ16" s="11" t="str">
        <f>IFERROR(__xludf.DUMMYFUNCTION("""COMPUTED_VALUE"""),"L 9507 UL")</f>
        <v>L 9507 UL</v>
      </c>
      <c r="AR16" s="11" t="str">
        <f>IFERROR(__xludf.DUMMYFUNCTION("""COMPUTED_VALUE"""),"TLPG TJ PERAK")</f>
        <v>TLPG TJ PERAK</v>
      </c>
      <c r="AS16" s="11">
        <f>IFERROR(__xludf.DUMMYFUNCTION("""COMPUTED_VALUE"""),6.0)</f>
        <v>6</v>
      </c>
      <c r="AT16" s="11" t="s">
        <v>313</v>
      </c>
      <c r="AV16" s="9" t="str">
        <f>'KENDARAAN P1'!A:A</f>
        <v>B 9088 SEI</v>
      </c>
    </row>
    <row r="17">
      <c r="A17" s="13" t="str">
        <f>IFERROR(__xludf.DUMMYFUNCTION("""COMPUTED_VALUE"""),"B 9080 SEI")</f>
        <v>B 9080 SEI</v>
      </c>
      <c r="B17" s="9" t="str">
        <f>IFERROR(__xludf.DUMMYFUNCTION("""COMPUTED_VALUE"""),"TLPG TJ WANGI")</f>
        <v>TLPG TJ WANGI</v>
      </c>
      <c r="C17" s="11">
        <f>IFERROR(__xludf.DUMMYFUNCTION("""COMPUTED_VALUE"""),1.0)</f>
        <v>1</v>
      </c>
      <c r="D17" s="12">
        <v>1.0</v>
      </c>
      <c r="E17" s="34" t="s">
        <v>48</v>
      </c>
      <c r="G17" s="14">
        <v>16.0</v>
      </c>
      <c r="H17" s="17" t="str">
        <f>IFERROR(__xludf.DUMMYFUNCTION("""COMPUTED_VALUE"""),"DK 8696 AS")</f>
        <v>DK 8696 AS</v>
      </c>
      <c r="I17" s="17" t="str">
        <f>IFERROR(__xludf.DUMMYFUNCTION("""COMPUTED_VALUE"""),"TLPG MANGGIS")</f>
        <v>TLPG MANGGIS</v>
      </c>
      <c r="J17" s="17">
        <f>IFERROR(__xludf.DUMMYFUNCTION("""COMPUTED_VALUE"""),1.0)</f>
        <v>1</v>
      </c>
      <c r="L17" s="17">
        <f>IFERROR(__xludf.DUMMYFUNCTION("""COMPUTED_VALUE"""),16.0)</f>
        <v>16</v>
      </c>
      <c r="M17" s="17" t="str">
        <f>IFERROR(__xludf.DUMMYFUNCTION("""COMPUTED_VALUE"""),"DK 8696 AS")</f>
        <v>DK 8696 AS</v>
      </c>
      <c r="N17" s="11" t="str">
        <f>IFERROR(__xludf.DUMMYFUNCTION("""COMPUTED_VALUE"""),"TLPG MANGGIS")</f>
        <v>TLPG MANGGIS</v>
      </c>
      <c r="O17" s="17">
        <f>IFERROR(__xludf.DUMMYFUNCTION("""COMPUTED_VALUE"""),1.0)</f>
        <v>1</v>
      </c>
      <c r="P17" s="11" t="s">
        <v>184</v>
      </c>
      <c r="Q17" s="11"/>
      <c r="R17" s="11">
        <f>IFERROR(__xludf.DUMMYFUNCTION("""COMPUTED_VALUE"""),16.0)</f>
        <v>16</v>
      </c>
      <c r="S17" s="11" t="str">
        <f>IFERROR(__xludf.DUMMYFUNCTION("""COMPUTED_VALUE"""),"AG 9312 UW")</f>
        <v>AG 9312 UW</v>
      </c>
      <c r="T17" s="11" t="str">
        <f>IFERROR(__xludf.DUMMYFUNCTION("""COMPUTED_VALUE"""),"TLPG TJ PERAK")</f>
        <v>TLPG TJ PERAK</v>
      </c>
      <c r="U17" s="11">
        <f>IFERROR(__xludf.DUMMYFUNCTION("""COMPUTED_VALUE"""),2.0)</f>
        <v>2</v>
      </c>
      <c r="V17" s="11" t="s">
        <v>341</v>
      </c>
      <c r="W17" s="11"/>
      <c r="X17" s="11">
        <f>IFERROR(__xludf.DUMMYFUNCTION("""COMPUTED_VALUE"""),16.0)</f>
        <v>16</v>
      </c>
      <c r="Y17" s="11" t="str">
        <f>IFERROR(__xludf.DUMMYFUNCTION("""COMPUTED_VALUE"""),"B 9115 SEI")</f>
        <v>B 9115 SEI</v>
      </c>
      <c r="Z17" s="11" t="str">
        <f>IFERROR(__xludf.DUMMYFUNCTION("""COMPUTED_VALUE"""),"TLPG MEM GRESIK")</f>
        <v>TLPG MEM GRESIK</v>
      </c>
      <c r="AA17" s="11">
        <f>IFERROR(__xludf.DUMMYFUNCTION("""COMPUTED_VALUE"""),3.0)</f>
        <v>3</v>
      </c>
      <c r="AB17" s="11" t="s">
        <v>83</v>
      </c>
      <c r="AC17" s="11"/>
      <c r="AD17" s="11">
        <f>IFERROR(__xludf.DUMMYFUNCTION("""COMPUTED_VALUE"""),16.0)</f>
        <v>16</v>
      </c>
      <c r="AE17" s="11" t="str">
        <f>IFERROR(__xludf.DUMMYFUNCTION("""COMPUTED_VALUE"""),"AE 8527 UJ")</f>
        <v>AE 8527 UJ</v>
      </c>
      <c r="AF17" s="11" t="str">
        <f>IFERROR(__xludf.DUMMYFUNCTION("""COMPUTED_VALUE"""),"TLPG TJ PERAK")</f>
        <v>TLPG TJ PERAK</v>
      </c>
      <c r="AG17" s="11">
        <f>IFERROR(__xludf.DUMMYFUNCTION("""COMPUTED_VALUE"""),4.0)</f>
        <v>4</v>
      </c>
      <c r="AH17" s="11" t="s">
        <v>204</v>
      </c>
      <c r="AI17" s="11"/>
      <c r="AJ17" s="11">
        <f>IFERROR(__xludf.DUMMYFUNCTION("""COMPUTED_VALUE"""),16.0)</f>
        <v>16</v>
      </c>
      <c r="AK17" s="11" t="str">
        <f>IFERROR(__xludf.DUMMYFUNCTION("""COMPUTED_VALUE"""),"DK 8859 CK")</f>
        <v>DK 8859 CK</v>
      </c>
      <c r="AL17" s="11" t="str">
        <f>IFERROR(__xludf.DUMMYFUNCTION("""COMPUTED_VALUE"""),"TLPG MANGGIS")</f>
        <v>TLPG MANGGIS</v>
      </c>
      <c r="AM17" s="11">
        <f>IFERROR(__xludf.DUMMYFUNCTION("""COMPUTED_VALUE"""),5.0)</f>
        <v>5</v>
      </c>
      <c r="AN17" s="11" t="s">
        <v>157</v>
      </c>
      <c r="AO17" s="11"/>
      <c r="AP17" s="11">
        <f>IFERROR(__xludf.DUMMYFUNCTION("""COMPUTED_VALUE"""),16.0)</f>
        <v>16</v>
      </c>
      <c r="AQ17" s="11" t="str">
        <f>IFERROR(__xludf.DUMMYFUNCTION("""COMPUTED_VALUE"""),"L 9644 BB")</f>
        <v>L 9644 BB</v>
      </c>
      <c r="AR17" s="11" t="str">
        <f>IFERROR(__xludf.DUMMYFUNCTION("""COMPUTED_VALUE"""),"TLPG TJ PERAK")</f>
        <v>TLPG TJ PERAK</v>
      </c>
      <c r="AS17" s="11">
        <f>IFERROR(__xludf.DUMMYFUNCTION("""COMPUTED_VALUE"""),6.0)</f>
        <v>6</v>
      </c>
      <c r="AT17" s="11" t="s">
        <v>359</v>
      </c>
      <c r="AV17" s="9" t="str">
        <f>'KENDARAAN P1'!A:A</f>
        <v>L 8079 UQ</v>
      </c>
    </row>
    <row r="18">
      <c r="A18" s="13" t="str">
        <f>IFERROR(__xludf.DUMMYFUNCTION("""COMPUTED_VALUE"""),"B 9089 SEI")</f>
        <v>B 9089 SEI</v>
      </c>
      <c r="B18" s="9" t="str">
        <f>IFERROR(__xludf.DUMMYFUNCTION("""COMPUTED_VALUE"""),"TLPG MEM GRESIK")</f>
        <v>TLPG MEM GRESIK</v>
      </c>
      <c r="C18" s="11">
        <f>IFERROR(__xludf.DUMMYFUNCTION("""COMPUTED_VALUE"""),1.0)</f>
        <v>1</v>
      </c>
      <c r="D18" s="12">
        <v>1.0</v>
      </c>
      <c r="E18" s="34" t="s">
        <v>83</v>
      </c>
      <c r="G18" s="14">
        <v>17.0</v>
      </c>
      <c r="H18" s="17" t="str">
        <f>IFERROR(__xludf.DUMMYFUNCTION("""COMPUTED_VALUE"""),"DR 8761 DC")</f>
        <v>DR 8761 DC</v>
      </c>
      <c r="I18" s="17" t="str">
        <f>IFERROR(__xludf.DUMMYFUNCTION("""COMPUTED_VALUE"""),"TLPG LOMBOK")</f>
        <v>TLPG LOMBOK</v>
      </c>
      <c r="J18" s="17">
        <f>IFERROR(__xludf.DUMMYFUNCTION("""COMPUTED_VALUE"""),1.0)</f>
        <v>1</v>
      </c>
      <c r="L18" s="17">
        <f>IFERROR(__xludf.DUMMYFUNCTION("""COMPUTED_VALUE"""),17.0)</f>
        <v>17</v>
      </c>
      <c r="M18" s="17" t="str">
        <f>IFERROR(__xludf.DUMMYFUNCTION("""COMPUTED_VALUE"""),"DR 8761 DC")</f>
        <v>DR 8761 DC</v>
      </c>
      <c r="N18" s="11" t="str">
        <f>IFERROR(__xludf.DUMMYFUNCTION("""COMPUTED_VALUE"""),"TLPG LOMBOK")</f>
        <v>TLPG LOMBOK</v>
      </c>
      <c r="O18" s="17">
        <f>IFERROR(__xludf.DUMMYFUNCTION("""COMPUTED_VALUE"""),1.0)</f>
        <v>1</v>
      </c>
      <c r="P18" s="11" t="s">
        <v>366</v>
      </c>
      <c r="Q18" s="11"/>
      <c r="R18" s="11">
        <f>IFERROR(__xludf.DUMMYFUNCTION("""COMPUTED_VALUE"""),17.0)</f>
        <v>17</v>
      </c>
      <c r="S18" s="11" t="str">
        <f>IFERROR(__xludf.DUMMYFUNCTION("""COMPUTED_VALUE"""),"B 9098 SEI")</f>
        <v>B 9098 SEI</v>
      </c>
      <c r="T18" s="11" t="str">
        <f>IFERROR(__xludf.DUMMYFUNCTION("""COMPUTED_VALUE"""),"TLPG MEM GRESIK")</f>
        <v>TLPG MEM GRESIK</v>
      </c>
      <c r="U18" s="11">
        <f>IFERROR(__xludf.DUMMYFUNCTION("""COMPUTED_VALUE"""),2.0)</f>
        <v>2</v>
      </c>
      <c r="V18" s="11" t="s">
        <v>83</v>
      </c>
      <c r="W18" s="11"/>
      <c r="X18" s="11">
        <f>IFERROR(__xludf.DUMMYFUNCTION("""COMPUTED_VALUE"""),17.0)</f>
        <v>17</v>
      </c>
      <c r="Y18" s="11" t="str">
        <f>IFERROR(__xludf.DUMMYFUNCTION("""COMPUTED_VALUE"""),"B 9203 TEK")</f>
        <v>B 9203 TEK</v>
      </c>
      <c r="Z18" s="11" t="str">
        <f>IFERROR(__xludf.DUMMYFUNCTION("""COMPUTED_VALUE"""),"TLPG MEM GRESIK")</f>
        <v>TLPG MEM GRESIK</v>
      </c>
      <c r="AA18" s="11">
        <f>IFERROR(__xludf.DUMMYFUNCTION("""COMPUTED_VALUE"""),3.0)</f>
        <v>3</v>
      </c>
      <c r="AB18" s="11" t="s">
        <v>371</v>
      </c>
      <c r="AC18" s="11"/>
      <c r="AD18" s="11">
        <f>IFERROR(__xludf.DUMMYFUNCTION("""COMPUTED_VALUE"""),17.0)</f>
        <v>17</v>
      </c>
      <c r="AE18" s="11" t="str">
        <f>IFERROR(__xludf.DUMMYFUNCTION("""COMPUTED_VALUE"""),"AE 8858 UT")</f>
        <v>AE 8858 UT</v>
      </c>
      <c r="AF18" s="11" t="str">
        <f>IFERROR(__xludf.DUMMYFUNCTION("""COMPUTED_VALUE"""),"TLPG TJ PERAK")</f>
        <v>TLPG TJ PERAK</v>
      </c>
      <c r="AG18" s="11">
        <f>IFERROR(__xludf.DUMMYFUNCTION("""COMPUTED_VALUE"""),4.0)</f>
        <v>4</v>
      </c>
      <c r="AH18" s="11" t="s">
        <v>124</v>
      </c>
      <c r="AI18" s="11"/>
      <c r="AJ18" s="11">
        <f>IFERROR(__xludf.DUMMYFUNCTION("""COMPUTED_VALUE"""),17.0)</f>
        <v>17</v>
      </c>
      <c r="AK18" s="11" t="str">
        <f>IFERROR(__xludf.DUMMYFUNCTION("""COMPUTED_VALUE"""),"DR 8129 AH")</f>
        <v>DR 8129 AH</v>
      </c>
      <c r="AL18" s="11" t="str">
        <f>IFERROR(__xludf.DUMMYFUNCTION("""COMPUTED_VALUE"""),"TLPG LOMBOK")</f>
        <v>TLPG LOMBOK</v>
      </c>
      <c r="AM18" s="11">
        <f>IFERROR(__xludf.DUMMYFUNCTION("""COMPUTED_VALUE"""),5.0)</f>
        <v>5</v>
      </c>
      <c r="AN18" s="11" t="s">
        <v>375</v>
      </c>
      <c r="AO18" s="11"/>
      <c r="AP18" s="11">
        <f>IFERROR(__xludf.DUMMYFUNCTION("""COMPUTED_VALUE"""),17.0)</f>
        <v>17</v>
      </c>
      <c r="AQ18" s="11" t="str">
        <f>IFERROR(__xludf.DUMMYFUNCTION("""COMPUTED_VALUE"""),"L 9822 UE")</f>
        <v>L 9822 UE</v>
      </c>
      <c r="AR18" s="11" t="str">
        <f>IFERROR(__xludf.DUMMYFUNCTION("""COMPUTED_VALUE"""),"TLPG TJ PERAK")</f>
        <v>TLPG TJ PERAK</v>
      </c>
      <c r="AS18" s="11">
        <f>IFERROR(__xludf.DUMMYFUNCTION("""COMPUTED_VALUE"""),6.0)</f>
        <v>6</v>
      </c>
      <c r="AT18" s="11" t="s">
        <v>376</v>
      </c>
      <c r="AV18" s="9" t="str">
        <f>'KENDARAAN P1'!A:A</f>
        <v>L 8088 UR</v>
      </c>
    </row>
    <row r="19">
      <c r="A19" s="13" t="str">
        <f>IFERROR(__xludf.DUMMYFUNCTION("""COMPUTED_VALUE"""),"B 9711 SFU")</f>
        <v>B 9711 SFU</v>
      </c>
      <c r="B19" s="9" t="str">
        <f>IFERROR(__xludf.DUMMYFUNCTION("""COMPUTED_VALUE"""),"TLPG TJ WANGI")</f>
        <v>TLPG TJ WANGI</v>
      </c>
      <c r="C19" s="11">
        <f>IFERROR(__xludf.DUMMYFUNCTION("""COMPUTED_VALUE"""),1.0)</f>
        <v>1</v>
      </c>
      <c r="D19" s="12">
        <v>1.0</v>
      </c>
      <c r="E19" s="34" t="s">
        <v>48</v>
      </c>
      <c r="G19" s="14">
        <v>18.0</v>
      </c>
      <c r="H19" s="17" t="str">
        <f>IFERROR(__xludf.DUMMYFUNCTION("""COMPUTED_VALUE"""),"L 8116 UUC")</f>
        <v>L 8116 UUC</v>
      </c>
      <c r="I19" s="17" t="str">
        <f>IFERROR(__xludf.DUMMYFUNCTION("""COMPUTED_VALUE"""),"TLPG BIMA")</f>
        <v>TLPG BIMA</v>
      </c>
      <c r="J19" s="17">
        <f>IFERROR(__xludf.DUMMYFUNCTION("""COMPUTED_VALUE"""),1.0)</f>
        <v>1</v>
      </c>
      <c r="L19" s="17">
        <f>IFERROR(__xludf.DUMMYFUNCTION("""COMPUTED_VALUE"""),18.0)</f>
        <v>18</v>
      </c>
      <c r="M19" s="17" t="str">
        <f>IFERROR(__xludf.DUMMYFUNCTION("""COMPUTED_VALUE"""),"L 8116 UUC")</f>
        <v>L 8116 UUC</v>
      </c>
      <c r="N19" s="11" t="str">
        <f>IFERROR(__xludf.DUMMYFUNCTION("""COMPUTED_VALUE"""),"TLPG BIMA")</f>
        <v>TLPG BIMA</v>
      </c>
      <c r="O19" s="17">
        <f>IFERROR(__xludf.DUMMYFUNCTION("""COMPUTED_VALUE"""),1.0)</f>
        <v>1</v>
      </c>
      <c r="P19" s="11" t="s">
        <v>379</v>
      </c>
      <c r="Q19" s="11"/>
      <c r="R19" s="11">
        <f>IFERROR(__xludf.DUMMYFUNCTION("""COMPUTED_VALUE"""),18.0)</f>
        <v>18</v>
      </c>
      <c r="S19" s="11" t="str">
        <f>IFERROR(__xludf.DUMMYFUNCTION("""COMPUTED_VALUE"""),"B 9099 SEI")</f>
        <v>B 9099 SEI</v>
      </c>
      <c r="T19" s="11" t="str">
        <f>IFERROR(__xludf.DUMMYFUNCTION("""COMPUTED_VALUE"""),"TLPG MEM GRESIK")</f>
        <v>TLPG MEM GRESIK</v>
      </c>
      <c r="U19" s="11">
        <f>IFERROR(__xludf.DUMMYFUNCTION("""COMPUTED_VALUE"""),2.0)</f>
        <v>2</v>
      </c>
      <c r="V19" s="11" t="s">
        <v>83</v>
      </c>
      <c r="W19" s="11"/>
      <c r="X19" s="11">
        <f>IFERROR(__xludf.DUMMYFUNCTION("""COMPUTED_VALUE"""),18.0)</f>
        <v>18</v>
      </c>
      <c r="Y19" s="11" t="str">
        <f>IFERROR(__xludf.DUMMYFUNCTION("""COMPUTED_VALUE"""),"B 9712 SFU")</f>
        <v>B 9712 SFU</v>
      </c>
      <c r="Z19" s="11" t="str">
        <f>IFERROR(__xludf.DUMMYFUNCTION("""COMPUTED_VALUE"""),"TLPG MEM GRESIK")</f>
        <v>TLPG MEM GRESIK</v>
      </c>
      <c r="AA19" s="11">
        <f>IFERROR(__xludf.DUMMYFUNCTION("""COMPUTED_VALUE"""),3.0)</f>
        <v>3</v>
      </c>
      <c r="AB19" s="11" t="s">
        <v>83</v>
      </c>
      <c r="AC19" s="11"/>
      <c r="AD19" s="11">
        <f>IFERROR(__xludf.DUMMYFUNCTION("""COMPUTED_VALUE"""),18.0)</f>
        <v>18</v>
      </c>
      <c r="AE19" s="11" t="str">
        <f>IFERROR(__xludf.DUMMYFUNCTION("""COMPUTED_VALUE"""),"AG 8115 UC")</f>
        <v>AG 8115 UC</v>
      </c>
      <c r="AF19" s="11" t="str">
        <f>IFERROR(__xludf.DUMMYFUNCTION("""COMPUTED_VALUE"""),"TLPG TJ PERAK")</f>
        <v>TLPG TJ PERAK</v>
      </c>
      <c r="AG19" s="11">
        <f>IFERROR(__xludf.DUMMYFUNCTION("""COMPUTED_VALUE"""),4.0)</f>
        <v>4</v>
      </c>
      <c r="AH19" s="11" t="s">
        <v>383</v>
      </c>
      <c r="AI19" s="11"/>
      <c r="AJ19" s="11">
        <f>IFERROR(__xludf.DUMMYFUNCTION("""COMPUTED_VALUE"""),18.0)</f>
        <v>18</v>
      </c>
      <c r="AK19" s="11" t="str">
        <f>IFERROR(__xludf.DUMMYFUNCTION("""COMPUTED_VALUE"""),"DR 8309 LH")</f>
        <v>DR 8309 LH</v>
      </c>
      <c r="AL19" s="11" t="str">
        <f>IFERROR(__xludf.DUMMYFUNCTION("""COMPUTED_VALUE"""),"TLPG LOMBOK")</f>
        <v>TLPG LOMBOK</v>
      </c>
      <c r="AM19" s="11">
        <f>IFERROR(__xludf.DUMMYFUNCTION("""COMPUTED_VALUE"""),5.0)</f>
        <v>5</v>
      </c>
      <c r="AN19" s="11" t="s">
        <v>385</v>
      </c>
      <c r="AO19" s="11"/>
      <c r="AP19" s="11">
        <f>IFERROR(__xludf.DUMMYFUNCTION("""COMPUTED_VALUE"""),18.0)</f>
        <v>18</v>
      </c>
      <c r="AQ19" s="11" t="str">
        <f>IFERROR(__xludf.DUMMYFUNCTION("""COMPUTED_VALUE"""),"P 8018 UF")</f>
        <v>P 8018 UF</v>
      </c>
      <c r="AR19" s="11" t="str">
        <f>IFERROR(__xludf.DUMMYFUNCTION("""COMPUTED_VALUE"""),"TLPG TJ WANGI")</f>
        <v>TLPG TJ WANGI</v>
      </c>
      <c r="AS19" s="11">
        <f>IFERROR(__xludf.DUMMYFUNCTION("""COMPUTED_VALUE"""),6.0)</f>
        <v>6</v>
      </c>
      <c r="AT19" s="11" t="s">
        <v>184</v>
      </c>
      <c r="AV19" s="9" t="str">
        <f>'KENDARAAN P1'!A:A</f>
        <v>B 9881 SFU</v>
      </c>
    </row>
    <row r="20">
      <c r="A20" s="13" t="str">
        <f>IFERROR(__xludf.DUMMYFUNCTION("""COMPUTED_VALUE"""),"B 9914 PEI")</f>
        <v>B 9914 PEI</v>
      </c>
      <c r="B20" s="9" t="str">
        <f>IFERROR(__xludf.DUMMYFUNCTION("""COMPUTED_VALUE"""),"TLPG MANGGIS")</f>
        <v>TLPG MANGGIS</v>
      </c>
      <c r="C20" s="11">
        <f>IFERROR(__xludf.DUMMYFUNCTION("""COMPUTED_VALUE"""),1.0)</f>
        <v>1</v>
      </c>
      <c r="D20" s="12">
        <v>1.0</v>
      </c>
      <c r="E20" s="34" t="s">
        <v>299</v>
      </c>
      <c r="G20" s="14">
        <v>19.0</v>
      </c>
      <c r="H20" s="17" t="str">
        <f>IFERROR(__xludf.DUMMYFUNCTION("""COMPUTED_VALUE"""),"N 8435 UZ")</f>
        <v>N 8435 UZ</v>
      </c>
      <c r="I20" s="17" t="str">
        <f>IFERROR(__xludf.DUMMYFUNCTION("""COMPUTED_VALUE"""),"TLPG MEM GRESIK")</f>
        <v>TLPG MEM GRESIK</v>
      </c>
      <c r="J20" s="17">
        <f>IFERROR(__xludf.DUMMYFUNCTION("""COMPUTED_VALUE"""),1.0)</f>
        <v>1</v>
      </c>
      <c r="L20" s="17">
        <f>IFERROR(__xludf.DUMMYFUNCTION("""COMPUTED_VALUE"""),19.0)</f>
        <v>19</v>
      </c>
      <c r="M20" s="17" t="str">
        <f>IFERROR(__xludf.DUMMYFUNCTION("""COMPUTED_VALUE"""),"N 8435 UZ")</f>
        <v>N 8435 UZ</v>
      </c>
      <c r="N20" s="11" t="str">
        <f>IFERROR(__xludf.DUMMYFUNCTION("""COMPUTED_VALUE"""),"TLPG MEM GRESIK")</f>
        <v>TLPG MEM GRESIK</v>
      </c>
      <c r="O20" s="17">
        <f>IFERROR(__xludf.DUMMYFUNCTION("""COMPUTED_VALUE"""),1.0)</f>
        <v>1</v>
      </c>
      <c r="P20" s="11" t="s">
        <v>390</v>
      </c>
      <c r="Q20" s="11"/>
      <c r="R20" s="11">
        <f>IFERROR(__xludf.DUMMYFUNCTION("""COMPUTED_VALUE"""),19.0)</f>
        <v>19</v>
      </c>
      <c r="S20" s="11" t="str">
        <f>IFERROR(__xludf.DUMMYFUNCTION("""COMPUTED_VALUE"""),"N 8857 UR")</f>
        <v>N 8857 UR</v>
      </c>
      <c r="T20" s="11" t="str">
        <f>IFERROR(__xludf.DUMMYFUNCTION("""COMPUTED_VALUE"""),"TLPG MEM GRESIK")</f>
        <v>TLPG MEM GRESIK</v>
      </c>
      <c r="U20" s="11">
        <f>IFERROR(__xludf.DUMMYFUNCTION("""COMPUTED_VALUE"""),2.0)</f>
        <v>2</v>
      </c>
      <c r="V20" s="11" t="s">
        <v>83</v>
      </c>
      <c r="W20" s="11"/>
      <c r="X20" s="11">
        <f>IFERROR(__xludf.DUMMYFUNCTION("""COMPUTED_VALUE"""),19.0)</f>
        <v>19</v>
      </c>
      <c r="Y20" s="11" t="str">
        <f>IFERROR(__xludf.DUMMYFUNCTION("""COMPUTED_VALUE"""),"B 9880 SFU")</f>
        <v>B 9880 SFU</v>
      </c>
      <c r="Z20" s="11" t="str">
        <f>IFERROR(__xludf.DUMMYFUNCTION("""COMPUTED_VALUE"""),"TLPG MEM GRESIK")</f>
        <v>TLPG MEM GRESIK</v>
      </c>
      <c r="AA20" s="11">
        <f>IFERROR(__xludf.DUMMYFUNCTION("""COMPUTED_VALUE"""),3.0)</f>
        <v>3</v>
      </c>
      <c r="AB20" s="11" t="s">
        <v>83</v>
      </c>
      <c r="AC20" s="11"/>
      <c r="AD20" s="11">
        <f>IFERROR(__xludf.DUMMYFUNCTION("""COMPUTED_VALUE"""),19.0)</f>
        <v>19</v>
      </c>
      <c r="AE20" s="11" t="str">
        <f>IFERROR(__xludf.DUMMYFUNCTION("""COMPUTED_VALUE"""),"AG 8893 YK")</f>
        <v>AG 8893 YK</v>
      </c>
      <c r="AF20" s="11" t="str">
        <f>IFERROR(__xludf.DUMMYFUNCTION("""COMPUTED_VALUE"""),"TLPG TJ PERAK")</f>
        <v>TLPG TJ PERAK</v>
      </c>
      <c r="AG20" s="11">
        <f>IFERROR(__xludf.DUMMYFUNCTION("""COMPUTED_VALUE"""),4.0)</f>
        <v>4</v>
      </c>
      <c r="AH20" s="11" t="s">
        <v>168</v>
      </c>
      <c r="AI20" s="11"/>
      <c r="AJ20" s="11">
        <f>IFERROR(__xludf.DUMMYFUNCTION("""COMPUTED_VALUE"""),19.0)</f>
        <v>19</v>
      </c>
      <c r="AK20" s="11" t="str">
        <f>IFERROR(__xludf.DUMMYFUNCTION("""COMPUTED_VALUE"""),"L 8035 BL")</f>
        <v>L 8035 BL</v>
      </c>
      <c r="AL20" s="11" t="str">
        <f>IFERROR(__xludf.DUMMYFUNCTION("""COMPUTED_VALUE"""),"TLPG TJ PERAK")</f>
        <v>TLPG TJ PERAK</v>
      </c>
      <c r="AM20" s="11">
        <f>IFERROR(__xludf.DUMMYFUNCTION("""COMPUTED_VALUE"""),5.0)</f>
        <v>5</v>
      </c>
      <c r="AN20" s="11" t="s">
        <v>396</v>
      </c>
      <c r="AO20" s="11"/>
      <c r="AP20" s="11">
        <f>IFERROR(__xludf.DUMMYFUNCTION("""COMPUTED_VALUE"""),19.0)</f>
        <v>19</v>
      </c>
      <c r="AQ20" s="11" t="str">
        <f>IFERROR(__xludf.DUMMYFUNCTION("""COMPUTED_VALUE"""),"P 8046 Uf")</f>
        <v>P 8046 Uf</v>
      </c>
      <c r="AR20" s="11" t="str">
        <f>IFERROR(__xludf.DUMMYFUNCTION("""COMPUTED_VALUE"""),"TLPG TJ WANGI")</f>
        <v>TLPG TJ WANGI</v>
      </c>
      <c r="AS20" s="11">
        <f>IFERROR(__xludf.DUMMYFUNCTION("""COMPUTED_VALUE"""),6.0)</f>
        <v>6</v>
      </c>
      <c r="AT20" s="11" t="s">
        <v>184</v>
      </c>
      <c r="AV20" s="9" t="str">
        <f>'KENDARAAN P1'!A:A</f>
        <v>B 9717 SFU</v>
      </c>
    </row>
    <row r="21">
      <c r="A21" s="13" t="str">
        <f>IFERROR(__xludf.DUMMYFUNCTION("""COMPUTED_VALUE"""),"DK 8011 UK")</f>
        <v>DK 8011 UK</v>
      </c>
      <c r="B21" s="9" t="str">
        <f>IFERROR(__xludf.DUMMYFUNCTION("""COMPUTED_VALUE"""),"TLPG MANGGIS")</f>
        <v>TLPG MANGGIS</v>
      </c>
      <c r="C21" s="11">
        <f>IFERROR(__xludf.DUMMYFUNCTION("""COMPUTED_VALUE"""),1.0)</f>
        <v>1</v>
      </c>
      <c r="D21" s="12">
        <v>1.0</v>
      </c>
      <c r="E21" s="34" t="s">
        <v>321</v>
      </c>
      <c r="G21" s="14">
        <v>20.0</v>
      </c>
      <c r="H21" s="17" t="str">
        <f>IFERROR(__xludf.DUMMYFUNCTION("""COMPUTED_VALUE"""),"N 9502 UG")</f>
        <v>N 9502 UG</v>
      </c>
      <c r="I21" s="17" t="str">
        <f>IFERROR(__xludf.DUMMYFUNCTION("""COMPUTED_VALUE"""),"TLPG TJ PERAK")</f>
        <v>TLPG TJ PERAK</v>
      </c>
      <c r="J21" s="17">
        <f>IFERROR(__xludf.DUMMYFUNCTION("""COMPUTED_VALUE"""),1.0)</f>
        <v>1</v>
      </c>
      <c r="L21" s="17">
        <f>IFERROR(__xludf.DUMMYFUNCTION("""COMPUTED_VALUE"""),20.0)</f>
        <v>20</v>
      </c>
      <c r="M21" s="17" t="str">
        <f>IFERROR(__xludf.DUMMYFUNCTION("""COMPUTED_VALUE"""),"N 9502 UG")</f>
        <v>N 9502 UG</v>
      </c>
      <c r="N21" s="11" t="str">
        <f>IFERROR(__xludf.DUMMYFUNCTION("""COMPUTED_VALUE"""),"TLPG TJ PERAK")</f>
        <v>TLPG TJ PERAK</v>
      </c>
      <c r="O21" s="17">
        <f>IFERROR(__xludf.DUMMYFUNCTION("""COMPUTED_VALUE"""),1.0)</f>
        <v>1</v>
      </c>
      <c r="P21" s="11" t="s">
        <v>401</v>
      </c>
      <c r="Q21" s="11"/>
      <c r="R21" s="11">
        <f>IFERROR(__xludf.DUMMYFUNCTION("""COMPUTED_VALUE"""),20.0)</f>
        <v>20</v>
      </c>
      <c r="S21" s="11" t="str">
        <f>IFERROR(__xludf.DUMMYFUNCTION("""COMPUTED_VALUE"""),"DK 8023 UK")</f>
        <v>DK 8023 UK</v>
      </c>
      <c r="T21" s="11" t="str">
        <f>IFERROR(__xludf.DUMMYFUNCTION("""COMPUTED_VALUE"""),"TLPG MANGGIS")</f>
        <v>TLPG MANGGIS</v>
      </c>
      <c r="U21" s="11">
        <f>IFERROR(__xludf.DUMMYFUNCTION("""COMPUTED_VALUE"""),2.0)</f>
        <v>2</v>
      </c>
      <c r="V21" s="11" t="s">
        <v>339</v>
      </c>
      <c r="W21" s="11"/>
      <c r="X21" s="11">
        <f>IFERROR(__xludf.DUMMYFUNCTION("""COMPUTED_VALUE"""),20.0)</f>
        <v>20</v>
      </c>
      <c r="Y21" s="11" t="str">
        <f>IFERROR(__xludf.DUMMYFUNCTION("""COMPUTED_VALUE"""),"DK 8596 AO")</f>
        <v>DK 8596 AO</v>
      </c>
      <c r="Z21" s="11" t="str">
        <f>IFERROR(__xludf.DUMMYFUNCTION("""COMPUTED_VALUE"""),"TLPG LOMBOK")</f>
        <v>TLPG LOMBOK</v>
      </c>
      <c r="AA21" s="11">
        <f>IFERROR(__xludf.DUMMYFUNCTION("""COMPUTED_VALUE"""),3.0)</f>
        <v>3</v>
      </c>
      <c r="AB21" s="11" t="s">
        <v>404</v>
      </c>
      <c r="AC21" s="11"/>
      <c r="AD21" s="11">
        <f>IFERROR(__xludf.DUMMYFUNCTION("""COMPUTED_VALUE"""),20.0)</f>
        <v>20</v>
      </c>
      <c r="AE21" s="11" t="str">
        <f>IFERROR(__xludf.DUMMYFUNCTION("""COMPUTED_VALUE"""),"AG 9753 UB")</f>
        <v>AG 9753 UB</v>
      </c>
      <c r="AF21" s="11" t="str">
        <f>IFERROR(__xludf.DUMMYFUNCTION("""COMPUTED_VALUE"""),"TLPG TJ PERAK")</f>
        <v>TLPG TJ PERAK</v>
      </c>
      <c r="AG21" s="11">
        <f>IFERROR(__xludf.DUMMYFUNCTION("""COMPUTED_VALUE"""),4.0)</f>
        <v>4</v>
      </c>
      <c r="AH21" s="11" t="s">
        <v>343</v>
      </c>
      <c r="AI21" s="11"/>
      <c r="AJ21" s="11">
        <f>IFERROR(__xludf.DUMMYFUNCTION("""COMPUTED_VALUE"""),20.0)</f>
        <v>20</v>
      </c>
      <c r="AK21" s="11" t="str">
        <f>IFERROR(__xludf.DUMMYFUNCTION("""COMPUTED_VALUE"""),"L 8079 UQ")</f>
        <v>L 8079 UQ</v>
      </c>
      <c r="AL21" s="11" t="str">
        <f>IFERROR(__xludf.DUMMYFUNCTION("""COMPUTED_VALUE"""),"TLPG MEM GRESIK")</f>
        <v>TLPG MEM GRESIK</v>
      </c>
      <c r="AM21" s="11">
        <f>IFERROR(__xludf.DUMMYFUNCTION("""COMPUTED_VALUE"""),5.0)</f>
        <v>5</v>
      </c>
      <c r="AN21" s="11" t="s">
        <v>83</v>
      </c>
      <c r="AO21" s="11"/>
      <c r="AP21" s="11">
        <f>IFERROR(__xludf.DUMMYFUNCTION("""COMPUTED_VALUE"""),20.0)</f>
        <v>20</v>
      </c>
      <c r="AQ21" s="11" t="str">
        <f>IFERROR(__xludf.DUMMYFUNCTION("""COMPUTED_VALUE"""),"P 8312 UG")</f>
        <v>P 8312 UG</v>
      </c>
      <c r="AR21" s="11" t="str">
        <f>IFERROR(__xludf.DUMMYFUNCTION("""COMPUTED_VALUE"""),"TLPG TJ WANGI")</f>
        <v>TLPG TJ WANGI</v>
      </c>
      <c r="AS21" s="11">
        <f>IFERROR(__xludf.DUMMYFUNCTION("""COMPUTED_VALUE"""),6.0)</f>
        <v>6</v>
      </c>
      <c r="AT21" s="11" t="s">
        <v>408</v>
      </c>
      <c r="AV21" s="9" t="str">
        <f>'KENDARAAN P1'!A:A</f>
        <v>L 8088 UZ</v>
      </c>
    </row>
    <row r="22">
      <c r="A22" s="13" t="str">
        <f>IFERROR(__xludf.DUMMYFUNCTION("""COMPUTED_VALUE"""),"DK 8018 UF")</f>
        <v>DK 8018 UF</v>
      </c>
      <c r="B22" s="9" t="str">
        <f>IFERROR(__xludf.DUMMYFUNCTION("""COMPUTED_VALUE"""),"TLPG MANGGIS")</f>
        <v>TLPG MANGGIS</v>
      </c>
      <c r="C22" s="11">
        <f>IFERROR(__xludf.DUMMYFUNCTION("""COMPUTED_VALUE"""),1.0)</f>
        <v>1</v>
      </c>
      <c r="D22" s="12">
        <v>1.0</v>
      </c>
      <c r="E22" s="34" t="s">
        <v>339</v>
      </c>
      <c r="G22" s="14">
        <v>21.0</v>
      </c>
      <c r="H22" s="17" t="str">
        <f>IFERROR(__xludf.DUMMYFUNCTION("""COMPUTED_VALUE"""),"P 8920 UG")</f>
        <v>P 8920 UG</v>
      </c>
      <c r="I22" s="17" t="str">
        <f>IFERROR(__xludf.DUMMYFUNCTION("""COMPUTED_VALUE"""),"TLPG TJ WANGI")</f>
        <v>TLPG TJ WANGI</v>
      </c>
      <c r="J22" s="17">
        <f>IFERROR(__xludf.DUMMYFUNCTION("""COMPUTED_VALUE"""),1.0)</f>
        <v>1</v>
      </c>
      <c r="L22" s="17">
        <f>IFERROR(__xludf.DUMMYFUNCTION("""COMPUTED_VALUE"""),21.0)</f>
        <v>21</v>
      </c>
      <c r="M22" s="17" t="str">
        <f>IFERROR(__xludf.DUMMYFUNCTION("""COMPUTED_VALUE"""),"P 8920 UG")</f>
        <v>P 8920 UG</v>
      </c>
      <c r="N22" s="11" t="str">
        <f>IFERROR(__xludf.DUMMYFUNCTION("""COMPUTED_VALUE"""),"TLPG TJ WANGI")</f>
        <v>TLPG TJ WANGI</v>
      </c>
      <c r="O22" s="17">
        <f>IFERROR(__xludf.DUMMYFUNCTION("""COMPUTED_VALUE"""),1.0)</f>
        <v>1</v>
      </c>
      <c r="P22" s="11" t="s">
        <v>412</v>
      </c>
      <c r="Q22" s="11"/>
      <c r="R22" s="11">
        <f>IFERROR(__xludf.DUMMYFUNCTION("""COMPUTED_VALUE"""),21.0)</f>
        <v>21</v>
      </c>
      <c r="S22" s="11" t="str">
        <f>IFERROR(__xludf.DUMMYFUNCTION("""COMPUTED_VALUE"""),"DK 8029 UK")</f>
        <v>DK 8029 UK</v>
      </c>
      <c r="T22" s="11" t="str">
        <f>IFERROR(__xludf.DUMMYFUNCTION("""COMPUTED_VALUE"""),"TLPG MANGGIS")</f>
        <v>TLPG MANGGIS</v>
      </c>
      <c r="U22" s="11">
        <f>IFERROR(__xludf.DUMMYFUNCTION("""COMPUTED_VALUE"""),2.0)</f>
        <v>2</v>
      </c>
      <c r="V22" s="11" t="s">
        <v>321</v>
      </c>
      <c r="W22" s="11"/>
      <c r="X22" s="11">
        <f>IFERROR(__xludf.DUMMYFUNCTION("""COMPUTED_VALUE"""),21.0)</f>
        <v>21</v>
      </c>
      <c r="Y22" s="11" t="str">
        <f>IFERROR(__xludf.DUMMYFUNCTION("""COMPUTED_VALUE"""),"DK 8611 AO")</f>
        <v>DK 8611 AO</v>
      </c>
      <c r="Z22" s="11" t="str">
        <f>IFERROR(__xludf.DUMMYFUNCTION("""COMPUTED_VALUE"""),"TLPG LOMBOK")</f>
        <v>TLPG LOMBOK</v>
      </c>
      <c r="AA22" s="11">
        <f>IFERROR(__xludf.DUMMYFUNCTION("""COMPUTED_VALUE"""),3.0)</f>
        <v>3</v>
      </c>
      <c r="AB22" s="11" t="s">
        <v>404</v>
      </c>
      <c r="AC22" s="11"/>
      <c r="AD22" s="11">
        <f>IFERROR(__xludf.DUMMYFUNCTION("""COMPUTED_VALUE"""),21.0)</f>
        <v>21</v>
      </c>
      <c r="AE22" s="11" t="str">
        <f>IFERROR(__xludf.DUMMYFUNCTION("""COMPUTED_VALUE"""),"L 8036 UUB")</f>
        <v>L 8036 UUB</v>
      </c>
      <c r="AF22" s="11" t="str">
        <f>IFERROR(__xludf.DUMMYFUNCTION("""COMPUTED_VALUE"""),"TLPG MEM GRESIK")</f>
        <v>TLPG MEM GRESIK</v>
      </c>
      <c r="AG22" s="11">
        <f>IFERROR(__xludf.DUMMYFUNCTION("""COMPUTED_VALUE"""),4.0)</f>
        <v>4</v>
      </c>
      <c r="AH22" s="11" t="s">
        <v>414</v>
      </c>
      <c r="AI22" s="11"/>
      <c r="AJ22" s="11">
        <f>IFERROR(__xludf.DUMMYFUNCTION("""COMPUTED_VALUE"""),21.0)</f>
        <v>21</v>
      </c>
      <c r="AK22" s="11" t="str">
        <f>IFERROR(__xludf.DUMMYFUNCTION("""COMPUTED_VALUE"""),"L 8107 UUA")</f>
        <v>L 8107 UUA</v>
      </c>
      <c r="AL22" s="11" t="str">
        <f>IFERROR(__xludf.DUMMYFUNCTION("""COMPUTED_VALUE"""),"TLPG TJ PERAK")</f>
        <v>TLPG TJ PERAK</v>
      </c>
      <c r="AM22" s="11">
        <f>IFERROR(__xludf.DUMMYFUNCTION("""COMPUTED_VALUE"""),5.0)</f>
        <v>5</v>
      </c>
      <c r="AN22" s="11" t="s">
        <v>415</v>
      </c>
      <c r="AO22" s="11"/>
      <c r="AP22" s="11">
        <f>IFERROR(__xludf.DUMMYFUNCTION("""COMPUTED_VALUE"""),21.0)</f>
        <v>21</v>
      </c>
      <c r="AQ22" s="11" t="str">
        <f>IFERROR(__xludf.DUMMYFUNCTION("""COMPUTED_VALUE"""),"W 8729 QD")</f>
        <v>W 8729 QD</v>
      </c>
      <c r="AR22" s="11" t="str">
        <f>IFERROR(__xludf.DUMMYFUNCTION("""COMPUTED_VALUE"""),"TLPG TJ PERAK")</f>
        <v>TLPG TJ PERAK</v>
      </c>
      <c r="AS22" s="11">
        <f>IFERROR(__xludf.DUMMYFUNCTION("""COMPUTED_VALUE"""),6.0)</f>
        <v>6</v>
      </c>
      <c r="AT22" s="11" t="s">
        <v>416</v>
      </c>
      <c r="AV22" s="9" t="str">
        <f>'KENDARAAN P1'!A:A</f>
        <v>L 8099 UR</v>
      </c>
    </row>
    <row r="23">
      <c r="A23" s="13" t="str">
        <f>IFERROR(__xludf.DUMMYFUNCTION("""COMPUTED_VALUE"""),"DK 8696 AS")</f>
        <v>DK 8696 AS</v>
      </c>
      <c r="B23" s="9" t="str">
        <f>IFERROR(__xludf.DUMMYFUNCTION("""COMPUTED_VALUE"""),"TLPG MANGGIS")</f>
        <v>TLPG MANGGIS</v>
      </c>
      <c r="C23" s="11">
        <f>IFERROR(__xludf.DUMMYFUNCTION("""COMPUTED_VALUE"""),1.0)</f>
        <v>1</v>
      </c>
      <c r="D23" s="12">
        <v>1.0</v>
      </c>
      <c r="E23" s="34" t="s">
        <v>184</v>
      </c>
      <c r="G23" s="14">
        <v>22.0</v>
      </c>
      <c r="H23" s="17" t="str">
        <f>IFERROR(__xludf.DUMMYFUNCTION("""COMPUTED_VALUE"""),"L 9390 UU")</f>
        <v>L 9390 UU</v>
      </c>
      <c r="I23" s="17" t="str">
        <f>IFERROR(__xludf.DUMMYFUNCTION("""COMPUTED_VALUE"""),"TLPG TJ WANGI")</f>
        <v>TLPG TJ WANGI</v>
      </c>
      <c r="J23" s="17">
        <f>IFERROR(__xludf.DUMMYFUNCTION("""COMPUTED_VALUE"""),1.0)</f>
        <v>1</v>
      </c>
      <c r="L23" s="17">
        <f>IFERROR(__xludf.DUMMYFUNCTION("""COMPUTED_VALUE"""),22.0)</f>
        <v>22</v>
      </c>
      <c r="M23" s="17" t="str">
        <f>IFERROR(__xludf.DUMMYFUNCTION("""COMPUTED_VALUE"""),"L 9390 UU")</f>
        <v>L 9390 UU</v>
      </c>
      <c r="N23" s="11" t="str">
        <f>IFERROR(__xludf.DUMMYFUNCTION("""COMPUTED_VALUE"""),"TLPG TJ WANGI")</f>
        <v>TLPG TJ WANGI</v>
      </c>
      <c r="O23" s="17">
        <f>IFERROR(__xludf.DUMMYFUNCTION("""COMPUTED_VALUE"""),1.0)</f>
        <v>1</v>
      </c>
      <c r="P23" s="11" t="s">
        <v>184</v>
      </c>
      <c r="Q23" s="11"/>
      <c r="R23" s="11">
        <f>IFERROR(__xludf.DUMMYFUNCTION("""COMPUTED_VALUE"""),22.0)</f>
        <v>22</v>
      </c>
      <c r="S23" s="11" t="str">
        <f>IFERROR(__xludf.DUMMYFUNCTION("""COMPUTED_VALUE"""),"DK 8035 UI")</f>
        <v>DK 8035 UI</v>
      </c>
      <c r="T23" s="11" t="str">
        <f>IFERROR(__xludf.DUMMYFUNCTION("""COMPUTED_VALUE"""),"TLPG MANGGIS")</f>
        <v>TLPG MANGGIS</v>
      </c>
      <c r="U23" s="11">
        <f>IFERROR(__xludf.DUMMYFUNCTION("""COMPUTED_VALUE"""),2.0)</f>
        <v>2</v>
      </c>
      <c r="V23" s="11" t="s">
        <v>339</v>
      </c>
      <c r="W23" s="11"/>
      <c r="X23" s="11">
        <f>IFERROR(__xludf.DUMMYFUNCTION("""COMPUTED_VALUE"""),22.0)</f>
        <v>22</v>
      </c>
      <c r="Y23" s="11" t="str">
        <f>IFERROR(__xludf.DUMMYFUNCTION("""COMPUTED_VALUE"""),"AG 8654 UZ")</f>
        <v>AG 8654 UZ</v>
      </c>
      <c r="Z23" s="11" t="str">
        <f>IFERROR(__xludf.DUMMYFUNCTION("""COMPUTED_VALUE"""),"TLPG TJ PERAK")</f>
        <v>TLPG TJ PERAK</v>
      </c>
      <c r="AA23" s="11">
        <f>IFERROR(__xludf.DUMMYFUNCTION("""COMPUTED_VALUE"""),3.0)</f>
        <v>3</v>
      </c>
      <c r="AB23" s="11" t="s">
        <v>135</v>
      </c>
      <c r="AC23" s="11"/>
      <c r="AD23" s="11">
        <f>IFERROR(__xludf.DUMMYFUNCTION("""COMPUTED_VALUE"""),22.0)</f>
        <v>22</v>
      </c>
      <c r="AE23" s="11" t="str">
        <f>IFERROR(__xludf.DUMMYFUNCTION("""COMPUTED_VALUE"""),"L 8063 BL")</f>
        <v>L 8063 BL</v>
      </c>
      <c r="AF23" s="11" t="str">
        <f>IFERROR(__xludf.DUMMYFUNCTION("""COMPUTED_VALUE"""),"TLPG TJ PERAK")</f>
        <v>TLPG TJ PERAK</v>
      </c>
      <c r="AG23" s="11">
        <f>IFERROR(__xludf.DUMMYFUNCTION("""COMPUTED_VALUE"""),4.0)</f>
        <v>4</v>
      </c>
      <c r="AH23" s="11" t="s">
        <v>376</v>
      </c>
      <c r="AI23" s="11"/>
      <c r="AJ23" s="11">
        <f>IFERROR(__xludf.DUMMYFUNCTION("""COMPUTED_VALUE"""),22.0)</f>
        <v>22</v>
      </c>
      <c r="AK23" s="11" t="str">
        <f>IFERROR(__xludf.DUMMYFUNCTION("""COMPUTED_VALUE"""),"L 8418 AG")</f>
        <v>L 8418 AG</v>
      </c>
      <c r="AL23" s="11" t="str">
        <f>IFERROR(__xludf.DUMMYFUNCTION("""COMPUTED_VALUE"""),"TLPG TJ PERAK")</f>
        <v>TLPG TJ PERAK</v>
      </c>
      <c r="AM23" s="11">
        <f>IFERROR(__xludf.DUMMYFUNCTION("""COMPUTED_VALUE"""),5.0)</f>
        <v>5</v>
      </c>
      <c r="AN23" s="11" t="s">
        <v>401</v>
      </c>
      <c r="AO23" s="11"/>
      <c r="AP23" s="11">
        <f>IFERROR(__xludf.DUMMYFUNCTION("""COMPUTED_VALUE"""),22.0)</f>
        <v>22</v>
      </c>
      <c r="AQ23" s="11" t="str">
        <f>IFERROR(__xludf.DUMMYFUNCTION("""COMPUTED_VALUE"""),"DK 8117 FS")</f>
        <v>DK 8117 FS</v>
      </c>
      <c r="AR23" s="11" t="str">
        <f>IFERROR(__xludf.DUMMYFUNCTION("""COMPUTED_VALUE"""),"TLPG MANGGIS")</f>
        <v>TLPG MANGGIS</v>
      </c>
      <c r="AS23" s="11">
        <f>IFERROR(__xludf.DUMMYFUNCTION("""COMPUTED_VALUE"""),6.0)</f>
        <v>6</v>
      </c>
      <c r="AT23" s="11" t="s">
        <v>417</v>
      </c>
      <c r="AV23" s="9" t="str">
        <f>'KENDARAAN P1'!A:A</f>
        <v>L 8088 UO</v>
      </c>
    </row>
    <row r="24">
      <c r="A24" s="13" t="str">
        <f>IFERROR(__xludf.DUMMYFUNCTION("""COMPUTED_VALUE"""),"DR 8761 DC")</f>
        <v>DR 8761 DC</v>
      </c>
      <c r="B24" s="9" t="str">
        <f>IFERROR(__xludf.DUMMYFUNCTION("""COMPUTED_VALUE"""),"TLPG LOMBOK")</f>
        <v>TLPG LOMBOK</v>
      </c>
      <c r="C24" s="11">
        <f>IFERROR(__xludf.DUMMYFUNCTION("""COMPUTED_VALUE"""),1.0)</f>
        <v>1</v>
      </c>
      <c r="D24" s="12">
        <v>1.0</v>
      </c>
      <c r="E24" s="34" t="s">
        <v>366</v>
      </c>
      <c r="G24" s="14">
        <v>23.0</v>
      </c>
      <c r="H24" s="17" t="str">
        <f>IFERROR(__xludf.DUMMYFUNCTION("""COMPUTED_VALUE"""),"L 9718 UD")</f>
        <v>L 9718 UD</v>
      </c>
      <c r="I24" s="17" t="str">
        <f>IFERROR(__xludf.DUMMYFUNCTION("""COMPUTED_VALUE"""),"TLPG TJ PERAK")</f>
        <v>TLPG TJ PERAK</v>
      </c>
      <c r="J24" s="17">
        <f>IFERROR(__xludf.DUMMYFUNCTION("""COMPUTED_VALUE"""),1.0)</f>
        <v>1</v>
      </c>
      <c r="L24" s="17">
        <f>IFERROR(__xludf.DUMMYFUNCTION("""COMPUTED_VALUE"""),23.0)</f>
        <v>23</v>
      </c>
      <c r="M24" s="17" t="str">
        <f>IFERROR(__xludf.DUMMYFUNCTION("""COMPUTED_VALUE"""),"L 9718 UD")</f>
        <v>L 9718 UD</v>
      </c>
      <c r="N24" s="11" t="str">
        <f>IFERROR(__xludf.DUMMYFUNCTION("""COMPUTED_VALUE"""),"TLPG TJ PERAK")</f>
        <v>TLPG TJ PERAK</v>
      </c>
      <c r="O24" s="17">
        <f>IFERROR(__xludf.DUMMYFUNCTION("""COMPUTED_VALUE"""),1.0)</f>
        <v>1</v>
      </c>
      <c r="P24" s="11" t="s">
        <v>273</v>
      </c>
      <c r="Q24" s="11"/>
      <c r="R24" s="11">
        <f>IFERROR(__xludf.DUMMYFUNCTION("""COMPUTED_VALUE"""),23.0)</f>
        <v>23</v>
      </c>
      <c r="S24" s="11" t="str">
        <f>IFERROR(__xludf.DUMMYFUNCTION("""COMPUTED_VALUE"""),"DK 8533 CE")</f>
        <v>DK 8533 CE</v>
      </c>
      <c r="T24" s="11" t="str">
        <f>IFERROR(__xludf.DUMMYFUNCTION("""COMPUTED_VALUE"""),"TLPG MANGGIS")</f>
        <v>TLPG MANGGIS</v>
      </c>
      <c r="U24" s="11">
        <f>IFERROR(__xludf.DUMMYFUNCTION("""COMPUTED_VALUE"""),2.0)</f>
        <v>2</v>
      </c>
      <c r="V24" s="11" t="s">
        <v>313</v>
      </c>
      <c r="W24" s="11"/>
      <c r="X24" s="11">
        <f>IFERROR(__xludf.DUMMYFUNCTION("""COMPUTED_VALUE"""),23.0)</f>
        <v>23</v>
      </c>
      <c r="Y24" s="11" t="str">
        <f>IFERROR(__xludf.DUMMYFUNCTION("""COMPUTED_VALUE"""),"N 9307 WD")</f>
        <v>N 9307 WD</v>
      </c>
      <c r="Z24" s="11" t="str">
        <f>IFERROR(__xludf.DUMMYFUNCTION("""COMPUTED_VALUE"""),"TLPG TJ PERAK")</f>
        <v>TLPG TJ PERAK</v>
      </c>
      <c r="AA24" s="11">
        <f>IFERROR(__xludf.DUMMYFUNCTION("""COMPUTED_VALUE"""),3.0)</f>
        <v>3</v>
      </c>
      <c r="AB24" s="11" t="s">
        <v>419</v>
      </c>
      <c r="AC24" s="11"/>
      <c r="AD24" s="11">
        <f>IFERROR(__xludf.DUMMYFUNCTION("""COMPUTED_VALUE"""),23.0)</f>
        <v>23</v>
      </c>
      <c r="AE24" s="11" t="str">
        <f>IFERROR(__xludf.DUMMYFUNCTION("""COMPUTED_VALUE"""),"L 8454 N")</f>
        <v>L 8454 N</v>
      </c>
      <c r="AF24" s="11" t="str">
        <f>IFERROR(__xludf.DUMMYFUNCTION("""COMPUTED_VALUE"""),"TLPG TJ PERAK")</f>
        <v>TLPG TJ PERAK</v>
      </c>
      <c r="AG24" s="11">
        <f>IFERROR(__xludf.DUMMYFUNCTION("""COMPUTED_VALUE"""),4.0)</f>
        <v>4</v>
      </c>
      <c r="AH24" s="11" t="s">
        <v>420</v>
      </c>
      <c r="AI24" s="11"/>
      <c r="AJ24" s="11">
        <f>IFERROR(__xludf.DUMMYFUNCTION("""COMPUTED_VALUE"""),23.0)</f>
        <v>23</v>
      </c>
      <c r="AK24" s="11" t="str">
        <f>IFERROR(__xludf.DUMMYFUNCTION("""COMPUTED_VALUE"""),"L 8684 AG")</f>
        <v>L 8684 AG</v>
      </c>
      <c r="AL24" s="11" t="str">
        <f>IFERROR(__xludf.DUMMYFUNCTION("""COMPUTED_VALUE"""),"TLPG TJ PERAK")</f>
        <v>TLPG TJ PERAK</v>
      </c>
      <c r="AM24" s="11">
        <f>IFERROR(__xludf.DUMMYFUNCTION("""COMPUTED_VALUE"""),5.0)</f>
        <v>5</v>
      </c>
      <c r="AN24" s="11" t="s">
        <v>359</v>
      </c>
      <c r="AO24" s="11"/>
      <c r="AP24" s="11">
        <f>IFERROR(__xludf.DUMMYFUNCTION("""COMPUTED_VALUE"""),23.0)</f>
        <v>23</v>
      </c>
      <c r="AQ24" s="11" t="str">
        <f>IFERROR(__xludf.DUMMYFUNCTION("""COMPUTED_VALUE"""),"DK 8302 HF")</f>
        <v>DK 8302 HF</v>
      </c>
      <c r="AR24" s="11" t="str">
        <f>IFERROR(__xludf.DUMMYFUNCTION("""COMPUTED_VALUE"""),"TLPG MANGGIS")</f>
        <v>TLPG MANGGIS</v>
      </c>
      <c r="AS24" s="11">
        <f>IFERROR(__xludf.DUMMYFUNCTION("""COMPUTED_VALUE"""),6.0)</f>
        <v>6</v>
      </c>
      <c r="AT24" s="11" t="s">
        <v>421</v>
      </c>
      <c r="AV24" s="9" t="str">
        <f>'KENDARAAN P1'!A:A</f>
        <v>B 9123 SEI</v>
      </c>
    </row>
    <row r="25">
      <c r="A25" s="13" t="str">
        <f>IFERROR(__xludf.DUMMYFUNCTION("""COMPUTED_VALUE"""),"L 8116 UUC")</f>
        <v>L 8116 UUC</v>
      </c>
      <c r="B25" s="9" t="str">
        <f>IFERROR(__xludf.DUMMYFUNCTION("""COMPUTED_VALUE"""),"TLPG BIMA")</f>
        <v>TLPG BIMA</v>
      </c>
      <c r="C25" s="11">
        <f>IFERROR(__xludf.DUMMYFUNCTION("""COMPUTED_VALUE"""),1.0)</f>
        <v>1</v>
      </c>
      <c r="D25" s="12">
        <v>1.0</v>
      </c>
      <c r="E25" s="34" t="s">
        <v>379</v>
      </c>
      <c r="G25" s="14">
        <v>24.0</v>
      </c>
      <c r="H25" s="17" t="str">
        <f>IFERROR(__xludf.DUMMYFUNCTION("""COMPUTED_VALUE"""),"P 8172 UF")</f>
        <v>P 8172 UF</v>
      </c>
      <c r="I25" s="17" t="str">
        <f>IFERROR(__xludf.DUMMYFUNCTION("""COMPUTED_VALUE"""),"TLPG TJ WANGI")</f>
        <v>TLPG TJ WANGI</v>
      </c>
      <c r="J25" s="17">
        <f>IFERROR(__xludf.DUMMYFUNCTION("""COMPUTED_VALUE"""),1.0)</f>
        <v>1</v>
      </c>
      <c r="L25" s="17">
        <f>IFERROR(__xludf.DUMMYFUNCTION("""COMPUTED_VALUE"""),24.0)</f>
        <v>24</v>
      </c>
      <c r="M25" s="17" t="str">
        <f>IFERROR(__xludf.DUMMYFUNCTION("""COMPUTED_VALUE"""),"P 8172 UF")</f>
        <v>P 8172 UF</v>
      </c>
      <c r="N25" s="11" t="str">
        <f>IFERROR(__xludf.DUMMYFUNCTION("""COMPUTED_VALUE"""),"TLPG TJ WANGI")</f>
        <v>TLPG TJ WANGI</v>
      </c>
      <c r="O25" s="17">
        <f>IFERROR(__xludf.DUMMYFUNCTION("""COMPUTED_VALUE"""),1.0)</f>
        <v>1</v>
      </c>
      <c r="P25" s="11" t="s">
        <v>184</v>
      </c>
      <c r="Q25" s="11"/>
      <c r="R25" s="11">
        <f>IFERROR(__xludf.DUMMYFUNCTION("""COMPUTED_VALUE"""),24.0)</f>
        <v>24</v>
      </c>
      <c r="S25" s="11" t="str">
        <f>IFERROR(__xludf.DUMMYFUNCTION("""COMPUTED_VALUE"""),"N 9195 UF")</f>
        <v>N 9195 UF</v>
      </c>
      <c r="T25" s="11" t="str">
        <f>IFERROR(__xludf.DUMMYFUNCTION("""COMPUTED_VALUE"""),"TLPG TJ PERAK")</f>
        <v>TLPG TJ PERAK</v>
      </c>
      <c r="U25" s="11">
        <f>IFERROR(__xludf.DUMMYFUNCTION("""COMPUTED_VALUE"""),2.0)</f>
        <v>2</v>
      </c>
      <c r="V25" s="11" t="s">
        <v>341</v>
      </c>
      <c r="W25" s="11"/>
      <c r="X25" s="11">
        <f>IFERROR(__xludf.DUMMYFUNCTION("""COMPUTED_VALUE"""),24.0)</f>
        <v>24</v>
      </c>
      <c r="Y25" s="11" t="str">
        <f>IFERROR(__xludf.DUMMYFUNCTION("""COMPUTED_VALUE"""),"AG 9153 UR")</f>
        <v>AG 9153 UR</v>
      </c>
      <c r="Z25" s="11" t="str">
        <f>IFERROR(__xludf.DUMMYFUNCTION("""COMPUTED_VALUE"""),"TLPG TJ PERAK")</f>
        <v>TLPG TJ PERAK</v>
      </c>
      <c r="AA25" s="11">
        <f>IFERROR(__xludf.DUMMYFUNCTION("""COMPUTED_VALUE"""),3.0)</f>
        <v>3</v>
      </c>
      <c r="AB25" s="11" t="s">
        <v>124</v>
      </c>
      <c r="AC25" s="11"/>
      <c r="AD25" s="11">
        <f>IFERROR(__xludf.DUMMYFUNCTION("""COMPUTED_VALUE"""),24.0)</f>
        <v>24</v>
      </c>
      <c r="AE25" s="11" t="str">
        <f>IFERROR(__xludf.DUMMYFUNCTION("""COMPUTED_VALUE"""),"L 8547 UI")</f>
        <v>L 8547 UI</v>
      </c>
      <c r="AF25" s="11" t="str">
        <f>IFERROR(__xludf.DUMMYFUNCTION("""COMPUTED_VALUE"""),"TLPG TJ PERAK")</f>
        <v>TLPG TJ PERAK</v>
      </c>
      <c r="AG25" s="11">
        <f>IFERROR(__xludf.DUMMYFUNCTION("""COMPUTED_VALUE"""),4.0)</f>
        <v>4</v>
      </c>
      <c r="AH25" s="11" t="s">
        <v>422</v>
      </c>
      <c r="AI25" s="11"/>
      <c r="AJ25" s="11">
        <f>IFERROR(__xludf.DUMMYFUNCTION("""COMPUTED_VALUE"""),24.0)</f>
        <v>24</v>
      </c>
      <c r="AK25" s="11" t="str">
        <f>IFERROR(__xludf.DUMMYFUNCTION("""COMPUTED_VALUE"""),"N 9910 UN")</f>
        <v>N 9910 UN</v>
      </c>
      <c r="AL25" s="11" t="str">
        <f>IFERROR(__xludf.DUMMYFUNCTION("""COMPUTED_VALUE"""),"TLPG TJ WANGI")</f>
        <v>TLPG TJ WANGI</v>
      </c>
      <c r="AM25" s="11">
        <f>IFERROR(__xludf.DUMMYFUNCTION("""COMPUTED_VALUE"""),5.0)</f>
        <v>5</v>
      </c>
      <c r="AN25" s="11" t="s">
        <v>423</v>
      </c>
      <c r="AO25" s="11"/>
      <c r="AP25" s="11">
        <f>IFERROR(__xludf.DUMMYFUNCTION("""COMPUTED_VALUE"""),24.0)</f>
        <v>24</v>
      </c>
      <c r="AQ25" s="11" t="str">
        <f>IFERROR(__xludf.DUMMYFUNCTION("""COMPUTED_VALUE"""),"DK 8352 GZ")</f>
        <v>DK 8352 GZ</v>
      </c>
      <c r="AR25" s="11" t="str">
        <f>IFERROR(__xludf.DUMMYFUNCTION("""COMPUTED_VALUE"""),"TLPG MANGGIS")</f>
        <v>TLPG MANGGIS</v>
      </c>
      <c r="AS25" s="11">
        <f>IFERROR(__xludf.DUMMYFUNCTION("""COMPUTED_VALUE"""),6.0)</f>
        <v>6</v>
      </c>
      <c r="AT25" s="11" t="s">
        <v>127</v>
      </c>
      <c r="AV25" s="9" t="str">
        <f>'KENDARAAN P1'!A:A</f>
        <v>L 9819 UJ</v>
      </c>
    </row>
    <row r="26">
      <c r="A26" s="13" t="str">
        <f>IFERROR(__xludf.DUMMYFUNCTION("""COMPUTED_VALUE"""),"N 8435 UZ")</f>
        <v>N 8435 UZ</v>
      </c>
      <c r="B26" s="9" t="str">
        <f>IFERROR(__xludf.DUMMYFUNCTION("""COMPUTED_VALUE"""),"TLPG MEM GRESIK")</f>
        <v>TLPG MEM GRESIK</v>
      </c>
      <c r="C26" s="11">
        <f>IFERROR(__xludf.DUMMYFUNCTION("""COMPUTED_VALUE"""),1.0)</f>
        <v>1</v>
      </c>
      <c r="D26" s="12">
        <v>1.0</v>
      </c>
      <c r="E26" s="34" t="s">
        <v>390</v>
      </c>
      <c r="G26" s="14">
        <v>25.0</v>
      </c>
      <c r="H26" s="17" t="str">
        <f>IFERROR(__xludf.DUMMYFUNCTION("""COMPUTED_VALUE"""),"AG 8263 UW")</f>
        <v>AG 8263 UW</v>
      </c>
      <c r="I26" s="17" t="str">
        <f>IFERROR(__xludf.DUMMYFUNCTION("""COMPUTED_VALUE"""),"TLPG TJ PERAK")</f>
        <v>TLPG TJ PERAK</v>
      </c>
      <c r="J26" s="17">
        <f>IFERROR(__xludf.DUMMYFUNCTION("""COMPUTED_VALUE"""),1.0)</f>
        <v>1</v>
      </c>
      <c r="L26" s="17">
        <f>IFERROR(__xludf.DUMMYFUNCTION("""COMPUTED_VALUE"""),25.0)</f>
        <v>25</v>
      </c>
      <c r="M26" s="17" t="str">
        <f>IFERROR(__xludf.DUMMYFUNCTION("""COMPUTED_VALUE"""),"AG 8263 UW")</f>
        <v>AG 8263 UW</v>
      </c>
      <c r="N26" s="11" t="str">
        <f>IFERROR(__xludf.DUMMYFUNCTION("""COMPUTED_VALUE"""),"TLPG TJ PERAK")</f>
        <v>TLPG TJ PERAK</v>
      </c>
      <c r="O26" s="17">
        <f>IFERROR(__xludf.DUMMYFUNCTION("""COMPUTED_VALUE"""),1.0)</f>
        <v>1</v>
      </c>
      <c r="P26" s="11" t="s">
        <v>424</v>
      </c>
      <c r="Q26" s="11"/>
      <c r="R26" s="11">
        <f>IFERROR(__xludf.DUMMYFUNCTION("""COMPUTED_VALUE"""),25.0)</f>
        <v>25</v>
      </c>
      <c r="S26" s="11" t="str">
        <f>IFERROR(__xludf.DUMMYFUNCTION("""COMPUTED_VALUE"""),"DK 8139 TS")</f>
        <v>DK 8139 TS</v>
      </c>
      <c r="T26" s="11" t="str">
        <f>IFERROR(__xludf.DUMMYFUNCTION("""COMPUTED_VALUE"""),"TLPG MANGGIS")</f>
        <v>TLPG MANGGIS</v>
      </c>
      <c r="U26" s="11">
        <f>IFERROR(__xludf.DUMMYFUNCTION("""COMPUTED_VALUE"""),2.0)</f>
        <v>2</v>
      </c>
      <c r="V26" s="11" t="s">
        <v>425</v>
      </c>
      <c r="W26" s="11"/>
      <c r="X26" s="11">
        <f>IFERROR(__xludf.DUMMYFUNCTION("""COMPUTED_VALUE"""),25.0)</f>
        <v>25</v>
      </c>
      <c r="Y26" s="11" t="str">
        <f>IFERROR(__xludf.DUMMYFUNCTION("""COMPUTED_VALUE"""),"DK 8236 GH")</f>
        <v>DK 8236 GH</v>
      </c>
      <c r="Z26" s="11" t="str">
        <f>IFERROR(__xludf.DUMMYFUNCTION("""COMPUTED_VALUE"""),"TLPG MANGGIS")</f>
        <v>TLPG MANGGIS</v>
      </c>
      <c r="AA26" s="11">
        <f>IFERROR(__xludf.DUMMYFUNCTION("""COMPUTED_VALUE"""),3.0)</f>
        <v>3</v>
      </c>
      <c r="AB26" s="11" t="s">
        <v>421</v>
      </c>
      <c r="AC26" s="11"/>
      <c r="AD26" s="11">
        <f>IFERROR(__xludf.DUMMYFUNCTION("""COMPUTED_VALUE"""),25.0)</f>
        <v>25</v>
      </c>
      <c r="AE26" s="11" t="str">
        <f>IFERROR(__xludf.DUMMYFUNCTION("""COMPUTED_VALUE"""),"AE 8850 UT")</f>
        <v>AE 8850 UT</v>
      </c>
      <c r="AF26" s="11" t="str">
        <f>IFERROR(__xludf.DUMMYFUNCTION("""COMPUTED_VALUE"""),"TLPG TJ PERAK")</f>
        <v>TLPG TJ PERAK</v>
      </c>
      <c r="AG26" s="11">
        <f>IFERROR(__xludf.DUMMYFUNCTION("""COMPUTED_VALUE"""),4.0)</f>
        <v>4</v>
      </c>
      <c r="AH26" s="11" t="s">
        <v>426</v>
      </c>
      <c r="AI26" s="11"/>
      <c r="AJ26" s="11">
        <f>IFERROR(__xludf.DUMMYFUNCTION("""COMPUTED_VALUE"""),25.0)</f>
        <v>25</v>
      </c>
      <c r="AK26" s="11" t="str">
        <f>IFERROR(__xludf.DUMMYFUNCTION("""COMPUTED_VALUE"""),"P 8016 UW")</f>
        <v>P 8016 UW</v>
      </c>
      <c r="AL26" s="11" t="str">
        <f>IFERROR(__xludf.DUMMYFUNCTION("""COMPUTED_VALUE"""),"TLPG TJ WANGI")</f>
        <v>TLPG TJ WANGI</v>
      </c>
      <c r="AM26" s="11">
        <f>IFERROR(__xludf.DUMMYFUNCTION("""COMPUTED_VALUE"""),5.0)</f>
        <v>5</v>
      </c>
      <c r="AN26" s="11" t="s">
        <v>184</v>
      </c>
      <c r="AO26" s="11"/>
      <c r="AP26" s="11">
        <f>IFERROR(__xludf.DUMMYFUNCTION("""COMPUTED_VALUE"""),25.0)</f>
        <v>25</v>
      </c>
      <c r="AQ26" s="11" t="str">
        <f>IFERROR(__xludf.DUMMYFUNCTION("""COMPUTED_VALUE"""),"L 8192 UX")</f>
        <v>L 8192 UX</v>
      </c>
      <c r="AR26" s="11" t="str">
        <f>IFERROR(__xludf.DUMMYFUNCTION("""COMPUTED_VALUE"""),"TLPG MEM GRESIK")</f>
        <v>TLPG MEM GRESIK</v>
      </c>
      <c r="AS26" s="11">
        <f>IFERROR(__xludf.DUMMYFUNCTION("""COMPUTED_VALUE"""),6.0)</f>
        <v>6</v>
      </c>
      <c r="AT26" s="11" t="s">
        <v>307</v>
      </c>
      <c r="AV26" s="9" t="str">
        <f>'KENDARAAN P1'!A:A</f>
        <v>L 9820 UJ</v>
      </c>
    </row>
    <row r="27">
      <c r="A27" s="13" t="str">
        <f>IFERROR(__xludf.DUMMYFUNCTION("""COMPUTED_VALUE"""),"N 9502 UG")</f>
        <v>N 9502 UG</v>
      </c>
      <c r="B27" s="9" t="str">
        <f>IFERROR(__xludf.DUMMYFUNCTION("""COMPUTED_VALUE"""),"TLPG TJ PERAK")</f>
        <v>TLPG TJ PERAK</v>
      </c>
      <c r="C27" s="11">
        <f>IFERROR(__xludf.DUMMYFUNCTION("""COMPUTED_VALUE"""),1.0)</f>
        <v>1</v>
      </c>
      <c r="D27" s="12">
        <v>1.0</v>
      </c>
      <c r="E27" s="39" t="s">
        <v>401</v>
      </c>
      <c r="G27" s="14">
        <v>26.0</v>
      </c>
      <c r="H27" s="17" t="str">
        <f>IFERROR(__xludf.DUMMYFUNCTION("""COMPUTED_VALUE"""),"DK 8148 TS")</f>
        <v>DK 8148 TS</v>
      </c>
      <c r="I27" s="17" t="str">
        <f>IFERROR(__xludf.DUMMYFUNCTION("""COMPUTED_VALUE"""),"TLPG MANGGIS")</f>
        <v>TLPG MANGGIS</v>
      </c>
      <c r="J27" s="17">
        <f>IFERROR(__xludf.DUMMYFUNCTION("""COMPUTED_VALUE"""),1.0)</f>
        <v>1</v>
      </c>
      <c r="L27" s="17">
        <f>IFERROR(__xludf.DUMMYFUNCTION("""COMPUTED_VALUE"""),26.0)</f>
        <v>26</v>
      </c>
      <c r="M27" s="17" t="str">
        <f>IFERROR(__xludf.DUMMYFUNCTION("""COMPUTED_VALUE"""),"DK 8148 TS")</f>
        <v>DK 8148 TS</v>
      </c>
      <c r="N27" s="11" t="str">
        <f>IFERROR(__xludf.DUMMYFUNCTION("""COMPUTED_VALUE"""),"TLPG MANGGIS")</f>
        <v>TLPG MANGGIS</v>
      </c>
      <c r="O27" s="17">
        <f>IFERROR(__xludf.DUMMYFUNCTION("""COMPUTED_VALUE"""),1.0)</f>
        <v>1</v>
      </c>
      <c r="P27" s="11" t="s">
        <v>425</v>
      </c>
      <c r="Q27" s="11"/>
      <c r="R27" s="11">
        <f>IFERROR(__xludf.DUMMYFUNCTION("""COMPUTED_VALUE"""),26.0)</f>
        <v>26</v>
      </c>
      <c r="S27" s="11" t="str">
        <f>IFERROR(__xludf.DUMMYFUNCTION("""COMPUTED_VALUE"""),"DK 8141 JM")</f>
        <v>DK 8141 JM</v>
      </c>
      <c r="T27" s="11" t="str">
        <f>IFERROR(__xludf.DUMMYFUNCTION("""COMPUTED_VALUE"""),"TLPG MANGGIS")</f>
        <v>TLPG MANGGIS</v>
      </c>
      <c r="U27" s="11">
        <f>IFERROR(__xludf.DUMMYFUNCTION("""COMPUTED_VALUE"""),2.0)</f>
        <v>2</v>
      </c>
      <c r="V27" s="11" t="s">
        <v>299</v>
      </c>
      <c r="W27" s="11"/>
      <c r="X27" s="11">
        <f>IFERROR(__xludf.DUMMYFUNCTION("""COMPUTED_VALUE"""),26.0)</f>
        <v>26</v>
      </c>
      <c r="Y27" s="11" t="str">
        <f>IFERROR(__xludf.DUMMYFUNCTION("""COMPUTED_VALUE"""),"DK 8268 HH")</f>
        <v>DK 8268 HH</v>
      </c>
      <c r="Z27" s="11" t="str">
        <f>IFERROR(__xludf.DUMMYFUNCTION("""COMPUTED_VALUE"""),"TLPG MANGGIS")</f>
        <v>TLPG MANGGIS</v>
      </c>
      <c r="AA27" s="11">
        <f>IFERROR(__xludf.DUMMYFUNCTION("""COMPUTED_VALUE"""),3.0)</f>
        <v>3</v>
      </c>
      <c r="AB27" s="11" t="s">
        <v>421</v>
      </c>
      <c r="AC27" s="11"/>
      <c r="AD27" s="11">
        <f>IFERROR(__xludf.DUMMYFUNCTION("""COMPUTED_VALUE"""),26.0)</f>
        <v>26</v>
      </c>
      <c r="AE27" s="11" t="str">
        <f>IFERROR(__xludf.DUMMYFUNCTION("""COMPUTED_VALUE"""),"AG 8828 UW")</f>
        <v>AG 8828 UW</v>
      </c>
      <c r="AF27" s="11" t="str">
        <f>IFERROR(__xludf.DUMMYFUNCTION("""COMPUTED_VALUE"""),"TLPG TJ PERAK")</f>
        <v>TLPG TJ PERAK</v>
      </c>
      <c r="AG27" s="11">
        <f>IFERROR(__xludf.DUMMYFUNCTION("""COMPUTED_VALUE"""),4.0)</f>
        <v>4</v>
      </c>
      <c r="AH27" s="11" t="s">
        <v>426</v>
      </c>
      <c r="AI27" s="11"/>
      <c r="AJ27" s="11">
        <f>IFERROR(__xludf.DUMMYFUNCTION("""COMPUTED_VALUE"""),26.0)</f>
        <v>26</v>
      </c>
      <c r="AK27" s="11" t="str">
        <f>IFERROR(__xludf.DUMMYFUNCTION("""COMPUTED_VALUE"""),"L 9521 UL")</f>
        <v>L 9521 UL</v>
      </c>
      <c r="AL27" s="11" t="str">
        <f>IFERROR(__xludf.DUMMYFUNCTION("""COMPUTED_VALUE"""),"TLPG TJ PERAK")</f>
        <v>TLPG TJ PERAK</v>
      </c>
      <c r="AM27" s="11">
        <f>IFERROR(__xludf.DUMMYFUNCTION("""COMPUTED_VALUE"""),5.0)</f>
        <v>5</v>
      </c>
      <c r="AN27" s="11" t="s">
        <v>313</v>
      </c>
      <c r="AO27" s="11"/>
      <c r="AP27" s="11">
        <f>IFERROR(__xludf.DUMMYFUNCTION("""COMPUTED_VALUE"""),26.0)</f>
        <v>26</v>
      </c>
      <c r="AQ27" s="11" t="str">
        <f>IFERROR(__xludf.DUMMYFUNCTION("""COMPUTED_VALUE"""),"M 8068 UH")</f>
        <v>M 8068 UH</v>
      </c>
      <c r="AR27" s="11" t="str">
        <f>IFERROR(__xludf.DUMMYFUNCTION("""COMPUTED_VALUE"""),"TLPG TJ PERAK")</f>
        <v>TLPG TJ PERAK</v>
      </c>
      <c r="AS27" s="11">
        <f>IFERROR(__xludf.DUMMYFUNCTION("""COMPUTED_VALUE"""),6.0)</f>
        <v>6</v>
      </c>
      <c r="AT27" s="11" t="s">
        <v>427</v>
      </c>
      <c r="AV27" s="9" t="str">
        <f>'KENDARAAN P1'!A:A</f>
        <v>B 9873 SFV</v>
      </c>
    </row>
    <row r="28">
      <c r="A28" s="13" t="str">
        <f>IFERROR(__xludf.DUMMYFUNCTION("""COMPUTED_VALUE"""),"P 8920 UG")</f>
        <v>P 8920 UG</v>
      </c>
      <c r="B28" s="9" t="str">
        <f>IFERROR(__xludf.DUMMYFUNCTION("""COMPUTED_VALUE"""),"TLPG TJ WANGI")</f>
        <v>TLPG TJ WANGI</v>
      </c>
      <c r="C28" s="11">
        <f>IFERROR(__xludf.DUMMYFUNCTION("""COMPUTED_VALUE"""),1.0)</f>
        <v>1</v>
      </c>
      <c r="D28" s="12">
        <v>1.0</v>
      </c>
      <c r="E28" s="34" t="s">
        <v>412</v>
      </c>
      <c r="G28" s="14">
        <v>27.0</v>
      </c>
      <c r="H28" s="17" t="str">
        <f>IFERROR(__xludf.DUMMYFUNCTION("""COMPUTED_VALUE"""),"DK 8197 BK")</f>
        <v>DK 8197 BK</v>
      </c>
      <c r="I28" s="17" t="str">
        <f>IFERROR(__xludf.DUMMYFUNCTION("""COMPUTED_VALUE"""),"TLPG MANGGIS")</f>
        <v>TLPG MANGGIS</v>
      </c>
      <c r="J28" s="17">
        <f>IFERROR(__xludf.DUMMYFUNCTION("""COMPUTED_VALUE"""),1.0)</f>
        <v>1</v>
      </c>
      <c r="L28" s="17">
        <f>IFERROR(__xludf.DUMMYFUNCTION("""COMPUTED_VALUE"""),27.0)</f>
        <v>27</v>
      </c>
      <c r="M28" s="17" t="str">
        <f>IFERROR(__xludf.DUMMYFUNCTION("""COMPUTED_VALUE"""),"DK 8197 BK")</f>
        <v>DK 8197 BK</v>
      </c>
      <c r="N28" s="11" t="str">
        <f>IFERROR(__xludf.DUMMYFUNCTION("""COMPUTED_VALUE"""),"TLPG MANGGIS")</f>
        <v>TLPG MANGGIS</v>
      </c>
      <c r="O28" s="17">
        <f>IFERROR(__xludf.DUMMYFUNCTION("""COMPUTED_VALUE"""),1.0)</f>
        <v>1</v>
      </c>
      <c r="P28" s="11" t="s">
        <v>310</v>
      </c>
      <c r="Q28" s="11"/>
      <c r="R28" s="11">
        <f>IFERROR(__xludf.DUMMYFUNCTION("""COMPUTED_VALUE"""),27.0)</f>
        <v>27</v>
      </c>
      <c r="S28" s="11" t="str">
        <f>IFERROR(__xludf.DUMMYFUNCTION("""COMPUTED_VALUE"""),"L 8083 CA")</f>
        <v>L 8083 CA</v>
      </c>
      <c r="T28" s="11" t="str">
        <f>IFERROR(__xludf.DUMMYFUNCTION("""COMPUTED_VALUE"""),"TLPG TJ WANGI")</f>
        <v>TLPG TJ WANGI</v>
      </c>
      <c r="U28" s="11">
        <f>IFERROR(__xludf.DUMMYFUNCTION("""COMPUTED_VALUE"""),2.0)</f>
        <v>2</v>
      </c>
      <c r="V28" s="11" t="s">
        <v>428</v>
      </c>
      <c r="W28" s="11"/>
      <c r="X28" s="11">
        <f>IFERROR(__xludf.DUMMYFUNCTION("""COMPUTED_VALUE"""),27.0)</f>
        <v>27</v>
      </c>
      <c r="Y28" s="11" t="str">
        <f>IFERROR(__xludf.DUMMYFUNCTION("""COMPUTED_VALUE"""),"DK 8285 DT")</f>
        <v>DK 8285 DT</v>
      </c>
      <c r="Z28" s="11" t="str">
        <f>IFERROR(__xludf.DUMMYFUNCTION("""COMPUTED_VALUE"""),"TLPG MANGGIS")</f>
        <v>TLPG MANGGIS</v>
      </c>
      <c r="AA28" s="11">
        <f>IFERROR(__xludf.DUMMYFUNCTION("""COMPUTED_VALUE"""),3.0)</f>
        <v>3</v>
      </c>
      <c r="AB28" s="11" t="s">
        <v>417</v>
      </c>
      <c r="AC28" s="11"/>
      <c r="AD28" s="11">
        <f>IFERROR(__xludf.DUMMYFUNCTION("""COMPUTED_VALUE"""),27.0)</f>
        <v>27</v>
      </c>
      <c r="AE28" s="11" t="str">
        <f>IFERROR(__xludf.DUMMYFUNCTION("""COMPUTED_VALUE"""),"B 9123 SEI")</f>
        <v>B 9123 SEI</v>
      </c>
      <c r="AF28" s="11" t="str">
        <f>IFERROR(__xludf.DUMMYFUNCTION("""COMPUTED_VALUE"""),"TLPG MEM GRESIK")</f>
        <v>TLPG MEM GRESIK</v>
      </c>
      <c r="AG28" s="11">
        <f>IFERROR(__xludf.DUMMYFUNCTION("""COMPUTED_VALUE"""),4.0)</f>
        <v>4</v>
      </c>
      <c r="AH28" s="11" t="s">
        <v>83</v>
      </c>
      <c r="AI28" s="11"/>
      <c r="AJ28" s="11">
        <f>IFERROR(__xludf.DUMMYFUNCTION("""COMPUTED_VALUE"""),27.0)</f>
        <v>27</v>
      </c>
      <c r="AK28" s="11" t="str">
        <f>IFERROR(__xludf.DUMMYFUNCTION("""COMPUTED_VALUE"""),"L 9532 UL")</f>
        <v>L 9532 UL</v>
      </c>
      <c r="AL28" s="11" t="str">
        <f>IFERROR(__xludf.DUMMYFUNCTION("""COMPUTED_VALUE"""),"TLPG TJ PERAK")</f>
        <v>TLPG TJ PERAK</v>
      </c>
      <c r="AM28" s="11">
        <f>IFERROR(__xludf.DUMMYFUNCTION("""COMPUTED_VALUE"""),5.0)</f>
        <v>5</v>
      </c>
      <c r="AN28" s="11" t="s">
        <v>313</v>
      </c>
      <c r="AO28" s="11"/>
      <c r="AP28" s="11">
        <f>IFERROR(__xludf.DUMMYFUNCTION("""COMPUTED_VALUE"""),27.0)</f>
        <v>27</v>
      </c>
      <c r="AQ28" s="11" t="str">
        <f>IFERROR(__xludf.DUMMYFUNCTION("""COMPUTED_VALUE"""),"M 8366 UG")</f>
        <v>M 8366 UG</v>
      </c>
      <c r="AR28" s="11" t="str">
        <f>IFERROR(__xludf.DUMMYFUNCTION("""COMPUTED_VALUE"""),"TLPG TJ PERAK")</f>
        <v>TLPG TJ PERAK</v>
      </c>
      <c r="AS28" s="11">
        <f>IFERROR(__xludf.DUMMYFUNCTION("""COMPUTED_VALUE"""),6.0)</f>
        <v>6</v>
      </c>
      <c r="AT28" s="11" t="s">
        <v>427</v>
      </c>
      <c r="AV28" s="9" t="str">
        <f>'KENDARAAN P1'!A:A</f>
        <v>B 9874 SFV</v>
      </c>
    </row>
    <row r="29">
      <c r="A29" s="13" t="str">
        <f>IFERROR(__xludf.DUMMYFUNCTION("""COMPUTED_VALUE"""),"S 8316 AI")</f>
        <v>S 8316 AI</v>
      </c>
      <c r="B29" s="9" t="str">
        <f>IFERROR(__xludf.DUMMYFUNCTION("""COMPUTED_VALUE"""),"TLPG TJ PERAK")</f>
        <v>TLPG TJ PERAK</v>
      </c>
      <c r="C29" s="11">
        <f>IFERROR(__xludf.DUMMYFUNCTION("""COMPUTED_VALUE"""),1.0)</f>
        <v>1</v>
      </c>
      <c r="D29" s="12">
        <v>11.0</v>
      </c>
      <c r="E29" s="34" t="s">
        <v>429</v>
      </c>
      <c r="F29" s="17"/>
      <c r="G29" s="14">
        <v>28.0</v>
      </c>
      <c r="H29" s="17" t="str">
        <f>IFERROR(__xludf.DUMMYFUNCTION("""COMPUTED_VALUE"""),"DR 8772 DC")</f>
        <v>DR 8772 DC</v>
      </c>
      <c r="I29" s="17" t="str">
        <f>IFERROR(__xludf.DUMMYFUNCTION("""COMPUTED_VALUE"""),"TLPG LOMBOK")</f>
        <v>TLPG LOMBOK</v>
      </c>
      <c r="J29" s="17">
        <f>IFERROR(__xludf.DUMMYFUNCTION("""COMPUTED_VALUE"""),1.0)</f>
        <v>1</v>
      </c>
      <c r="L29" s="11">
        <f>IFERROR(__xludf.DUMMYFUNCTION("""COMPUTED_VALUE"""),28.0)</f>
        <v>28</v>
      </c>
      <c r="M29" s="11" t="str">
        <f>IFERROR(__xludf.DUMMYFUNCTION("""COMPUTED_VALUE"""),"DR 8772 DC")</f>
        <v>DR 8772 DC</v>
      </c>
      <c r="N29" s="11" t="str">
        <f>IFERROR(__xludf.DUMMYFUNCTION("""COMPUTED_VALUE"""),"TLPG LOMBOK")</f>
        <v>TLPG LOMBOK</v>
      </c>
      <c r="O29" s="11">
        <f>IFERROR(__xludf.DUMMYFUNCTION("""COMPUTED_VALUE"""),1.0)</f>
        <v>1</v>
      </c>
      <c r="P29" s="11" t="s">
        <v>430</v>
      </c>
      <c r="Q29" s="11"/>
      <c r="R29" s="11"/>
      <c r="S29" s="11"/>
      <c r="T29" s="11"/>
      <c r="U29" s="11"/>
      <c r="V29" s="11" t="s">
        <v>431</v>
      </c>
      <c r="W29" s="11"/>
      <c r="X29" s="11"/>
      <c r="Y29" s="11"/>
      <c r="Z29" s="11"/>
      <c r="AA29" s="11"/>
      <c r="AB29" s="11" t="s">
        <v>431</v>
      </c>
      <c r="AC29" s="11"/>
      <c r="AD29" s="11"/>
      <c r="AE29" s="11"/>
      <c r="AF29" s="11"/>
      <c r="AG29" s="11"/>
      <c r="AH29" s="11" t="s">
        <v>431</v>
      </c>
      <c r="AI29" s="11"/>
      <c r="AJ29" s="11">
        <f>IFERROR(__xludf.DUMMYFUNCTION("""COMPUTED_VALUE"""),28.0)</f>
        <v>28</v>
      </c>
      <c r="AK29" s="11" t="str">
        <f>IFERROR(__xludf.DUMMYFUNCTION("""COMPUTED_VALUE"""),"AE 8086 UT")</f>
        <v>AE 8086 UT</v>
      </c>
      <c r="AL29" s="11" t="str">
        <f>IFERROR(__xludf.DUMMYFUNCTION("""COMPUTED_VALUE"""),"TLPG TJ PERAK")</f>
        <v>TLPG TJ PERAK</v>
      </c>
      <c r="AM29" s="11">
        <f>IFERROR(__xludf.DUMMYFUNCTION("""COMPUTED_VALUE"""),5.0)</f>
        <v>5</v>
      </c>
      <c r="AN29" s="11" t="s">
        <v>215</v>
      </c>
      <c r="AO29" s="11"/>
      <c r="AP29" s="11"/>
      <c r="AQ29" s="11"/>
      <c r="AR29" s="11"/>
      <c r="AS29" s="11"/>
      <c r="AT29" s="11" t="s">
        <v>431</v>
      </c>
      <c r="AV29" s="9" t="str">
        <f>'KENDARAAN P1'!A:A</f>
        <v>B 9870 SFV</v>
      </c>
    </row>
    <row r="30">
      <c r="A30" s="13" t="str">
        <f>IFERROR(__xludf.DUMMYFUNCTION("""COMPUTED_VALUE"""),"AD 9838 AB")</f>
        <v>AD 9838 AB</v>
      </c>
      <c r="B30" s="9" t="str">
        <f>IFERROR(__xludf.DUMMYFUNCTION("""COMPUTED_VALUE"""),"TLPG LOMBOK")</f>
        <v>TLPG LOMBOK</v>
      </c>
      <c r="C30" s="11">
        <f>IFERROR(__xludf.DUMMYFUNCTION("""COMPUTED_VALUE"""),2.0)</f>
        <v>2</v>
      </c>
      <c r="D30" s="12">
        <v>2.0</v>
      </c>
      <c r="E30" s="34" t="s">
        <v>44</v>
      </c>
      <c r="F30" s="17"/>
      <c r="G30" s="14">
        <v>29.0</v>
      </c>
      <c r="H30" s="17" t="str">
        <f>IFERROR(__xludf.DUMMYFUNCTION("""COMPUTED_VALUE"""),"AD 9780 AB")</f>
        <v>AD 9780 AB</v>
      </c>
      <c r="I30" s="17" t="str">
        <f>IFERROR(__xludf.DUMMYFUNCTION("""COMPUTED_VALUE"""),"TLPG LOMBOK")</f>
        <v>TLPG LOMBOK</v>
      </c>
      <c r="J30" s="17">
        <f>IFERROR(__xludf.DUMMYFUNCTION("""COMPUTED_VALUE"""),2.0)</f>
        <v>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V30" s="9" t="str">
        <f>'KENDARAAN P1'!A:A</f>
        <v>B 9113 SEI</v>
      </c>
    </row>
    <row r="31">
      <c r="A31" s="13" t="str">
        <f>IFERROR(__xludf.DUMMYFUNCTION("""COMPUTED_VALUE"""),"AD 9877 AB")</f>
        <v>AD 9877 AB</v>
      </c>
      <c r="B31" s="9" t="str">
        <f>IFERROR(__xludf.DUMMYFUNCTION("""COMPUTED_VALUE"""),"TLPG LOMBOK")</f>
        <v>TLPG LOMBOK</v>
      </c>
      <c r="C31" s="11">
        <f>IFERROR(__xludf.DUMMYFUNCTION("""COMPUTED_VALUE"""),2.0)</f>
        <v>2</v>
      </c>
      <c r="D31" s="12">
        <v>2.0</v>
      </c>
      <c r="E31" s="34" t="s">
        <v>44</v>
      </c>
      <c r="F31" s="17"/>
      <c r="G31" s="14">
        <v>30.0</v>
      </c>
      <c r="H31" s="17" t="str">
        <f>IFERROR(__xludf.DUMMYFUNCTION("""COMPUTED_VALUE"""),"AE 8458 UF")</f>
        <v>AE 8458 UF</v>
      </c>
      <c r="I31" s="17" t="str">
        <f>IFERROR(__xludf.DUMMYFUNCTION("""COMPUTED_VALUE"""),"TLPG TJ PERAK")</f>
        <v>TLPG TJ PERAK</v>
      </c>
      <c r="J31" s="17">
        <f>IFERROR(__xludf.DUMMYFUNCTION("""COMPUTED_VALUE"""),2.0)</f>
        <v>2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V31" s="9" t="str">
        <f>'KENDARAAN P1'!A:A</f>
        <v>B 9868 SFV</v>
      </c>
    </row>
    <row r="32">
      <c r="A32" s="13" t="str">
        <f>IFERROR(__xludf.DUMMYFUNCTION("""COMPUTED_VALUE"""),"AE 8845 UT")</f>
        <v>AE 8845 UT</v>
      </c>
      <c r="B32" s="9" t="str">
        <f>IFERROR(__xludf.DUMMYFUNCTION("""COMPUTED_VALUE"""),"TLPG TJ PERAK")</f>
        <v>TLPG TJ PERAK</v>
      </c>
      <c r="C32" s="11">
        <f>IFERROR(__xludf.DUMMYFUNCTION("""COMPUTED_VALUE"""),2.0)</f>
        <v>2</v>
      </c>
      <c r="D32" s="12">
        <v>2.0</v>
      </c>
      <c r="E32" s="39" t="s">
        <v>215</v>
      </c>
      <c r="F32" s="17"/>
      <c r="G32" s="14">
        <v>31.0</v>
      </c>
      <c r="H32" s="17" t="str">
        <f>IFERROR(__xludf.DUMMYFUNCTION("""COMPUTED_VALUE"""),"AE 8459 UF")</f>
        <v>AE 8459 UF</v>
      </c>
      <c r="I32" s="17" t="str">
        <f>IFERROR(__xludf.DUMMYFUNCTION("""COMPUTED_VALUE"""),"TLPG TJ PERAK")</f>
        <v>TLPG TJ PERAK</v>
      </c>
      <c r="J32" s="17">
        <f>IFERROR(__xludf.DUMMYFUNCTION("""COMPUTED_VALUE"""),2.0)</f>
        <v>2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V32" s="9" t="str">
        <f>'KENDARAAN P1'!A:A</f>
        <v>B 9871 SFV</v>
      </c>
    </row>
    <row r="33">
      <c r="A33" s="13" t="str">
        <f>IFERROR(__xludf.DUMMYFUNCTION("""COMPUTED_VALUE"""),"AE 8846 UT")</f>
        <v>AE 8846 UT</v>
      </c>
      <c r="B33" s="9" t="str">
        <f>IFERROR(__xludf.DUMMYFUNCTION("""COMPUTED_VALUE"""),"TLPG TJ PERAK")</f>
        <v>TLPG TJ PERAK</v>
      </c>
      <c r="C33" s="11">
        <f>IFERROR(__xludf.DUMMYFUNCTION("""COMPUTED_VALUE"""),2.0)</f>
        <v>2</v>
      </c>
      <c r="D33" s="12">
        <v>2.0</v>
      </c>
      <c r="E33" s="39" t="s">
        <v>215</v>
      </c>
      <c r="F33" s="17"/>
      <c r="G33" s="14">
        <v>32.0</v>
      </c>
      <c r="H33" s="17" t="str">
        <f>IFERROR(__xludf.DUMMYFUNCTION("""COMPUTED_VALUE"""),"AE 8835 UQ")</f>
        <v>AE 8835 UQ</v>
      </c>
      <c r="I33" s="17" t="str">
        <f>IFERROR(__xludf.DUMMYFUNCTION("""COMPUTED_VALUE"""),"TLPG TJ PERAK")</f>
        <v>TLPG TJ PERAK</v>
      </c>
      <c r="J33" s="17">
        <f>IFERROR(__xludf.DUMMYFUNCTION("""COMPUTED_VALUE"""),2.0)</f>
        <v>2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V33" s="9" t="str">
        <f>'KENDARAAN P1'!A:A</f>
        <v>L 9828 UJ</v>
      </c>
    </row>
    <row r="34">
      <c r="A34" s="13" t="str">
        <f>IFERROR(__xludf.DUMMYFUNCTION("""COMPUTED_VALUE"""),"AE 8857 UT")</f>
        <v>AE 8857 UT</v>
      </c>
      <c r="B34" s="9" t="str">
        <f>IFERROR(__xludf.DUMMYFUNCTION("""COMPUTED_VALUE"""),"TLPG TJ PERAK")</f>
        <v>TLPG TJ PERAK</v>
      </c>
      <c r="C34" s="11">
        <f>IFERROR(__xludf.DUMMYFUNCTION("""COMPUTED_VALUE"""),2.0)</f>
        <v>2</v>
      </c>
      <c r="D34" s="12">
        <v>2.0</v>
      </c>
      <c r="E34" s="39" t="s">
        <v>215</v>
      </c>
      <c r="F34" s="17"/>
      <c r="G34" s="14">
        <v>33.0</v>
      </c>
      <c r="H34" s="17" t="str">
        <f>IFERROR(__xludf.DUMMYFUNCTION("""COMPUTED_VALUE"""),"AG 9876 RK")</f>
        <v>AG 9876 RK</v>
      </c>
      <c r="I34" s="17" t="str">
        <f>IFERROR(__xludf.DUMMYFUNCTION("""COMPUTED_VALUE"""),"TLPG MEM GRESIK")</f>
        <v>TLPG MEM GRESIK</v>
      </c>
      <c r="J34" s="17">
        <f>IFERROR(__xludf.DUMMYFUNCTION("""COMPUTED_VALUE"""),2.0)</f>
        <v>2</v>
      </c>
      <c r="L34" s="11" t="str">
        <f>IFERROR(__xludf.DUMMYFUNCTION("{""NO"",""DATA BARU"",""TERMINAL"",""PC"";{SEQUENCE(COUNTIF($D$2:$D23550,7)),FILTER($A$2:$A23550,$D$2:$D23550=7),FILTER($B$2:$B23550,$D$2:$D23550=7),FILTER($D$2:$D23550,$D$2:$D23550=7)}}"),"NO")</f>
        <v>NO</v>
      </c>
      <c r="M34" s="11" t="str">
        <f>IFERROR(__xludf.DUMMYFUNCTION("""COMPUTED_VALUE"""),"DATA BARU")</f>
        <v>DATA BARU</v>
      </c>
      <c r="N34" s="11" t="str">
        <f>IFERROR(__xludf.DUMMYFUNCTION("""COMPUTED_VALUE"""),"TERMINAL")</f>
        <v>TERMINAL</v>
      </c>
      <c r="O34" s="11" t="str">
        <f>IFERROR(__xludf.DUMMYFUNCTION("""COMPUTED_VALUE"""),"PC")</f>
        <v>PC</v>
      </c>
      <c r="P34" s="14" t="s">
        <v>21</v>
      </c>
      <c r="Q34" s="11"/>
      <c r="R34" s="11" t="str">
        <f>IFERROR(__xludf.DUMMYFUNCTION("{""NO"",""DATA BARU"",""TERMINAL"",""PC"";{SEQUENCE(COUNTIF($D$2:$D23550,8)),FILTER($A$2:$A23550,$D$2:$D23550=8),FILTER($B$2:$B23550,$D$2:$D23550=8),FILTER($D$2:$D23550,$D$2:$D23550=8)}}"),"NO")</f>
        <v>NO</v>
      </c>
      <c r="S34" s="11" t="str">
        <f>IFERROR(__xludf.DUMMYFUNCTION("""COMPUTED_VALUE"""),"DATA BARU")</f>
        <v>DATA BARU</v>
      </c>
      <c r="T34" s="11" t="str">
        <f>IFERROR(__xludf.DUMMYFUNCTION("""COMPUTED_VALUE"""),"TERMINAL")</f>
        <v>TERMINAL</v>
      </c>
      <c r="U34" s="11" t="str">
        <f>IFERROR(__xludf.DUMMYFUNCTION("""COMPUTED_VALUE"""),"PC")</f>
        <v>PC</v>
      </c>
      <c r="V34" s="14" t="s">
        <v>21</v>
      </c>
      <c r="W34" s="11"/>
      <c r="X34" s="11" t="str">
        <f>IFERROR(__xludf.DUMMYFUNCTION("{""NO"",""DATA BARU"",""TERMINAL"",""PC"";{SEQUENCE(COUNTIF($D$2:$D23550,9)),FILTER($A$2:$A23550,$D$2:$D23550=9),FILTER($B$2:$B23550,$D$2:$D23550=9),FILTER($D$2:$D23550,$D$2:$D23550=9)}}"),"NO")</f>
        <v>NO</v>
      </c>
      <c r="Y34" s="11" t="str">
        <f>IFERROR(__xludf.DUMMYFUNCTION("""COMPUTED_VALUE"""),"DATA BARU")</f>
        <v>DATA BARU</v>
      </c>
      <c r="Z34" s="11" t="str">
        <f>IFERROR(__xludf.DUMMYFUNCTION("""COMPUTED_VALUE"""),"TERMINAL")</f>
        <v>TERMINAL</v>
      </c>
      <c r="AA34" s="11" t="str">
        <f>IFERROR(__xludf.DUMMYFUNCTION("""COMPUTED_VALUE"""),"PC")</f>
        <v>PC</v>
      </c>
      <c r="AB34" s="14" t="s">
        <v>21</v>
      </c>
      <c r="AC34" s="11"/>
      <c r="AD34" s="11" t="str">
        <f>IFERROR(__xludf.DUMMYFUNCTION("{""NO"",""DATA BARU"",""TERMINAL"",""PC"";{SEQUENCE(COUNTIF($D$2:$D23550,10)),FILTER($A$2:$A23550,$D$2:$D23550=10),FILTER($B$2:$B23550,$D$2:$D23550=10),FILTER($D$2:$D23550,$D$2:$D23550=10)}}"),"NO")</f>
        <v>NO</v>
      </c>
      <c r="AE34" s="11" t="str">
        <f>IFERROR(__xludf.DUMMYFUNCTION("""COMPUTED_VALUE"""),"DATA BARU")</f>
        <v>DATA BARU</v>
      </c>
      <c r="AF34" s="11" t="str">
        <f>IFERROR(__xludf.DUMMYFUNCTION("""COMPUTED_VALUE"""),"TERMINAL")</f>
        <v>TERMINAL</v>
      </c>
      <c r="AG34" s="11" t="str">
        <f>IFERROR(__xludf.DUMMYFUNCTION("""COMPUTED_VALUE"""),"PC")</f>
        <v>PC</v>
      </c>
      <c r="AH34" s="14" t="s">
        <v>21</v>
      </c>
      <c r="AI34" s="11"/>
      <c r="AJ34" s="11" t="str">
        <f>IFERROR(__xludf.DUMMYFUNCTION("{""NO"",""DATA BARU"",""TERMINAL"",""PC"";{SEQUENCE(COUNTIF($D$2:$D23550,11)),FILTER($A$2:$A23550,$D$2:$D23550=11),FILTER($B$2:$B23550,$D$2:$D23550=11),FILTER($D$2:$D23550,$D$2:$D23550=11)}}"),"NO")</f>
        <v>NO</v>
      </c>
      <c r="AK34" s="11" t="str">
        <f>IFERROR(__xludf.DUMMYFUNCTION("""COMPUTED_VALUE"""),"DATA BARU")</f>
        <v>DATA BARU</v>
      </c>
      <c r="AL34" s="11" t="str">
        <f>IFERROR(__xludf.DUMMYFUNCTION("""COMPUTED_VALUE"""),"TERMINAL")</f>
        <v>TERMINAL</v>
      </c>
      <c r="AM34" s="11" t="str">
        <f>IFERROR(__xludf.DUMMYFUNCTION("""COMPUTED_VALUE"""),"PC")</f>
        <v>PC</v>
      </c>
      <c r="AN34" s="14" t="s">
        <v>21</v>
      </c>
      <c r="AO34" s="11"/>
      <c r="AP34" s="11" t="str">
        <f>IFERROR(__xludf.DUMMYFUNCTION("{""NO"",""DATA BARU"",""TERMINAL"",""PC"";{SEQUENCE(COUNTIF($D$2:$D23550,12)),FILTER($A$2:$A23550,$D$2:$D23550=12),FILTER($B$2:$B23550,$D$2:$D23550=12),FILTER($D$2:$D23550,$D$2:$D23550=12)}}"),"NO")</f>
        <v>NO</v>
      </c>
      <c r="AQ34" s="11" t="str">
        <f>IFERROR(__xludf.DUMMYFUNCTION("""COMPUTED_VALUE"""),"DATA BARU")</f>
        <v>DATA BARU</v>
      </c>
      <c r="AR34" s="11" t="str">
        <f>IFERROR(__xludf.DUMMYFUNCTION("""COMPUTED_VALUE"""),"TERMINAL")</f>
        <v>TERMINAL</v>
      </c>
      <c r="AS34" s="11" t="str">
        <f>IFERROR(__xludf.DUMMYFUNCTION("""COMPUTED_VALUE"""),"PC")</f>
        <v>PC</v>
      </c>
      <c r="AT34" s="14" t="s">
        <v>21</v>
      </c>
      <c r="AV34" s="9" t="str">
        <f>'KENDARAAN P1'!A:A</f>
        <v>B 9872 SFV</v>
      </c>
    </row>
    <row r="35">
      <c r="A35" s="13" t="str">
        <f>IFERROR(__xludf.DUMMYFUNCTION("""COMPUTED_VALUE"""),"AE 9401 UJ")</f>
        <v>AE 9401 UJ</v>
      </c>
      <c r="B35" s="9" t="str">
        <f>IFERROR(__xludf.DUMMYFUNCTION("""COMPUTED_VALUE"""),"TLPG TJ PERAK")</f>
        <v>TLPG TJ PERAK</v>
      </c>
      <c r="C35" s="11">
        <f>IFERROR(__xludf.DUMMYFUNCTION("""COMPUTED_VALUE"""),2.0)</f>
        <v>2</v>
      </c>
      <c r="D35" s="12">
        <v>2.0</v>
      </c>
      <c r="E35" s="34" t="s">
        <v>266</v>
      </c>
      <c r="F35" s="17"/>
      <c r="G35" s="14">
        <v>34.0</v>
      </c>
      <c r="H35" s="17" t="str">
        <f>IFERROR(__xludf.DUMMYFUNCTION("""COMPUTED_VALUE"""),"AD 9838 AB")</f>
        <v>AD 9838 AB</v>
      </c>
      <c r="I35" s="17" t="str">
        <f>IFERROR(__xludf.DUMMYFUNCTION("""COMPUTED_VALUE"""),"TLPG LOMBOK")</f>
        <v>TLPG LOMBOK</v>
      </c>
      <c r="J35" s="17">
        <f>IFERROR(__xludf.DUMMYFUNCTION("""COMPUTED_VALUE"""),2.0)</f>
        <v>2</v>
      </c>
      <c r="L35" s="11">
        <f>IFERROR(__xludf.DUMMYFUNCTION("""COMPUTED_VALUE"""),1.0)</f>
        <v>1</v>
      </c>
      <c r="M35" s="11" t="str">
        <f>IFERROR(__xludf.DUMMYFUNCTION("""COMPUTED_VALUE"""),"N 8083 UQ")</f>
        <v>N 8083 UQ</v>
      </c>
      <c r="N35" s="11" t="str">
        <f>IFERROR(__xludf.DUMMYFUNCTION("""COMPUTED_VALUE"""),"TLPG TJ PERAK")</f>
        <v>TLPG TJ PERAK</v>
      </c>
      <c r="O35" s="11">
        <f>IFERROR(__xludf.DUMMYFUNCTION("""COMPUTED_VALUE"""),7.0)</f>
        <v>7</v>
      </c>
      <c r="P35" s="11" t="str">
        <f t="array" ref="P35:P63">IF(M35:M63="","",IFERROR(VLOOKUP(M35:M63,$A$2:$E23550,5,FALSE),"Data Company Belum Ada"))</f>
        <v>PT BHUMI PERMATA INDAH</v>
      </c>
      <c r="Q35" s="11"/>
      <c r="R35" s="11">
        <f>IFERROR(__xludf.DUMMYFUNCTION("""COMPUTED_VALUE"""),1.0)</f>
        <v>1</v>
      </c>
      <c r="S35" s="11" t="str">
        <f>IFERROR(__xludf.DUMMYFUNCTION("""COMPUTED_VALUE"""),"L 8088 UO")</f>
        <v>L 8088 UO</v>
      </c>
      <c r="T35" s="11" t="str">
        <f>IFERROR(__xludf.DUMMYFUNCTION("""COMPUTED_VALUE"""),"TLPG MEM GRESIK")</f>
        <v>TLPG MEM GRESIK</v>
      </c>
      <c r="U35" s="11">
        <f>IFERROR(__xludf.DUMMYFUNCTION("""COMPUTED_VALUE"""),8.0)</f>
        <v>8</v>
      </c>
      <c r="V35" s="11" t="str">
        <f t="array" ref="V35:V63">IF(S35:S63="","",IFERROR(VLOOKUP(S35:S63,$A$2:$E23550,5,FALSE),"Data Company Belum Ada"))</f>
        <v>PT PATRA NIAGA</v>
      </c>
      <c r="W35" s="11"/>
      <c r="X35" s="11">
        <f>IFERROR(__xludf.DUMMYFUNCTION("""COMPUTED_VALUE"""),1.0)</f>
        <v>1</v>
      </c>
      <c r="Y35" s="11" t="str">
        <f>IFERROR(__xludf.DUMMYFUNCTION("""COMPUTED_VALUE"""),"L 8088 UR")</f>
        <v>L 8088 UR</v>
      </c>
      <c r="Z35" s="11" t="str">
        <f>IFERROR(__xludf.DUMMYFUNCTION("""COMPUTED_VALUE"""),"TLPG MEM GRESIK")</f>
        <v>TLPG MEM GRESIK</v>
      </c>
      <c r="AA35" s="11">
        <f>IFERROR(__xludf.DUMMYFUNCTION("""COMPUTED_VALUE"""),9.0)</f>
        <v>9</v>
      </c>
      <c r="AB35" s="11" t="str">
        <f t="array" ref="AB35:AB63">IF(Y35:Y63="","",IFERROR(VLOOKUP(Y35:Y63,$A$2:$E23550,5,FALSE),"Data Company Belum Ada"))</f>
        <v>PT PATRA NIAGA</v>
      </c>
      <c r="AC35" s="11"/>
      <c r="AD35" s="11">
        <f>IFERROR(__xludf.DUMMYFUNCTION("""COMPUTED_VALUE"""),1.0)</f>
        <v>1</v>
      </c>
      <c r="AE35" s="11" t="str">
        <f>IFERROR(__xludf.DUMMYFUNCTION("""COMPUTED_VALUE"""),"P 8427 UG")</f>
        <v>P 8427 UG</v>
      </c>
      <c r="AF35" s="11" t="str">
        <f>IFERROR(__xludf.DUMMYFUNCTION("""COMPUTED_VALUE"""),"TLPG TJ WANGI")</f>
        <v>TLPG TJ WANGI</v>
      </c>
      <c r="AG35" s="11">
        <f>IFERROR(__xludf.DUMMYFUNCTION("""COMPUTED_VALUE"""),10.0)</f>
        <v>10</v>
      </c>
      <c r="AH35" s="11" t="str">
        <f t="array" ref="AH35:AH63">IF(AE35:AE63="","",IFERROR(VLOOKUP(AE35:AE63,$A$2:$E23550,5,FALSE),"Data Company Belum Ada"))</f>
        <v>PT BUMI GASINDO RAYA</v>
      </c>
      <c r="AI35" s="11"/>
      <c r="AJ35" s="11">
        <f>IFERROR(__xludf.DUMMYFUNCTION("""COMPUTED_VALUE"""),1.0)</f>
        <v>1</v>
      </c>
      <c r="AK35" s="11" t="str">
        <f>IFERROR(__xludf.DUMMYFUNCTION("""COMPUTED_VALUE"""),"S 8316 AI")</f>
        <v>S 8316 AI</v>
      </c>
      <c r="AL35" s="11" t="str">
        <f>IFERROR(__xludf.DUMMYFUNCTION("""COMPUTED_VALUE"""),"TLPG TJ PERAK")</f>
        <v>TLPG TJ PERAK</v>
      </c>
      <c r="AM35" s="11">
        <f>IFERROR(__xludf.DUMMYFUNCTION("""COMPUTED_VALUE"""),11.0)</f>
        <v>11</v>
      </c>
      <c r="AN35" s="11" t="str">
        <f t="array" ref="AN35:AN63">IF(AK35:AK63="","",IFERROR(VLOOKUP(AK35:AK63,$A$2:$E23550,5,FALSE),"Data Company Belum Ada"))</f>
        <v>PT SWARNA BINA UTAMA</v>
      </c>
      <c r="AO35" s="11"/>
      <c r="AP35" s="11">
        <f>IFERROR(__xludf.DUMMYFUNCTION("""COMPUTED_VALUE"""),1.0)</f>
        <v>1</v>
      </c>
      <c r="AQ35" s="11" t="str">
        <f>IFERROR(__xludf.DUMMYFUNCTION("""COMPUTED_VALUE"""),"DR 8481 KO")</f>
        <v>DR 8481 KO</v>
      </c>
      <c r="AR35" s="11" t="str">
        <f>IFERROR(__xludf.DUMMYFUNCTION("""COMPUTED_VALUE"""),"TLPG LOMBOK")</f>
        <v>TLPG LOMBOK</v>
      </c>
      <c r="AS35" s="11">
        <f>IFERROR(__xludf.DUMMYFUNCTION("""COMPUTED_VALUE"""),12.0)</f>
        <v>12</v>
      </c>
      <c r="AT35" s="11" t="str">
        <f t="array" ref="AT35:AT63">IF(AQ35:AQ63="","",IFERROR(VLOOKUP(AQ35:AQ63,$A$2:$E23550,5,FALSE),"Data Company Belum Ada"))</f>
        <v>Data Company Belum Ada</v>
      </c>
      <c r="AV35" s="9" t="str">
        <f>'KENDARAAN P1'!A:A</f>
        <v>B 9070 SEJ</v>
      </c>
    </row>
    <row r="36">
      <c r="A36" s="13" t="str">
        <f>IFERROR(__xludf.DUMMYFUNCTION("""COMPUTED_VALUE"""),"AE 8828 UQ")</f>
        <v>AE 8828 UQ</v>
      </c>
      <c r="B36" s="9" t="str">
        <f>IFERROR(__xludf.DUMMYFUNCTION("""COMPUTED_VALUE"""),"TLPG TJ PERAK")</f>
        <v>TLPG TJ PERAK</v>
      </c>
      <c r="C36" s="11">
        <f>IFERROR(__xludf.DUMMYFUNCTION("""COMPUTED_VALUE"""),2.0)</f>
        <v>2</v>
      </c>
      <c r="D36" s="12">
        <v>2.0</v>
      </c>
      <c r="E36" s="34" t="s">
        <v>152</v>
      </c>
      <c r="F36" s="17"/>
      <c r="G36" s="14">
        <v>35.0</v>
      </c>
      <c r="H36" s="17" t="str">
        <f>IFERROR(__xludf.DUMMYFUNCTION("""COMPUTED_VALUE"""),"AD 9877 AB")</f>
        <v>AD 9877 AB</v>
      </c>
      <c r="I36" s="17" t="str">
        <f>IFERROR(__xludf.DUMMYFUNCTION("""COMPUTED_VALUE"""),"TLPG LOMBOK")</f>
        <v>TLPG LOMBOK</v>
      </c>
      <c r="J36" s="17">
        <f>IFERROR(__xludf.DUMMYFUNCTION("""COMPUTED_VALUE"""),2.0)</f>
        <v>2</v>
      </c>
      <c r="L36" s="11">
        <f>IFERROR(__xludf.DUMMYFUNCTION("""COMPUTED_VALUE"""),2.0)</f>
        <v>2</v>
      </c>
      <c r="M36" s="11" t="str">
        <f>IFERROR(__xludf.DUMMYFUNCTION("""COMPUTED_VALUE"""),"DR 8527 KC")</f>
        <v>DR 8527 KC</v>
      </c>
      <c r="N36" s="11" t="str">
        <f>IFERROR(__xludf.DUMMYFUNCTION("""COMPUTED_VALUE"""),"TLPG LOMBOK")</f>
        <v>TLPG LOMBOK</v>
      </c>
      <c r="O36" s="11">
        <f>IFERROR(__xludf.DUMMYFUNCTION("""COMPUTED_VALUE"""),7.0)</f>
        <v>7</v>
      </c>
      <c r="P36" s="11" t="s">
        <v>385</v>
      </c>
      <c r="Q36" s="11"/>
      <c r="R36" s="11">
        <f>IFERROR(__xludf.DUMMYFUNCTION("""COMPUTED_VALUE"""),2.0)</f>
        <v>2</v>
      </c>
      <c r="S36" s="11" t="str">
        <f>IFERROR(__xludf.DUMMYFUNCTION("""COMPUTED_VALUE"""),"L 8303 UDD")</f>
        <v>L 8303 UDD</v>
      </c>
      <c r="T36" s="11" t="str">
        <f>IFERROR(__xludf.DUMMYFUNCTION("""COMPUTED_VALUE"""),"TLPG MEM GRESIK")</f>
        <v>TLPG MEM GRESIK</v>
      </c>
      <c r="U36" s="11">
        <f>IFERROR(__xludf.DUMMYFUNCTION("""COMPUTED_VALUE"""),8.0)</f>
        <v>8</v>
      </c>
      <c r="V36" s="11" t="s">
        <v>442</v>
      </c>
      <c r="W36" s="11"/>
      <c r="X36" s="11">
        <f>IFERROR(__xludf.DUMMYFUNCTION("""COMPUTED_VALUE"""),2.0)</f>
        <v>2</v>
      </c>
      <c r="Y36" s="11" t="str">
        <f>IFERROR(__xludf.DUMMYFUNCTION("""COMPUTED_VALUE"""),"M 9489 UN")</f>
        <v>M 9489 UN</v>
      </c>
      <c r="Z36" s="11" t="str">
        <f>IFERROR(__xludf.DUMMYFUNCTION("""COMPUTED_VALUE"""),"TLPG TJ PERAK")</f>
        <v>TLPG TJ PERAK</v>
      </c>
      <c r="AA36" s="11">
        <f>IFERROR(__xludf.DUMMYFUNCTION("""COMPUTED_VALUE"""),9.0)</f>
        <v>9</v>
      </c>
      <c r="AB36" s="11" t="s">
        <v>443</v>
      </c>
      <c r="AC36" s="11"/>
      <c r="AD36" s="11">
        <f>IFERROR(__xludf.DUMMYFUNCTION("""COMPUTED_VALUE"""),2.0)</f>
        <v>2</v>
      </c>
      <c r="AE36" s="11" t="str">
        <f>IFERROR(__xludf.DUMMYFUNCTION("""COMPUTED_VALUE"""),"P 8436 UA")</f>
        <v>P 8436 UA</v>
      </c>
      <c r="AF36" s="11" t="str">
        <f>IFERROR(__xludf.DUMMYFUNCTION("""COMPUTED_VALUE"""),"TLPG TJ WANGI")</f>
        <v>TLPG TJ WANGI</v>
      </c>
      <c r="AG36" s="11">
        <f>IFERROR(__xludf.DUMMYFUNCTION("""COMPUTED_VALUE"""),10.0)</f>
        <v>10</v>
      </c>
      <c r="AH36" s="11" t="s">
        <v>444</v>
      </c>
      <c r="AI36" s="11"/>
      <c r="AJ36" s="11">
        <f>IFERROR(__xludf.DUMMYFUNCTION("""COMPUTED_VALUE"""),2.0)</f>
        <v>2</v>
      </c>
      <c r="AK36" s="11" t="str">
        <f>IFERROR(__xludf.DUMMYFUNCTION("""COMPUTED_VALUE"""),"DR 8751 AF")</f>
        <v>DR 8751 AF</v>
      </c>
      <c r="AL36" s="11" t="str">
        <f>IFERROR(__xludf.DUMMYFUNCTION("""COMPUTED_VALUE"""),"TLPG LOMBOK")</f>
        <v>TLPG LOMBOK</v>
      </c>
      <c r="AM36" s="11">
        <f>IFERROR(__xludf.DUMMYFUNCTION("""COMPUTED_VALUE"""),11.0)</f>
        <v>11</v>
      </c>
      <c r="AN36" s="11" t="s">
        <v>445</v>
      </c>
      <c r="AO36" s="11"/>
      <c r="AP36" s="11">
        <f>IFERROR(__xludf.DUMMYFUNCTION("""COMPUTED_VALUE"""),2.0)</f>
        <v>2</v>
      </c>
      <c r="AQ36" s="11" t="str">
        <f>IFERROR(__xludf.DUMMYFUNCTION("""COMPUTED_VALUE"""),"DK 8588 OL")</f>
        <v>DK 8588 OL</v>
      </c>
      <c r="AR36" s="11" t="str">
        <f>IFERROR(__xludf.DUMMYFUNCTION("""COMPUTED_VALUE"""),"TLPG MANGGIS")</f>
        <v>TLPG MANGGIS</v>
      </c>
      <c r="AS36" s="11">
        <f>IFERROR(__xludf.DUMMYFUNCTION("""COMPUTED_VALUE"""),12.0)</f>
        <v>12</v>
      </c>
      <c r="AT36" s="11" t="s">
        <v>446</v>
      </c>
      <c r="AV36" s="9" t="str">
        <f>'KENDARAAN P1'!A:A</f>
        <v>B 9069 SEJ</v>
      </c>
    </row>
    <row r="37">
      <c r="A37" s="13" t="str">
        <f>IFERROR(__xludf.DUMMYFUNCTION("""COMPUTED_VALUE"""),"AE 9634 UJ")</f>
        <v>AE 9634 UJ</v>
      </c>
      <c r="B37" s="9" t="str">
        <f>IFERROR(__xludf.DUMMYFUNCTION("""COMPUTED_VALUE"""),"TLPG TJ PERAK")</f>
        <v>TLPG TJ PERAK</v>
      </c>
      <c r="C37" s="11">
        <f>IFERROR(__xludf.DUMMYFUNCTION("""COMPUTED_VALUE"""),2.0)</f>
        <v>2</v>
      </c>
      <c r="D37" s="12">
        <v>2.0</v>
      </c>
      <c r="E37" s="34" t="s">
        <v>302</v>
      </c>
      <c r="F37" s="17"/>
      <c r="G37" s="14">
        <v>36.0</v>
      </c>
      <c r="H37" s="17" t="str">
        <f>IFERROR(__xludf.DUMMYFUNCTION("""COMPUTED_VALUE"""),"AE 8845 UT")</f>
        <v>AE 8845 UT</v>
      </c>
      <c r="I37" s="17" t="str">
        <f>IFERROR(__xludf.DUMMYFUNCTION("""COMPUTED_VALUE"""),"TLPG TJ PERAK")</f>
        <v>TLPG TJ PERAK</v>
      </c>
      <c r="J37" s="17">
        <f>IFERROR(__xludf.DUMMYFUNCTION("""COMPUTED_VALUE"""),2.0)</f>
        <v>2</v>
      </c>
      <c r="L37" s="11">
        <f>IFERROR(__xludf.DUMMYFUNCTION("""COMPUTED_VALUE"""),3.0)</f>
        <v>3</v>
      </c>
      <c r="M37" s="11" t="str">
        <f>IFERROR(__xludf.DUMMYFUNCTION("""COMPUTED_VALUE"""),"L 8088 UZ")</f>
        <v>L 8088 UZ</v>
      </c>
      <c r="N37" s="11" t="str">
        <f>IFERROR(__xludf.DUMMYFUNCTION("""COMPUTED_VALUE"""),"TLPG MEM GRESIK")</f>
        <v>TLPG MEM GRESIK</v>
      </c>
      <c r="O37" s="11">
        <f>IFERROR(__xludf.DUMMYFUNCTION("""COMPUTED_VALUE"""),7.0)</f>
        <v>7</v>
      </c>
      <c r="P37" s="11" t="s">
        <v>83</v>
      </c>
      <c r="Q37" s="11"/>
      <c r="R37" s="11">
        <f>IFERROR(__xludf.DUMMYFUNCTION("""COMPUTED_VALUE"""),3.0)</f>
        <v>3</v>
      </c>
      <c r="S37" s="11" t="str">
        <f>IFERROR(__xludf.DUMMYFUNCTION("""COMPUTED_VALUE"""),"L 9552 UW")</f>
        <v>L 9552 UW</v>
      </c>
      <c r="T37" s="11" t="str">
        <f>IFERROR(__xludf.DUMMYFUNCTION("""COMPUTED_VALUE"""),"TLPG MEM GRESIK")</f>
        <v>TLPG MEM GRESIK</v>
      </c>
      <c r="U37" s="11">
        <f>IFERROR(__xludf.DUMMYFUNCTION("""COMPUTED_VALUE"""),8.0)</f>
        <v>8</v>
      </c>
      <c r="V37" s="11" t="s">
        <v>226</v>
      </c>
      <c r="W37" s="11"/>
      <c r="X37" s="11">
        <f>IFERROR(__xludf.DUMMYFUNCTION("""COMPUTED_VALUE"""),3.0)</f>
        <v>3</v>
      </c>
      <c r="Y37" s="11" t="str">
        <f>IFERROR(__xludf.DUMMYFUNCTION("""COMPUTED_VALUE"""),"M 9715 UA")</f>
        <v>M 9715 UA</v>
      </c>
      <c r="Z37" s="11" t="str">
        <f>IFERROR(__xludf.DUMMYFUNCTION("""COMPUTED_VALUE"""),"TLPG TJ PERAK")</f>
        <v>TLPG TJ PERAK</v>
      </c>
      <c r="AA37" s="11">
        <f>IFERROR(__xludf.DUMMYFUNCTION("""COMPUTED_VALUE"""),9.0)</f>
        <v>9</v>
      </c>
      <c r="AB37" s="11" t="s">
        <v>448</v>
      </c>
      <c r="AC37" s="11"/>
      <c r="AD37" s="11">
        <f>IFERROR(__xludf.DUMMYFUNCTION("""COMPUTED_VALUE"""),3.0)</f>
        <v>3</v>
      </c>
      <c r="AE37" s="11" t="str">
        <f>IFERROR(__xludf.DUMMYFUNCTION("""COMPUTED_VALUE"""),"AG 8056 OA")</f>
        <v>AG 8056 OA</v>
      </c>
      <c r="AF37" s="11" t="str">
        <f>IFERROR(__xludf.DUMMYFUNCTION("""COMPUTED_VALUE"""),"TLPG TJ PERAK")</f>
        <v>TLPG TJ PERAK</v>
      </c>
      <c r="AG37" s="11">
        <f>IFERROR(__xludf.DUMMYFUNCTION("""COMPUTED_VALUE"""),10.0)</f>
        <v>10</v>
      </c>
      <c r="AH37" s="11" t="s">
        <v>450</v>
      </c>
      <c r="AI37" s="11"/>
      <c r="AJ37" s="11">
        <f>IFERROR(__xludf.DUMMYFUNCTION("""COMPUTED_VALUE"""),3.0)</f>
        <v>3</v>
      </c>
      <c r="AK37" s="11" t="str">
        <f>IFERROR(__xludf.DUMMYFUNCTION("""COMPUTED_VALUE"""),"EA 8678 SC")</f>
        <v>EA 8678 SC</v>
      </c>
      <c r="AL37" s="11" t="str">
        <f>IFERROR(__xludf.DUMMYFUNCTION("""COMPUTED_VALUE"""),"TLPG BIMA")</f>
        <v>TLPG BIMA</v>
      </c>
      <c r="AM37" s="11">
        <f>IFERROR(__xludf.DUMMYFUNCTION("""COMPUTED_VALUE"""),11.0)</f>
        <v>11</v>
      </c>
      <c r="AN37" s="11" t="s">
        <v>184</v>
      </c>
      <c r="AO37" s="11"/>
      <c r="AP37" s="11">
        <f>IFERROR(__xludf.DUMMYFUNCTION("""COMPUTED_VALUE"""),3.0)</f>
        <v>3</v>
      </c>
      <c r="AQ37" s="11" t="str">
        <f>IFERROR(__xludf.DUMMYFUNCTION("""COMPUTED_VALUE"""),"DR 8792 KC")</f>
        <v>DR 8792 KC</v>
      </c>
      <c r="AR37" s="11" t="str">
        <f>IFERROR(__xludf.DUMMYFUNCTION("""COMPUTED_VALUE"""),"TLPG LOMBOK")</f>
        <v>TLPG LOMBOK</v>
      </c>
      <c r="AS37" s="11">
        <f>IFERROR(__xludf.DUMMYFUNCTION("""COMPUTED_VALUE"""),12.0)</f>
        <v>12</v>
      </c>
      <c r="AT37" s="11" t="s">
        <v>142</v>
      </c>
      <c r="AV37" s="9" t="str">
        <f>'KENDARAAN P1'!A:A</f>
        <v/>
      </c>
    </row>
    <row r="38">
      <c r="A38" s="13" t="str">
        <f>IFERROR(__xludf.DUMMYFUNCTION("""COMPUTED_VALUE"""),"AG 8016 UC")</f>
        <v>AG 8016 UC</v>
      </c>
      <c r="B38" s="9" t="str">
        <f>IFERROR(__xludf.DUMMYFUNCTION("""COMPUTED_VALUE"""),"TLPG TJ PERAK")</f>
        <v>TLPG TJ PERAK</v>
      </c>
      <c r="C38" s="11">
        <f>IFERROR(__xludf.DUMMYFUNCTION("""COMPUTED_VALUE"""),2.0)</f>
        <v>2</v>
      </c>
      <c r="D38" s="12">
        <v>3.0</v>
      </c>
      <c r="E38" s="39" t="s">
        <v>118</v>
      </c>
      <c r="F38" s="17"/>
      <c r="G38" s="14">
        <v>37.0</v>
      </c>
      <c r="H38" s="17" t="str">
        <f>IFERROR(__xludf.DUMMYFUNCTION("""COMPUTED_VALUE"""),"AE 8846 UT")</f>
        <v>AE 8846 UT</v>
      </c>
      <c r="I38" s="17" t="str">
        <f>IFERROR(__xludf.DUMMYFUNCTION("""COMPUTED_VALUE"""),"TLPG TJ PERAK")</f>
        <v>TLPG TJ PERAK</v>
      </c>
      <c r="J38" s="17">
        <f>IFERROR(__xludf.DUMMYFUNCTION("""COMPUTED_VALUE"""),2.0)</f>
        <v>2</v>
      </c>
      <c r="L38" s="11">
        <f>IFERROR(__xludf.DUMMYFUNCTION("""COMPUTED_VALUE"""),4.0)</f>
        <v>4</v>
      </c>
      <c r="M38" s="11" t="str">
        <f>IFERROR(__xludf.DUMMYFUNCTION("""COMPUTED_VALUE"""),"L 8099 UR")</f>
        <v>L 8099 UR</v>
      </c>
      <c r="N38" s="11" t="str">
        <f>IFERROR(__xludf.DUMMYFUNCTION("""COMPUTED_VALUE"""),"TLPG MEM GRESIK")</f>
        <v>TLPG MEM GRESIK</v>
      </c>
      <c r="O38" s="11">
        <f>IFERROR(__xludf.DUMMYFUNCTION("""COMPUTED_VALUE"""),7.0)</f>
        <v>7</v>
      </c>
      <c r="P38" s="11" t="s">
        <v>83</v>
      </c>
      <c r="Q38" s="11"/>
      <c r="R38" s="11">
        <f>IFERROR(__xludf.DUMMYFUNCTION("""COMPUTED_VALUE"""),4.0)</f>
        <v>4</v>
      </c>
      <c r="S38" s="11" t="str">
        <f>IFERROR(__xludf.DUMMYFUNCTION("""COMPUTED_VALUE"""),"M 8010 UB")</f>
        <v>M 8010 UB</v>
      </c>
      <c r="T38" s="11" t="str">
        <f>IFERROR(__xludf.DUMMYFUNCTION("""COMPUTED_VALUE"""),"TLPG TJ PERAK")</f>
        <v>TLPG TJ PERAK</v>
      </c>
      <c r="U38" s="11">
        <f>IFERROR(__xludf.DUMMYFUNCTION("""COMPUTED_VALUE"""),8.0)</f>
        <v>8</v>
      </c>
      <c r="V38" s="11" t="s">
        <v>448</v>
      </c>
      <c r="W38" s="11"/>
      <c r="X38" s="11">
        <f>IFERROR(__xludf.DUMMYFUNCTION("""COMPUTED_VALUE"""),4.0)</f>
        <v>4</v>
      </c>
      <c r="Y38" s="11" t="str">
        <f>IFERROR(__xludf.DUMMYFUNCTION("""COMPUTED_VALUE"""),"W 8921 UR")</f>
        <v>W 8921 UR</v>
      </c>
      <c r="Z38" s="11" t="str">
        <f>IFERROR(__xludf.DUMMYFUNCTION("""COMPUTED_VALUE"""),"TLPG TJ PERAK")</f>
        <v>TLPG TJ PERAK</v>
      </c>
      <c r="AA38" s="11">
        <f>IFERROR(__xludf.DUMMYFUNCTION("""COMPUTED_VALUE"""),9.0)</f>
        <v>9</v>
      </c>
      <c r="AB38" s="11" t="s">
        <v>451</v>
      </c>
      <c r="AC38" s="11"/>
      <c r="AD38" s="11">
        <f>IFERROR(__xludf.DUMMYFUNCTION("""COMPUTED_VALUE"""),4.0)</f>
        <v>4</v>
      </c>
      <c r="AE38" s="11" t="str">
        <f>IFERROR(__xludf.DUMMYFUNCTION("""COMPUTED_VALUE"""),"B 9202 TEK")</f>
        <v>B 9202 TEK</v>
      </c>
      <c r="AF38" s="11" t="str">
        <f>IFERROR(__xludf.DUMMYFUNCTION("""COMPUTED_VALUE"""),"TLPG MEM GRESIK")</f>
        <v>TLPG MEM GRESIK</v>
      </c>
      <c r="AG38" s="11">
        <f>IFERROR(__xludf.DUMMYFUNCTION("""COMPUTED_VALUE"""),10.0)</f>
        <v>10</v>
      </c>
      <c r="AH38" s="11" t="s">
        <v>371</v>
      </c>
      <c r="AI38" s="11"/>
      <c r="AJ38" s="11">
        <f>IFERROR(__xludf.DUMMYFUNCTION("""COMPUTED_VALUE"""),4.0)</f>
        <v>4</v>
      </c>
      <c r="AK38" s="11" t="str">
        <f>IFERROR(__xludf.DUMMYFUNCTION("""COMPUTED_VALUE"""),"N 9509 UG")</f>
        <v>N 9509 UG</v>
      </c>
      <c r="AL38" s="11" t="str">
        <f>IFERROR(__xludf.DUMMYFUNCTION("""COMPUTED_VALUE"""),"TLPG MEM GRESIK")</f>
        <v>TLPG MEM GRESIK</v>
      </c>
      <c r="AM38" s="11">
        <f>IFERROR(__xludf.DUMMYFUNCTION("""COMPUTED_VALUE"""),11.0)</f>
        <v>11</v>
      </c>
      <c r="AN38" s="11" t="s">
        <v>452</v>
      </c>
      <c r="AO38" s="11"/>
      <c r="AP38" s="11">
        <f>IFERROR(__xludf.DUMMYFUNCTION("""COMPUTED_VALUE"""),4.0)</f>
        <v>4</v>
      </c>
      <c r="AQ38" s="11" t="str">
        <f>IFERROR(__xludf.DUMMYFUNCTION("""COMPUTED_VALUE"""),"N 9478 UG")</f>
        <v>N 9478 UG</v>
      </c>
      <c r="AR38" s="11" t="str">
        <f>IFERROR(__xludf.DUMMYFUNCTION("""COMPUTED_VALUE"""),"TLPG TJ PERAK")</f>
        <v>TLPG TJ PERAK</v>
      </c>
      <c r="AS38" s="11">
        <f>IFERROR(__xludf.DUMMYFUNCTION("""COMPUTED_VALUE"""),12.0)</f>
        <v>12</v>
      </c>
      <c r="AT38" s="11" t="s">
        <v>271</v>
      </c>
      <c r="AV38" s="9" t="str">
        <f>'KENDARAAN P1'!A:A</f>
        <v/>
      </c>
    </row>
    <row r="39">
      <c r="A39" s="13" t="str">
        <f>IFERROR(__xludf.DUMMYFUNCTION("""COMPUTED_VALUE"""),"AG 8032 YQ")</f>
        <v>AG 8032 YQ</v>
      </c>
      <c r="B39" s="9" t="str">
        <f>IFERROR(__xludf.DUMMYFUNCTION("""COMPUTED_VALUE"""),"TLPG TJ PERAK")</f>
        <v>TLPG TJ PERAK</v>
      </c>
      <c r="C39" s="11">
        <f>IFERROR(__xludf.DUMMYFUNCTION("""COMPUTED_VALUE"""),2.0)</f>
        <v>2</v>
      </c>
      <c r="D39" s="12">
        <v>2.0</v>
      </c>
      <c r="E39" s="39" t="s">
        <v>168</v>
      </c>
      <c r="F39" s="17"/>
      <c r="G39" s="14">
        <v>38.0</v>
      </c>
      <c r="H39" s="17" t="str">
        <f>IFERROR(__xludf.DUMMYFUNCTION("""COMPUTED_VALUE"""),"AE 8857 UT")</f>
        <v>AE 8857 UT</v>
      </c>
      <c r="I39" s="17" t="str">
        <f>IFERROR(__xludf.DUMMYFUNCTION("""COMPUTED_VALUE"""),"TLPG TJ PERAK")</f>
        <v>TLPG TJ PERAK</v>
      </c>
      <c r="J39" s="17">
        <f>IFERROR(__xludf.DUMMYFUNCTION("""COMPUTED_VALUE"""),2.0)</f>
        <v>2</v>
      </c>
      <c r="L39" s="11">
        <f>IFERROR(__xludf.DUMMYFUNCTION("""COMPUTED_VALUE"""),5.0)</f>
        <v>5</v>
      </c>
      <c r="M39" s="11" t="str">
        <f>IFERROR(__xludf.DUMMYFUNCTION("""COMPUTED_VALUE"""),"DR 8304 WZ")</f>
        <v>DR 8304 WZ</v>
      </c>
      <c r="N39" s="11" t="str">
        <f>IFERROR(__xludf.DUMMYFUNCTION("""COMPUTED_VALUE"""),"TLPG BIMA")</f>
        <v>TLPG BIMA</v>
      </c>
      <c r="O39" s="11">
        <f>IFERROR(__xludf.DUMMYFUNCTION("""COMPUTED_VALUE"""),7.0)</f>
        <v>7</v>
      </c>
      <c r="P39" s="11" t="s">
        <v>184</v>
      </c>
      <c r="Q39" s="11"/>
      <c r="R39" s="11">
        <f>IFERROR(__xludf.DUMMYFUNCTION("""COMPUTED_VALUE"""),5.0)</f>
        <v>5</v>
      </c>
      <c r="S39" s="11" t="str">
        <f>IFERROR(__xludf.DUMMYFUNCTION("""COMPUTED_VALUE"""),"M 9006 UV")</f>
        <v>M 9006 UV</v>
      </c>
      <c r="T39" s="11" t="str">
        <f>IFERROR(__xludf.DUMMYFUNCTION("""COMPUTED_VALUE"""),"TLPG TJ PERAK")</f>
        <v>TLPG TJ PERAK</v>
      </c>
      <c r="U39" s="11">
        <f>IFERROR(__xludf.DUMMYFUNCTION("""COMPUTED_VALUE"""),8.0)</f>
        <v>8</v>
      </c>
      <c r="V39" s="11" t="s">
        <v>453</v>
      </c>
      <c r="W39" s="11"/>
      <c r="X39" s="11">
        <f>IFERROR(__xludf.DUMMYFUNCTION("""COMPUTED_VALUE"""),5.0)</f>
        <v>5</v>
      </c>
      <c r="Y39" s="11" t="str">
        <f>IFERROR(__xludf.DUMMYFUNCTION("""COMPUTED_VALUE"""),"B 9158 SFW")</f>
        <v>B 9158 SFW</v>
      </c>
      <c r="Z39" s="11" t="str">
        <f>IFERROR(__xludf.DUMMYFUNCTION("""COMPUTED_VALUE"""),"TLPG MEM GRESIK")</f>
        <v>TLPG MEM GRESIK</v>
      </c>
      <c r="AA39" s="11">
        <f>IFERROR(__xludf.DUMMYFUNCTION("""COMPUTED_VALUE"""),9.0)</f>
        <v>9</v>
      </c>
      <c r="AB39" s="11" t="s">
        <v>121</v>
      </c>
      <c r="AC39" s="11"/>
      <c r="AD39" s="11">
        <f>IFERROR(__xludf.DUMMYFUNCTION("""COMPUTED_VALUE"""),5.0)</f>
        <v>5</v>
      </c>
      <c r="AE39" s="11" t="str">
        <f>IFERROR(__xludf.DUMMYFUNCTION("""COMPUTED_VALUE"""),"DK 8584 OL")</f>
        <v>DK 8584 OL</v>
      </c>
      <c r="AF39" s="11" t="str">
        <f>IFERROR(__xludf.DUMMYFUNCTION("""COMPUTED_VALUE"""),"TLPG MANGGIS")</f>
        <v>TLPG MANGGIS</v>
      </c>
      <c r="AG39" s="11">
        <f>IFERROR(__xludf.DUMMYFUNCTION("""COMPUTED_VALUE"""),10.0)</f>
        <v>10</v>
      </c>
      <c r="AH39" s="11" t="s">
        <v>446</v>
      </c>
      <c r="AI39" s="11"/>
      <c r="AJ39" s="11">
        <f>IFERROR(__xludf.DUMMYFUNCTION("""COMPUTED_VALUE"""),5.0)</f>
        <v>5</v>
      </c>
      <c r="AK39" s="11" t="str">
        <f>IFERROR(__xludf.DUMMYFUNCTION("""COMPUTED_VALUE"""),"N 9659 UG")</f>
        <v>N 9659 UG</v>
      </c>
      <c r="AL39" s="11" t="str">
        <f>IFERROR(__xludf.DUMMYFUNCTION("""COMPUTED_VALUE"""),"TLPG MEM GRESIK")</f>
        <v>TLPG MEM GRESIK</v>
      </c>
      <c r="AM39" s="11">
        <f>IFERROR(__xludf.DUMMYFUNCTION("""COMPUTED_VALUE"""),11.0)</f>
        <v>11</v>
      </c>
      <c r="AN39" s="11" t="s">
        <v>452</v>
      </c>
      <c r="AO39" s="11"/>
      <c r="AP39" s="11">
        <f>IFERROR(__xludf.DUMMYFUNCTION("""COMPUTED_VALUE"""),5.0)</f>
        <v>5</v>
      </c>
      <c r="AQ39" s="11" t="str">
        <f>IFERROR(__xludf.DUMMYFUNCTION("""COMPUTED_VALUE"""),"N 9578 US")</f>
        <v>N 9578 US</v>
      </c>
      <c r="AR39" s="11" t="str">
        <f>IFERROR(__xludf.DUMMYFUNCTION("""COMPUTED_VALUE"""),"TLPG TJ PERAK")</f>
        <v>TLPG TJ PERAK</v>
      </c>
      <c r="AS39" s="11">
        <f>IFERROR(__xludf.DUMMYFUNCTION("""COMPUTED_VALUE"""),12.0)</f>
        <v>12</v>
      </c>
      <c r="AT39" s="11" t="s">
        <v>271</v>
      </c>
      <c r="AV39" s="9" t="str">
        <f>'KENDARAAN P1'!A:A</f>
        <v/>
      </c>
    </row>
    <row r="40">
      <c r="A40" s="13" t="str">
        <f>IFERROR(__xludf.DUMMYFUNCTION("""COMPUTED_VALUE"""),"AG 8070 UW")</f>
        <v>AG 8070 UW</v>
      </c>
      <c r="B40" s="9" t="str">
        <f>IFERROR(__xludf.DUMMYFUNCTION("""COMPUTED_VALUE"""),"TLPG TJ PERAK")</f>
        <v>TLPG TJ PERAK</v>
      </c>
      <c r="C40" s="11">
        <f>IFERROR(__xludf.DUMMYFUNCTION("""COMPUTED_VALUE"""),2.0)</f>
        <v>2</v>
      </c>
      <c r="D40" s="12">
        <v>2.0</v>
      </c>
      <c r="E40" s="39" t="s">
        <v>341</v>
      </c>
      <c r="F40" s="17"/>
      <c r="G40" s="14">
        <v>39.0</v>
      </c>
      <c r="H40" s="17" t="str">
        <f>IFERROR(__xludf.DUMMYFUNCTION("""COMPUTED_VALUE"""),"AE 9401 UJ")</f>
        <v>AE 9401 UJ</v>
      </c>
      <c r="I40" s="17" t="str">
        <f>IFERROR(__xludf.DUMMYFUNCTION("""COMPUTED_VALUE"""),"TLPG TJ PERAK")</f>
        <v>TLPG TJ PERAK</v>
      </c>
      <c r="J40" s="17">
        <f>IFERROR(__xludf.DUMMYFUNCTION("""COMPUTED_VALUE"""),2.0)</f>
        <v>2</v>
      </c>
      <c r="L40" s="11">
        <f>IFERROR(__xludf.DUMMYFUNCTION("""COMPUTED_VALUE"""),6.0)</f>
        <v>6</v>
      </c>
      <c r="M40" s="11" t="str">
        <f>IFERROR(__xludf.DUMMYFUNCTION("""COMPUTED_VALUE"""),"DR 8528 KC")</f>
        <v>DR 8528 KC</v>
      </c>
      <c r="N40" s="11" t="str">
        <f>IFERROR(__xludf.DUMMYFUNCTION("""COMPUTED_VALUE"""),"TLPG LOMBOK")</f>
        <v>TLPG LOMBOK</v>
      </c>
      <c r="O40" s="11">
        <f>IFERROR(__xludf.DUMMYFUNCTION("""COMPUTED_VALUE"""),7.0)</f>
        <v>7</v>
      </c>
      <c r="P40" s="11" t="s">
        <v>385</v>
      </c>
      <c r="Q40" s="11"/>
      <c r="R40" s="11">
        <f>IFERROR(__xludf.DUMMYFUNCTION("""COMPUTED_VALUE"""),6.0)</f>
        <v>6</v>
      </c>
      <c r="S40" s="11" t="str">
        <f>IFERROR(__xludf.DUMMYFUNCTION("""COMPUTED_VALUE"""),"M 9321 UV")</f>
        <v>M 9321 UV</v>
      </c>
      <c r="T40" s="11" t="str">
        <f>IFERROR(__xludf.DUMMYFUNCTION("""COMPUTED_VALUE"""),"TLPG TJ PERAK")</f>
        <v>TLPG TJ PERAK</v>
      </c>
      <c r="U40" s="11">
        <f>IFERROR(__xludf.DUMMYFUNCTION("""COMPUTED_VALUE"""),8.0)</f>
        <v>8</v>
      </c>
      <c r="V40" s="11" t="s">
        <v>453</v>
      </c>
      <c r="W40" s="11"/>
      <c r="X40" s="11">
        <f>IFERROR(__xludf.DUMMYFUNCTION("""COMPUTED_VALUE"""),6.0)</f>
        <v>6</v>
      </c>
      <c r="Y40" s="11" t="str">
        <f>IFERROR(__xludf.DUMMYFUNCTION("""COMPUTED_VALUE"""),"DK 8394 CP")</f>
        <v>DK 8394 CP</v>
      </c>
      <c r="Z40" s="11" t="str">
        <f>IFERROR(__xludf.DUMMYFUNCTION("""COMPUTED_VALUE"""),"TLPG MANGGIS")</f>
        <v>TLPG MANGGIS</v>
      </c>
      <c r="AA40" s="11">
        <f>IFERROR(__xludf.DUMMYFUNCTION("""COMPUTED_VALUE"""),9.0)</f>
        <v>9</v>
      </c>
      <c r="AB40" s="11" t="s">
        <v>455</v>
      </c>
      <c r="AC40" s="11"/>
      <c r="AD40" s="11">
        <f>IFERROR(__xludf.DUMMYFUNCTION("""COMPUTED_VALUE"""),6.0)</f>
        <v>6</v>
      </c>
      <c r="AE40" s="11" t="str">
        <f>IFERROR(__xludf.DUMMYFUNCTION("""COMPUTED_VALUE"""),"DK 8587 OL")</f>
        <v>DK 8587 OL</v>
      </c>
      <c r="AF40" s="11" t="str">
        <f>IFERROR(__xludf.DUMMYFUNCTION("""COMPUTED_VALUE"""),"TLPG MANGGIS")</f>
        <v>TLPG MANGGIS</v>
      </c>
      <c r="AG40" s="11">
        <f>IFERROR(__xludf.DUMMYFUNCTION("""COMPUTED_VALUE"""),10.0)</f>
        <v>10</v>
      </c>
      <c r="AH40" s="11" t="s">
        <v>446</v>
      </c>
      <c r="AI40" s="11"/>
      <c r="AJ40" s="11">
        <f>IFERROR(__xludf.DUMMYFUNCTION("""COMPUTED_VALUE"""),6.0)</f>
        <v>6</v>
      </c>
      <c r="AK40" s="11" t="str">
        <f>IFERROR(__xludf.DUMMYFUNCTION("""COMPUTED_VALUE"""),"W 9205 NY")</f>
        <v>W 9205 NY</v>
      </c>
      <c r="AL40" s="11" t="str">
        <f>IFERROR(__xludf.DUMMYFUNCTION("""COMPUTED_VALUE"""),"TLPG TJ PERAK")</f>
        <v>TLPG TJ PERAK</v>
      </c>
      <c r="AM40" s="11">
        <f>IFERROR(__xludf.DUMMYFUNCTION("""COMPUTED_VALUE"""),11.0)</f>
        <v>11</v>
      </c>
      <c r="AN40" s="11" t="s">
        <v>450</v>
      </c>
      <c r="AO40" s="11"/>
      <c r="AP40" s="11">
        <f>IFERROR(__xludf.DUMMYFUNCTION("""COMPUTED_VALUE"""),6.0)</f>
        <v>6</v>
      </c>
      <c r="AQ40" s="11" t="str">
        <f>IFERROR(__xludf.DUMMYFUNCTION("""COMPUTED_VALUE"""),"N 9661 UG")</f>
        <v>N 9661 UG</v>
      </c>
      <c r="AR40" s="11" t="str">
        <f>IFERROR(__xludf.DUMMYFUNCTION("""COMPUTED_VALUE"""),"TLPG MEM GRESIK")</f>
        <v>TLPG MEM GRESIK</v>
      </c>
      <c r="AS40" s="11">
        <f>IFERROR(__xludf.DUMMYFUNCTION("""COMPUTED_VALUE"""),12.0)</f>
        <v>12</v>
      </c>
      <c r="AT40" s="11" t="s">
        <v>452</v>
      </c>
      <c r="AV40" s="9" t="str">
        <f>'KENDARAAN P1'!A:A</f>
        <v/>
      </c>
    </row>
    <row r="41">
      <c r="A41" s="13" t="str">
        <f>IFERROR(__xludf.DUMMYFUNCTION("""COMPUTED_VALUE"""),"AG 9312 UW")</f>
        <v>AG 9312 UW</v>
      </c>
      <c r="B41" s="9" t="str">
        <f>IFERROR(__xludf.DUMMYFUNCTION("""COMPUTED_VALUE"""),"TLPG TJ PERAK")</f>
        <v>TLPG TJ PERAK</v>
      </c>
      <c r="C41" s="11">
        <f>IFERROR(__xludf.DUMMYFUNCTION("""COMPUTED_VALUE"""),2.0)</f>
        <v>2</v>
      </c>
      <c r="D41" s="12">
        <v>2.0</v>
      </c>
      <c r="E41" s="39" t="s">
        <v>341</v>
      </c>
      <c r="F41" s="17"/>
      <c r="G41" s="14">
        <v>40.0</v>
      </c>
      <c r="H41" s="17" t="str">
        <f>IFERROR(__xludf.DUMMYFUNCTION("""COMPUTED_VALUE"""),"AE 8828 UQ")</f>
        <v>AE 8828 UQ</v>
      </c>
      <c r="I41" s="17" t="str">
        <f>IFERROR(__xludf.DUMMYFUNCTION("""COMPUTED_VALUE"""),"TLPG TJ PERAK")</f>
        <v>TLPG TJ PERAK</v>
      </c>
      <c r="J41" s="17">
        <f>IFERROR(__xludf.DUMMYFUNCTION("""COMPUTED_VALUE"""),2.0)</f>
        <v>2</v>
      </c>
      <c r="L41" s="11">
        <f>IFERROR(__xludf.DUMMYFUNCTION("""COMPUTED_VALUE"""),7.0)</f>
        <v>7</v>
      </c>
      <c r="M41" s="11" t="str">
        <f>IFERROR(__xludf.DUMMYFUNCTION("""COMPUTED_VALUE"""),"DR 8542 AG")</f>
        <v>DR 8542 AG</v>
      </c>
      <c r="N41" s="11" t="str">
        <f>IFERROR(__xludf.DUMMYFUNCTION("""COMPUTED_VALUE"""),"TLPG LOMBOK")</f>
        <v>TLPG LOMBOK</v>
      </c>
      <c r="O41" s="11">
        <f>IFERROR(__xludf.DUMMYFUNCTION("""COMPUTED_VALUE"""),7.0)</f>
        <v>7</v>
      </c>
      <c r="P41" s="11" t="s">
        <v>456</v>
      </c>
      <c r="Q41" s="11"/>
      <c r="R41" s="11">
        <f>IFERROR(__xludf.DUMMYFUNCTION("""COMPUTED_VALUE"""),7.0)</f>
        <v>7</v>
      </c>
      <c r="S41" s="11" t="str">
        <f>IFERROR(__xludf.DUMMYFUNCTION("""COMPUTED_VALUE"""),"DR 8543 AG")</f>
        <v>DR 8543 AG</v>
      </c>
      <c r="T41" s="11" t="str">
        <f>IFERROR(__xludf.DUMMYFUNCTION("""COMPUTED_VALUE"""),"TLPG LOMBOK")</f>
        <v>TLPG LOMBOK</v>
      </c>
      <c r="U41" s="11">
        <f>IFERROR(__xludf.DUMMYFUNCTION("""COMPUTED_VALUE"""),8.0)</f>
        <v>8</v>
      </c>
      <c r="V41" s="11" t="s">
        <v>456</v>
      </c>
      <c r="W41" s="11"/>
      <c r="X41" s="11">
        <f>IFERROR(__xludf.DUMMYFUNCTION("""COMPUTED_VALUE"""),7.0)</f>
        <v>7</v>
      </c>
      <c r="Y41" s="11" t="str">
        <f>IFERROR(__xludf.DUMMYFUNCTION("""COMPUTED_VALUE"""),"P 8256 UW")</f>
        <v>P 8256 UW</v>
      </c>
      <c r="Z41" s="11" t="str">
        <f>IFERROR(__xludf.DUMMYFUNCTION("""COMPUTED_VALUE"""),"TLPG TJ WANGI")</f>
        <v>TLPG TJ WANGI</v>
      </c>
      <c r="AA41" s="11">
        <f>IFERROR(__xludf.DUMMYFUNCTION("""COMPUTED_VALUE"""),9.0)</f>
        <v>9</v>
      </c>
      <c r="AB41" s="11" t="s">
        <v>184</v>
      </c>
      <c r="AC41" s="11"/>
      <c r="AD41" s="11">
        <f>IFERROR(__xludf.DUMMYFUNCTION("""COMPUTED_VALUE"""),7.0)</f>
        <v>7</v>
      </c>
      <c r="AE41" s="11" t="str">
        <f>IFERROR(__xludf.DUMMYFUNCTION("""COMPUTED_VALUE"""),"DR 8116 WZ")</f>
        <v>DR 8116 WZ</v>
      </c>
      <c r="AF41" s="11" t="str">
        <f>IFERROR(__xludf.DUMMYFUNCTION("""COMPUTED_VALUE"""),"TLPG BIMA")</f>
        <v>TLPG BIMA</v>
      </c>
      <c r="AG41" s="11">
        <f>IFERROR(__xludf.DUMMYFUNCTION("""COMPUTED_VALUE"""),10.0)</f>
        <v>10</v>
      </c>
      <c r="AH41" s="11" t="s">
        <v>184</v>
      </c>
      <c r="AI41" s="11"/>
      <c r="AJ41" s="11">
        <f>IFERROR(__xludf.DUMMYFUNCTION("""COMPUTED_VALUE"""),7.0)</f>
        <v>7</v>
      </c>
      <c r="AK41" s="11" t="str">
        <f>IFERROR(__xludf.DUMMYFUNCTION("""COMPUTED_VALUE"""),"DK 8305 BW")</f>
        <v>DK 8305 BW</v>
      </c>
      <c r="AL41" s="11" t="str">
        <f>IFERROR(__xludf.DUMMYFUNCTION("""COMPUTED_VALUE"""),"TLPG MANGGIS")</f>
        <v>TLPG MANGGIS</v>
      </c>
      <c r="AM41" s="11">
        <f>IFERROR(__xludf.DUMMYFUNCTION("""COMPUTED_VALUE"""),11.0)</f>
        <v>11</v>
      </c>
      <c r="AN41" s="11" t="s">
        <v>184</v>
      </c>
      <c r="AO41" s="11"/>
      <c r="AP41" s="11">
        <f>IFERROR(__xludf.DUMMYFUNCTION("""COMPUTED_VALUE"""),7.0)</f>
        <v>7</v>
      </c>
      <c r="AQ41" s="11" t="str">
        <f>IFERROR(__xludf.DUMMYFUNCTION("""COMPUTED_VALUE"""),"P 8208 UG")</f>
        <v>P 8208 UG</v>
      </c>
      <c r="AR41" s="11" t="str">
        <f>IFERROR(__xludf.DUMMYFUNCTION("""COMPUTED_VALUE"""),"TLPG MEM GRESIK")</f>
        <v>TLPG MEM GRESIK</v>
      </c>
      <c r="AS41" s="11">
        <f>IFERROR(__xludf.DUMMYFUNCTION("""COMPUTED_VALUE"""),12.0)</f>
        <v>12</v>
      </c>
      <c r="AT41" s="11" t="s">
        <v>457</v>
      </c>
      <c r="AV41" s="9" t="str">
        <f>'KENDARAAN P1'!A:A</f>
        <v/>
      </c>
    </row>
    <row r="42">
      <c r="A42" s="13" t="str">
        <f>IFERROR(__xludf.DUMMYFUNCTION("""COMPUTED_VALUE"""),"B 9098 SEI")</f>
        <v>B 9098 SEI</v>
      </c>
      <c r="B42" s="9" t="str">
        <f>IFERROR(__xludf.DUMMYFUNCTION("""COMPUTED_VALUE"""),"TLPG MEM GRESIK")</f>
        <v>TLPG MEM GRESIK</v>
      </c>
      <c r="C42" s="11">
        <f>IFERROR(__xludf.DUMMYFUNCTION("""COMPUTED_VALUE"""),2.0)</f>
        <v>2</v>
      </c>
      <c r="D42" s="12">
        <v>2.0</v>
      </c>
      <c r="E42" s="34" t="s">
        <v>83</v>
      </c>
      <c r="F42" s="17"/>
      <c r="G42" s="14">
        <v>41.0</v>
      </c>
      <c r="H42" s="17" t="str">
        <f>IFERROR(__xludf.DUMMYFUNCTION("""COMPUTED_VALUE"""),"AE 9634 UJ")</f>
        <v>AE 9634 UJ</v>
      </c>
      <c r="I42" s="17" t="str">
        <f>IFERROR(__xludf.DUMMYFUNCTION("""COMPUTED_VALUE"""),"TLPG TJ PERAK")</f>
        <v>TLPG TJ PERAK</v>
      </c>
      <c r="J42" s="17">
        <f>IFERROR(__xludf.DUMMYFUNCTION("""COMPUTED_VALUE"""),2.0)</f>
        <v>2</v>
      </c>
      <c r="L42" s="11">
        <f>IFERROR(__xludf.DUMMYFUNCTION("""COMPUTED_VALUE"""),8.0)</f>
        <v>8</v>
      </c>
      <c r="M42" s="11" t="str">
        <f>IFERROR(__xludf.DUMMYFUNCTION("""COMPUTED_VALUE"""),"M 8016 UV")</f>
        <v>M 8016 UV</v>
      </c>
      <c r="N42" s="11" t="str">
        <f>IFERROR(__xludf.DUMMYFUNCTION("""COMPUTED_VALUE"""),"TLPG TJ PERAK")</f>
        <v>TLPG TJ PERAK</v>
      </c>
      <c r="O42" s="11">
        <f>IFERROR(__xludf.DUMMYFUNCTION("""COMPUTED_VALUE"""),7.0)</f>
        <v>7</v>
      </c>
      <c r="P42" s="11" t="s">
        <v>458</v>
      </c>
      <c r="Q42" s="11"/>
      <c r="R42" s="11">
        <f>IFERROR(__xludf.DUMMYFUNCTION("""COMPUTED_VALUE"""),8.0)</f>
        <v>8</v>
      </c>
      <c r="S42" s="11" t="str">
        <f>IFERROR(__xludf.DUMMYFUNCTION("""COMPUTED_VALUE"""),"EA 8677 SC")</f>
        <v>EA 8677 SC</v>
      </c>
      <c r="T42" s="11" t="str">
        <f>IFERROR(__xludf.DUMMYFUNCTION("""COMPUTED_VALUE"""),"TLPG BIMA")</f>
        <v>TLPG BIMA</v>
      </c>
      <c r="U42" s="11">
        <f>IFERROR(__xludf.DUMMYFUNCTION("""COMPUTED_VALUE"""),8.0)</f>
        <v>8</v>
      </c>
      <c r="V42" s="11" t="s">
        <v>184</v>
      </c>
      <c r="W42" s="11"/>
      <c r="X42" s="11">
        <f>IFERROR(__xludf.DUMMYFUNCTION("""COMPUTED_VALUE"""),8.0)</f>
        <v>8</v>
      </c>
      <c r="Y42" s="11" t="str">
        <f>IFERROR(__xludf.DUMMYFUNCTION("""COMPUTED_VALUE"""),"P 8360 UG")</f>
        <v>P 8360 UG</v>
      </c>
      <c r="Z42" s="11" t="str">
        <f>IFERROR(__xludf.DUMMYFUNCTION("""COMPUTED_VALUE"""),"TLPG TJ WANGI")</f>
        <v>TLPG TJ WANGI</v>
      </c>
      <c r="AA42" s="11">
        <f>IFERROR(__xludf.DUMMYFUNCTION("""COMPUTED_VALUE"""),9.0)</f>
        <v>9</v>
      </c>
      <c r="AB42" s="11" t="s">
        <v>184</v>
      </c>
      <c r="AC42" s="11"/>
      <c r="AD42" s="11">
        <f>IFERROR(__xludf.DUMMYFUNCTION("""COMPUTED_VALUE"""),8.0)</f>
        <v>8</v>
      </c>
      <c r="AE42" s="11" t="str">
        <f>IFERROR(__xludf.DUMMYFUNCTION("""COMPUTED_VALUE"""),"EA 8681 SC")</f>
        <v>EA 8681 SC</v>
      </c>
      <c r="AF42" s="11" t="str">
        <f>IFERROR(__xludf.DUMMYFUNCTION("""COMPUTED_VALUE"""),"TLPG BIMA")</f>
        <v>TLPG BIMA</v>
      </c>
      <c r="AG42" s="11">
        <f>IFERROR(__xludf.DUMMYFUNCTION("""COMPUTED_VALUE"""),10.0)</f>
        <v>10</v>
      </c>
      <c r="AH42" s="11" t="s">
        <v>184</v>
      </c>
      <c r="AI42" s="11"/>
      <c r="AJ42" s="11">
        <f>IFERROR(__xludf.DUMMYFUNCTION("""COMPUTED_VALUE"""),8.0)</f>
        <v>8</v>
      </c>
      <c r="AK42" s="11" t="str">
        <f>IFERROR(__xludf.DUMMYFUNCTION("""COMPUTED_VALUE"""),"L 8063 UUA")</f>
        <v>L 8063 UUA</v>
      </c>
      <c r="AL42" s="11" t="str">
        <f>IFERROR(__xludf.DUMMYFUNCTION("""COMPUTED_VALUE"""),"TLPG TJ PERAK")</f>
        <v>TLPG TJ PERAK</v>
      </c>
      <c r="AM42" s="11">
        <f>IFERROR(__xludf.DUMMYFUNCTION("""COMPUTED_VALUE"""),11.0)</f>
        <v>11</v>
      </c>
      <c r="AN42" s="11" t="s">
        <v>459</v>
      </c>
      <c r="AO42" s="11"/>
      <c r="AP42" s="11">
        <f>IFERROR(__xludf.DUMMYFUNCTION("""COMPUTED_VALUE"""),8.0)</f>
        <v>8</v>
      </c>
      <c r="AQ42" s="11" t="str">
        <f>IFERROR(__xludf.DUMMYFUNCTION("""COMPUTED_VALUE"""),"DK 8640 VM")</f>
        <v>DK 8640 VM</v>
      </c>
      <c r="AR42" s="11" t="str">
        <f>IFERROR(__xludf.DUMMYFUNCTION("""COMPUTED_VALUE"""),"TLPG MANGGIS")</f>
        <v>TLPG MANGGIS</v>
      </c>
      <c r="AS42" s="11">
        <f>IFERROR(__xludf.DUMMYFUNCTION("""COMPUTED_VALUE"""),12.0)</f>
        <v>12</v>
      </c>
      <c r="AT42" s="11" t="s">
        <v>206</v>
      </c>
      <c r="AV42" s="9" t="str">
        <f>'KENDARAAN P1'!A:A</f>
        <v/>
      </c>
    </row>
    <row r="43">
      <c r="A43" s="13" t="str">
        <f>IFERROR(__xludf.DUMMYFUNCTION("""COMPUTED_VALUE"""),"B 9099 SEI")</f>
        <v>B 9099 SEI</v>
      </c>
      <c r="B43" s="9" t="str">
        <f>IFERROR(__xludf.DUMMYFUNCTION("""COMPUTED_VALUE"""),"TLPG MEM GRESIK")</f>
        <v>TLPG MEM GRESIK</v>
      </c>
      <c r="C43" s="11">
        <f>IFERROR(__xludf.DUMMYFUNCTION("""COMPUTED_VALUE"""),2.0)</f>
        <v>2</v>
      </c>
      <c r="D43" s="12">
        <v>2.0</v>
      </c>
      <c r="E43" s="34" t="s">
        <v>83</v>
      </c>
      <c r="F43" s="17"/>
      <c r="G43" s="14">
        <v>42.0</v>
      </c>
      <c r="H43" s="17" t="str">
        <f>IFERROR(__xludf.DUMMYFUNCTION("""COMPUTED_VALUE"""),"AG 8032 YQ")</f>
        <v>AG 8032 YQ</v>
      </c>
      <c r="I43" s="17" t="str">
        <f>IFERROR(__xludf.DUMMYFUNCTION("""COMPUTED_VALUE"""),"TLPG TJ PERAK")</f>
        <v>TLPG TJ PERAK</v>
      </c>
      <c r="J43" s="17">
        <f>IFERROR(__xludf.DUMMYFUNCTION("""COMPUTED_VALUE"""),2.0)</f>
        <v>2</v>
      </c>
      <c r="L43" s="11">
        <f>IFERROR(__xludf.DUMMYFUNCTION("""COMPUTED_VALUE"""),9.0)</f>
        <v>9</v>
      </c>
      <c r="M43" s="11" t="str">
        <f>IFERROR(__xludf.DUMMYFUNCTION("""COMPUTED_VALUE"""),"M 8025 UN")</f>
        <v>M 8025 UN</v>
      </c>
      <c r="N43" s="11" t="str">
        <f>IFERROR(__xludf.DUMMYFUNCTION("""COMPUTED_VALUE"""),"TLPG TJ PERAK")</f>
        <v>TLPG TJ PERAK</v>
      </c>
      <c r="O43" s="11">
        <f>IFERROR(__xludf.DUMMYFUNCTION("""COMPUTED_VALUE"""),7.0)</f>
        <v>7</v>
      </c>
      <c r="P43" s="11" t="s">
        <v>443</v>
      </c>
      <c r="Q43" s="11"/>
      <c r="R43" s="11">
        <f>IFERROR(__xludf.DUMMYFUNCTION("""COMPUTED_VALUE"""),9.0)</f>
        <v>9</v>
      </c>
      <c r="S43" s="11" t="str">
        <f>IFERROR(__xludf.DUMMYFUNCTION("""COMPUTED_VALUE"""),"L 8333 UCA")</f>
        <v>L 8333 UCA</v>
      </c>
      <c r="T43" s="11" t="str">
        <f>IFERROR(__xludf.DUMMYFUNCTION("""COMPUTED_VALUE"""),"TLPG TJ PERAK")</f>
        <v>TLPG TJ PERAK</v>
      </c>
      <c r="U43" s="11">
        <f>IFERROR(__xludf.DUMMYFUNCTION("""COMPUTED_VALUE"""),8.0)</f>
        <v>8</v>
      </c>
      <c r="V43" s="11" t="s">
        <v>273</v>
      </c>
      <c r="W43" s="11"/>
      <c r="X43" s="11">
        <f>IFERROR(__xludf.DUMMYFUNCTION("""COMPUTED_VALUE"""),9.0)</f>
        <v>9</v>
      </c>
      <c r="Y43" s="11" t="str">
        <f>IFERROR(__xludf.DUMMYFUNCTION("""COMPUTED_VALUE"""),"N 8079 US")</f>
        <v>N 8079 US</v>
      </c>
      <c r="Z43" s="11" t="str">
        <f>IFERROR(__xludf.DUMMYFUNCTION("""COMPUTED_VALUE"""),"TLPG TJ PERAK")</f>
        <v>TLPG TJ PERAK</v>
      </c>
      <c r="AA43" s="11">
        <f>IFERROR(__xludf.DUMMYFUNCTION("""COMPUTED_VALUE"""),9.0)</f>
        <v>9</v>
      </c>
      <c r="AB43" s="11" t="s">
        <v>460</v>
      </c>
      <c r="AC43" s="11"/>
      <c r="AD43" s="11">
        <f>IFERROR(__xludf.DUMMYFUNCTION("""COMPUTED_VALUE"""),9.0)</f>
        <v>9</v>
      </c>
      <c r="AE43" s="11" t="str">
        <f>IFERROR(__xludf.DUMMYFUNCTION("""COMPUTED_VALUE"""),"L 8115 UUC")</f>
        <v>L 8115 UUC</v>
      </c>
      <c r="AF43" s="11" t="str">
        <f>IFERROR(__xludf.DUMMYFUNCTION("""COMPUTED_VALUE"""),"TLPG LOMBOK")</f>
        <v>TLPG LOMBOK</v>
      </c>
      <c r="AG43" s="11">
        <f>IFERROR(__xludf.DUMMYFUNCTION("""COMPUTED_VALUE"""),10.0)</f>
        <v>10</v>
      </c>
      <c r="AH43" s="11" t="s">
        <v>375</v>
      </c>
      <c r="AI43" s="11"/>
      <c r="AJ43" s="11">
        <f>IFERROR(__xludf.DUMMYFUNCTION("""COMPUTED_VALUE"""),9.0)</f>
        <v>9</v>
      </c>
      <c r="AK43" s="11" t="str">
        <f>IFERROR(__xludf.DUMMYFUNCTION("""COMPUTED_VALUE"""),"N 8469 US")</f>
        <v>N 8469 US</v>
      </c>
      <c r="AL43" s="11" t="str">
        <f>IFERROR(__xludf.DUMMYFUNCTION("""COMPUTED_VALUE"""),"TLPG TJ PERAK")</f>
        <v>TLPG TJ PERAK</v>
      </c>
      <c r="AM43" s="11">
        <f>IFERROR(__xludf.DUMMYFUNCTION("""COMPUTED_VALUE"""),11.0)</f>
        <v>11</v>
      </c>
      <c r="AN43" s="11" t="s">
        <v>459</v>
      </c>
      <c r="AO43" s="11"/>
      <c r="AP43" s="11">
        <f>IFERROR(__xludf.DUMMYFUNCTION("""COMPUTED_VALUE"""),9.0)</f>
        <v>9</v>
      </c>
      <c r="AQ43" s="11" t="str">
        <f>IFERROR(__xludf.DUMMYFUNCTION("""COMPUTED_VALUE"""),"DK 8735 DQ")</f>
        <v>DK 8735 DQ</v>
      </c>
      <c r="AR43" s="11" t="str">
        <f>IFERROR(__xludf.DUMMYFUNCTION("""COMPUTED_VALUE"""),"TLPG MANGGIS")</f>
        <v>TLPG MANGGIS</v>
      </c>
      <c r="AS43" s="11">
        <f>IFERROR(__xludf.DUMMYFUNCTION("""COMPUTED_VALUE"""),12.0)</f>
        <v>12</v>
      </c>
      <c r="AT43" s="11" t="s">
        <v>461</v>
      </c>
      <c r="AV43" s="9" t="str">
        <f>'KENDARAAN P1'!A:A</f>
        <v/>
      </c>
    </row>
    <row r="44">
      <c r="A44" s="13" t="str">
        <f>IFERROR(__xludf.DUMMYFUNCTION("""COMPUTED_VALUE"""),"N 8857 UR")</f>
        <v>N 8857 UR</v>
      </c>
      <c r="B44" s="9" t="str">
        <f>IFERROR(__xludf.DUMMYFUNCTION("""COMPUTED_VALUE"""),"TLPG MEM GRESIK")</f>
        <v>TLPG MEM GRESIK</v>
      </c>
      <c r="C44" s="11">
        <f>IFERROR(__xludf.DUMMYFUNCTION("""COMPUTED_VALUE"""),2.0)</f>
        <v>2</v>
      </c>
      <c r="D44" s="12">
        <v>2.0</v>
      </c>
      <c r="E44" s="34" t="s">
        <v>83</v>
      </c>
      <c r="F44" s="17"/>
      <c r="G44" s="14">
        <v>43.0</v>
      </c>
      <c r="H44" s="17" t="str">
        <f>IFERROR(__xludf.DUMMYFUNCTION("""COMPUTED_VALUE"""),"AG 8070 UW")</f>
        <v>AG 8070 UW</v>
      </c>
      <c r="I44" s="17" t="str">
        <f>IFERROR(__xludf.DUMMYFUNCTION("""COMPUTED_VALUE"""),"TLPG TJ PERAK")</f>
        <v>TLPG TJ PERAK</v>
      </c>
      <c r="J44" s="17">
        <f>IFERROR(__xludf.DUMMYFUNCTION("""COMPUTED_VALUE"""),2.0)</f>
        <v>2</v>
      </c>
      <c r="L44" s="11">
        <f>IFERROR(__xludf.DUMMYFUNCTION("""COMPUTED_VALUE"""),10.0)</f>
        <v>10</v>
      </c>
      <c r="M44" s="11" t="str">
        <f>IFERROR(__xludf.DUMMYFUNCTION("""COMPUTED_VALUE"""),"M 8978 UV")</f>
        <v>M 8978 UV</v>
      </c>
      <c r="N44" s="11" t="str">
        <f>IFERROR(__xludf.DUMMYFUNCTION("""COMPUTED_VALUE"""),"TLPG TJ PERAK")</f>
        <v>TLPG TJ PERAK</v>
      </c>
      <c r="O44" s="11">
        <f>IFERROR(__xludf.DUMMYFUNCTION("""COMPUTED_VALUE"""),7.0)</f>
        <v>7</v>
      </c>
      <c r="P44" s="11" t="s">
        <v>453</v>
      </c>
      <c r="Q44" s="11"/>
      <c r="R44" s="11">
        <f>IFERROR(__xludf.DUMMYFUNCTION("""COMPUTED_VALUE"""),10.0)</f>
        <v>10</v>
      </c>
      <c r="S44" s="11" t="str">
        <f>IFERROR(__xludf.DUMMYFUNCTION("""COMPUTED_VALUE"""),"L 9820 UJ")</f>
        <v>L 9820 UJ</v>
      </c>
      <c r="T44" s="11" t="str">
        <f>IFERROR(__xludf.DUMMYFUNCTION("""COMPUTED_VALUE"""),"TLPG MEM GRESIK")</f>
        <v>TLPG MEM GRESIK</v>
      </c>
      <c r="U44" s="11">
        <f>IFERROR(__xludf.DUMMYFUNCTION("""COMPUTED_VALUE"""),8.0)</f>
        <v>8</v>
      </c>
      <c r="V44" s="11" t="s">
        <v>83</v>
      </c>
      <c r="W44" s="11"/>
      <c r="X44" s="11">
        <f>IFERROR(__xludf.DUMMYFUNCTION("""COMPUTED_VALUE"""),10.0)</f>
        <v>10</v>
      </c>
      <c r="Y44" s="11" t="str">
        <f>IFERROR(__xludf.DUMMYFUNCTION("""COMPUTED_VALUE"""),"N 8714 US")</f>
        <v>N 8714 US</v>
      </c>
      <c r="Z44" s="11" t="str">
        <f>IFERROR(__xludf.DUMMYFUNCTION("""COMPUTED_VALUE"""),"TLPG TJ PERAK")</f>
        <v>TLPG TJ PERAK</v>
      </c>
      <c r="AA44" s="11">
        <f>IFERROR(__xludf.DUMMYFUNCTION("""COMPUTED_VALUE"""),9.0)</f>
        <v>9</v>
      </c>
      <c r="AB44" s="11" t="s">
        <v>462</v>
      </c>
      <c r="AC44" s="11"/>
      <c r="AD44" s="11">
        <f>IFERROR(__xludf.DUMMYFUNCTION("""COMPUTED_VALUE"""),10.0)</f>
        <v>10</v>
      </c>
      <c r="AE44" s="11" t="str">
        <f>IFERROR(__xludf.DUMMYFUNCTION("""COMPUTED_VALUE"""),"S 7850 UN")</f>
        <v>S 7850 UN</v>
      </c>
      <c r="AF44" s="11" t="str">
        <f>IFERROR(__xludf.DUMMYFUNCTION("""COMPUTED_VALUE"""),"TLPG TJ PERAK")</f>
        <v>TLPG TJ PERAK</v>
      </c>
      <c r="AG44" s="11">
        <f>IFERROR(__xludf.DUMMYFUNCTION("""COMPUTED_VALUE"""),10.0)</f>
        <v>10</v>
      </c>
      <c r="AH44" s="11" t="s">
        <v>464</v>
      </c>
      <c r="AI44" s="11"/>
      <c r="AJ44" s="11">
        <f>IFERROR(__xludf.DUMMYFUNCTION("""COMPUTED_VALUE"""),10.0)</f>
        <v>10</v>
      </c>
      <c r="AK44" s="11" t="str">
        <f>IFERROR(__xludf.DUMMYFUNCTION("""COMPUTED_VALUE"""),"N 8834 US")</f>
        <v>N 8834 US</v>
      </c>
      <c r="AL44" s="11" t="str">
        <f>IFERROR(__xludf.DUMMYFUNCTION("""COMPUTED_VALUE"""),"TLPG TJ PERAK")</f>
        <v>TLPG TJ PERAK</v>
      </c>
      <c r="AM44" s="11">
        <f>IFERROR(__xludf.DUMMYFUNCTION("""COMPUTED_VALUE"""),11.0)</f>
        <v>11</v>
      </c>
      <c r="AN44" s="11" t="s">
        <v>419</v>
      </c>
      <c r="AO44" s="11"/>
      <c r="AP44" s="11">
        <f>IFERROR(__xludf.DUMMYFUNCTION("""COMPUTED_VALUE"""),10.0)</f>
        <v>10</v>
      </c>
      <c r="AQ44" s="11" t="str">
        <f>IFERROR(__xludf.DUMMYFUNCTION("""COMPUTED_VALUE"""),"P 8821 UW")</f>
        <v>P 8821 UW</v>
      </c>
      <c r="AR44" s="11" t="str">
        <f>IFERROR(__xludf.DUMMYFUNCTION("""COMPUTED_VALUE"""),"TLPG TJ WANGI")</f>
        <v>TLPG TJ WANGI</v>
      </c>
      <c r="AS44" s="11">
        <f>IFERROR(__xludf.DUMMYFUNCTION("""COMPUTED_VALUE"""),12.0)</f>
        <v>12</v>
      </c>
      <c r="AT44" s="11" t="s">
        <v>184</v>
      </c>
      <c r="AV44" s="9" t="str">
        <f>'KENDARAAN P1'!A:A</f>
        <v/>
      </c>
    </row>
    <row r="45">
      <c r="A45" s="13" t="str">
        <f>IFERROR(__xludf.DUMMYFUNCTION("""COMPUTED_VALUE"""),"B 9713 SFU")</f>
        <v>B 9713 SFU</v>
      </c>
      <c r="B45" s="9" t="str">
        <f>IFERROR(__xludf.DUMMYFUNCTION("""COMPUTED_VALUE"""),"TLPG TJ WANGI")</f>
        <v>TLPG TJ WANGI</v>
      </c>
      <c r="C45" s="11">
        <f>IFERROR(__xludf.DUMMYFUNCTION("""COMPUTED_VALUE"""),2.0)</f>
        <v>2</v>
      </c>
      <c r="D45" s="12">
        <v>4.0</v>
      </c>
      <c r="E45" s="34" t="s">
        <v>48</v>
      </c>
      <c r="F45" s="17"/>
      <c r="G45" s="14">
        <v>44.0</v>
      </c>
      <c r="H45" s="17" t="str">
        <f>IFERROR(__xludf.DUMMYFUNCTION("""COMPUTED_VALUE"""),"AG 9312 UW")</f>
        <v>AG 9312 UW</v>
      </c>
      <c r="I45" s="17" t="str">
        <f>IFERROR(__xludf.DUMMYFUNCTION("""COMPUTED_VALUE"""),"TLPG TJ PERAK")</f>
        <v>TLPG TJ PERAK</v>
      </c>
      <c r="J45" s="17">
        <f>IFERROR(__xludf.DUMMYFUNCTION("""COMPUTED_VALUE"""),2.0)</f>
        <v>2</v>
      </c>
      <c r="L45" s="11">
        <f>IFERROR(__xludf.DUMMYFUNCTION("""COMPUTED_VALUE"""),11.0)</f>
        <v>11</v>
      </c>
      <c r="M45" s="11" t="str">
        <f>IFERROR(__xludf.DUMMYFUNCTION("""COMPUTED_VALUE"""),"M 9026 UV")</f>
        <v>M 9026 UV</v>
      </c>
      <c r="N45" s="11" t="str">
        <f>IFERROR(__xludf.DUMMYFUNCTION("""COMPUTED_VALUE"""),"TLPG TJ PERAK")</f>
        <v>TLPG TJ PERAK</v>
      </c>
      <c r="O45" s="11">
        <f>IFERROR(__xludf.DUMMYFUNCTION("""COMPUTED_VALUE"""),7.0)</f>
        <v>7</v>
      </c>
      <c r="P45" s="11" t="s">
        <v>458</v>
      </c>
      <c r="Q45" s="11"/>
      <c r="R45" s="11">
        <f>IFERROR(__xludf.DUMMYFUNCTION("""COMPUTED_VALUE"""),11.0)</f>
        <v>11</v>
      </c>
      <c r="S45" s="11" t="str">
        <f>IFERROR(__xludf.DUMMYFUNCTION("""COMPUTED_VALUE"""),"M 9728 UA")</f>
        <v>M 9728 UA</v>
      </c>
      <c r="T45" s="11" t="str">
        <f>IFERROR(__xludf.DUMMYFUNCTION("""COMPUTED_VALUE"""),"TLPG TJ PERAK")</f>
        <v>TLPG TJ PERAK</v>
      </c>
      <c r="U45" s="11">
        <f>IFERROR(__xludf.DUMMYFUNCTION("""COMPUTED_VALUE"""),8.0)</f>
        <v>8</v>
      </c>
      <c r="V45" s="11" t="s">
        <v>448</v>
      </c>
      <c r="W45" s="11"/>
      <c r="X45" s="11">
        <f>IFERROR(__xludf.DUMMYFUNCTION("""COMPUTED_VALUE"""),11.0)</f>
        <v>11</v>
      </c>
      <c r="Y45" s="11" t="str">
        <f>IFERROR(__xludf.DUMMYFUNCTION("""COMPUTED_VALUE"""),"N 8776 UT")</f>
        <v>N 8776 UT</v>
      </c>
      <c r="Z45" s="11" t="str">
        <f>IFERROR(__xludf.DUMMYFUNCTION("""COMPUTED_VALUE"""),"TLPG TJ PERAK")</f>
        <v>TLPG TJ PERAK</v>
      </c>
      <c r="AA45" s="11">
        <f>IFERROR(__xludf.DUMMYFUNCTION("""COMPUTED_VALUE"""),9.0)</f>
        <v>9</v>
      </c>
      <c r="AB45" s="11" t="s">
        <v>465</v>
      </c>
      <c r="AC45" s="11"/>
      <c r="AD45" s="11">
        <f>IFERROR(__xludf.DUMMYFUNCTION("""COMPUTED_VALUE"""),11.0)</f>
        <v>11</v>
      </c>
      <c r="AE45" s="11" t="str">
        <f>IFERROR(__xludf.DUMMYFUNCTION("""COMPUTED_VALUE"""),"S 8052 UZ")</f>
        <v>S 8052 UZ</v>
      </c>
      <c r="AF45" s="11" t="str">
        <f>IFERROR(__xludf.DUMMYFUNCTION("""COMPUTED_VALUE"""),"TLPG TJ PERAK")</f>
        <v>TLPG TJ PERAK</v>
      </c>
      <c r="AG45" s="11">
        <f>IFERROR(__xludf.DUMMYFUNCTION("""COMPUTED_VALUE"""),10.0)</f>
        <v>10</v>
      </c>
      <c r="AH45" s="11" t="s">
        <v>466</v>
      </c>
      <c r="AI45" s="11"/>
      <c r="AJ45" s="11">
        <f>IFERROR(__xludf.DUMMYFUNCTION("""COMPUTED_VALUE"""),11.0)</f>
        <v>11</v>
      </c>
      <c r="AK45" s="11" t="str">
        <f>IFERROR(__xludf.DUMMYFUNCTION("""COMPUTED_VALUE"""),"N 9425 UU")</f>
        <v>N 9425 UU</v>
      </c>
      <c r="AL45" s="11" t="str">
        <f>IFERROR(__xludf.DUMMYFUNCTION("""COMPUTED_VALUE"""),"TLPG TJ PERAK")</f>
        <v>TLPG TJ PERAK</v>
      </c>
      <c r="AM45" s="11">
        <f>IFERROR(__xludf.DUMMYFUNCTION("""COMPUTED_VALUE"""),11.0)</f>
        <v>11</v>
      </c>
      <c r="AN45" s="11" t="s">
        <v>452</v>
      </c>
      <c r="AO45" s="11"/>
      <c r="AP45" s="11">
        <f>IFERROR(__xludf.DUMMYFUNCTION("""COMPUTED_VALUE"""),11.0)</f>
        <v>11</v>
      </c>
      <c r="AQ45" s="11" t="str">
        <f>IFERROR(__xludf.DUMMYFUNCTION("""COMPUTED_VALUE"""),"S 8848 UF")</f>
        <v>S 8848 UF</v>
      </c>
      <c r="AR45" s="11" t="str">
        <f>IFERROR(__xludf.DUMMYFUNCTION("""COMPUTED_VALUE"""),"TLPG MEM GRESIK")</f>
        <v>TLPG MEM GRESIK</v>
      </c>
      <c r="AS45" s="11">
        <f>IFERROR(__xludf.DUMMYFUNCTION("""COMPUTED_VALUE"""),12.0)</f>
        <v>12</v>
      </c>
      <c r="AT45" s="11" t="s">
        <v>467</v>
      </c>
      <c r="AV45" s="9" t="str">
        <f>'KENDARAAN P1'!A:A</f>
        <v/>
      </c>
    </row>
    <row r="46">
      <c r="A46" s="13" t="str">
        <f>IFERROR(__xludf.DUMMYFUNCTION("""COMPUTED_VALUE"""),"B 9869 SFV")</f>
        <v>B 9869 SFV</v>
      </c>
      <c r="B46" s="9" t="str">
        <f>IFERROR(__xludf.DUMMYFUNCTION("""COMPUTED_VALUE"""),"TLPG MEM GRESIK")</f>
        <v>TLPG MEM GRESIK</v>
      </c>
      <c r="C46" s="11">
        <f>IFERROR(__xludf.DUMMYFUNCTION("""COMPUTED_VALUE"""),2.0)</f>
        <v>2</v>
      </c>
      <c r="D46" s="12">
        <v>4.0</v>
      </c>
      <c r="E46" s="34" t="s">
        <v>121</v>
      </c>
      <c r="F46" s="17"/>
      <c r="G46" s="14">
        <v>45.0</v>
      </c>
      <c r="H46" s="17" t="str">
        <f>IFERROR(__xludf.DUMMYFUNCTION("""COMPUTED_VALUE"""),"B 9098 SEI")</f>
        <v>B 9098 SEI</v>
      </c>
      <c r="I46" s="17" t="str">
        <f>IFERROR(__xludf.DUMMYFUNCTION("""COMPUTED_VALUE"""),"TLPG MEM GRESIK")</f>
        <v>TLPG MEM GRESIK</v>
      </c>
      <c r="J46" s="17">
        <f>IFERROR(__xludf.DUMMYFUNCTION("""COMPUTED_VALUE"""),2.0)</f>
        <v>2</v>
      </c>
      <c r="L46" s="11">
        <f>IFERROR(__xludf.DUMMYFUNCTION("""COMPUTED_VALUE"""),12.0)</f>
        <v>12</v>
      </c>
      <c r="M46" s="11" t="str">
        <f>IFERROR(__xludf.DUMMYFUNCTION("""COMPUTED_VALUE"""),"M 9028 UV")</f>
        <v>M 9028 UV</v>
      </c>
      <c r="N46" s="11" t="str">
        <f>IFERROR(__xludf.DUMMYFUNCTION("""COMPUTED_VALUE"""),"TLPG TJ PERAK")</f>
        <v>TLPG TJ PERAK</v>
      </c>
      <c r="O46" s="11">
        <f>IFERROR(__xludf.DUMMYFUNCTION("""COMPUTED_VALUE"""),7.0)</f>
        <v>7</v>
      </c>
      <c r="P46" s="11" t="s">
        <v>458</v>
      </c>
      <c r="Q46" s="11"/>
      <c r="R46" s="11">
        <f>IFERROR(__xludf.DUMMYFUNCTION("""COMPUTED_VALUE"""),12.0)</f>
        <v>12</v>
      </c>
      <c r="S46" s="11" t="str">
        <f>IFERROR(__xludf.DUMMYFUNCTION("""COMPUTED_VALUE"""),"M 9757 UA")</f>
        <v>M 9757 UA</v>
      </c>
      <c r="T46" s="11" t="str">
        <f>IFERROR(__xludf.DUMMYFUNCTION("""COMPUTED_VALUE"""),"TLPG TJ PERAK")</f>
        <v>TLPG TJ PERAK</v>
      </c>
      <c r="U46" s="11">
        <f>IFERROR(__xludf.DUMMYFUNCTION("""COMPUTED_VALUE"""),8.0)</f>
        <v>8</v>
      </c>
      <c r="V46" s="11" t="s">
        <v>448</v>
      </c>
      <c r="W46" s="11"/>
      <c r="X46" s="11">
        <f>IFERROR(__xludf.DUMMYFUNCTION("""COMPUTED_VALUE"""),12.0)</f>
        <v>12</v>
      </c>
      <c r="Y46" s="11" t="str">
        <f>IFERROR(__xludf.DUMMYFUNCTION("""COMPUTED_VALUE"""),"N 8777 UG")</f>
        <v>N 8777 UG</v>
      </c>
      <c r="Z46" s="11" t="str">
        <f>IFERROR(__xludf.DUMMYFUNCTION("""COMPUTED_VALUE"""),"TLPG TJ PERAK")</f>
        <v>TLPG TJ PERAK</v>
      </c>
      <c r="AA46" s="11">
        <f>IFERROR(__xludf.DUMMYFUNCTION("""COMPUTED_VALUE"""),9.0)</f>
        <v>9</v>
      </c>
      <c r="AB46" s="11" t="s">
        <v>468</v>
      </c>
      <c r="AC46" s="11"/>
      <c r="AD46" s="11">
        <f>IFERROR(__xludf.DUMMYFUNCTION("""COMPUTED_VALUE"""),12.0)</f>
        <v>12</v>
      </c>
      <c r="AE46" s="11" t="str">
        <f>IFERROR(__xludf.DUMMYFUNCTION("""COMPUTED_VALUE"""),"S 8061 UC")</f>
        <v>S 8061 UC</v>
      </c>
      <c r="AF46" s="11" t="str">
        <f>IFERROR(__xludf.DUMMYFUNCTION("""COMPUTED_VALUE"""),"TLPG TJ PERAK")</f>
        <v>TLPG TJ PERAK</v>
      </c>
      <c r="AG46" s="11">
        <f>IFERROR(__xludf.DUMMYFUNCTION("""COMPUTED_VALUE"""),10.0)</f>
        <v>10</v>
      </c>
      <c r="AH46" s="11" t="s">
        <v>469</v>
      </c>
      <c r="AI46" s="11"/>
      <c r="AJ46" s="11">
        <f>IFERROR(__xludf.DUMMYFUNCTION("""COMPUTED_VALUE"""),12.0)</f>
        <v>12</v>
      </c>
      <c r="AK46" s="11" t="str">
        <f>IFERROR(__xludf.DUMMYFUNCTION("""COMPUTED_VALUE"""),"P 8435 UA")</f>
        <v>P 8435 UA</v>
      </c>
      <c r="AL46" s="11" t="str">
        <f>IFERROR(__xludf.DUMMYFUNCTION("""COMPUTED_VALUE"""),"TLPG MEM GRESIK")</f>
        <v>TLPG MEM GRESIK</v>
      </c>
      <c r="AM46" s="11">
        <f>IFERROR(__xludf.DUMMYFUNCTION("""COMPUTED_VALUE"""),11.0)</f>
        <v>11</v>
      </c>
      <c r="AN46" s="11" t="s">
        <v>444</v>
      </c>
      <c r="AO46" s="11"/>
      <c r="AP46" s="11">
        <f>IFERROR(__xludf.DUMMYFUNCTION("""COMPUTED_VALUE"""),12.0)</f>
        <v>12</v>
      </c>
      <c r="AQ46" s="11" t="str">
        <f>IFERROR(__xludf.DUMMYFUNCTION("""COMPUTED_VALUE"""),"B 9872 SFV")</f>
        <v>B 9872 SFV</v>
      </c>
      <c r="AR46" s="11" t="str">
        <f>IFERROR(__xludf.DUMMYFUNCTION("""COMPUTED_VALUE"""),"TLPG MEM GRESIK")</f>
        <v>TLPG MEM GRESIK</v>
      </c>
      <c r="AS46" s="11">
        <f>IFERROR(__xludf.DUMMYFUNCTION("""COMPUTED_VALUE"""),12.0)</f>
        <v>12</v>
      </c>
      <c r="AT46" s="11" t="s">
        <v>121</v>
      </c>
      <c r="AV46" s="9" t="str">
        <f>'KENDARAAN P1'!A:A</f>
        <v/>
      </c>
    </row>
    <row r="47">
      <c r="A47" s="13" t="str">
        <f>IFERROR(__xludf.DUMMYFUNCTION("""COMPUTED_VALUE"""),"B 9884 SFU")</f>
        <v>B 9884 SFU</v>
      </c>
      <c r="B47" s="9" t="str">
        <f>IFERROR(__xludf.DUMMYFUNCTION("""COMPUTED_VALUE"""),"TLPG MEM GRESIK")</f>
        <v>TLPG MEM GRESIK</v>
      </c>
      <c r="C47" s="11">
        <f>IFERROR(__xludf.DUMMYFUNCTION("""COMPUTED_VALUE"""),2.0)</f>
        <v>2</v>
      </c>
      <c r="D47" s="12">
        <v>4.0</v>
      </c>
      <c r="E47" s="34" t="s">
        <v>83</v>
      </c>
      <c r="F47" s="17"/>
      <c r="G47" s="14">
        <v>46.0</v>
      </c>
      <c r="H47" s="17" t="str">
        <f>IFERROR(__xludf.DUMMYFUNCTION("""COMPUTED_VALUE"""),"B 9099 SEI")</f>
        <v>B 9099 SEI</v>
      </c>
      <c r="I47" s="17" t="str">
        <f>IFERROR(__xludf.DUMMYFUNCTION("""COMPUTED_VALUE"""),"TLPG MEM GRESIK")</f>
        <v>TLPG MEM GRESIK</v>
      </c>
      <c r="J47" s="17">
        <f>IFERROR(__xludf.DUMMYFUNCTION("""COMPUTED_VALUE"""),2.0)</f>
        <v>2</v>
      </c>
      <c r="L47" s="11">
        <f>IFERROR(__xludf.DUMMYFUNCTION("""COMPUTED_VALUE"""),13.0)</f>
        <v>13</v>
      </c>
      <c r="M47" s="11" t="str">
        <f>IFERROR(__xludf.DUMMYFUNCTION("""COMPUTED_VALUE"""),"M 9352 UV")</f>
        <v>M 9352 UV</v>
      </c>
      <c r="N47" s="11" t="str">
        <f>IFERROR(__xludf.DUMMYFUNCTION("""COMPUTED_VALUE"""),"TLPG TJ PERAK")</f>
        <v>TLPG TJ PERAK</v>
      </c>
      <c r="O47" s="11">
        <f>IFERROR(__xludf.DUMMYFUNCTION("""COMPUTED_VALUE"""),7.0)</f>
        <v>7</v>
      </c>
      <c r="P47" s="11" t="s">
        <v>458</v>
      </c>
      <c r="Q47" s="11"/>
      <c r="R47" s="11">
        <f>IFERROR(__xludf.DUMMYFUNCTION("""COMPUTED_VALUE"""),13.0)</f>
        <v>13</v>
      </c>
      <c r="S47" s="11" t="str">
        <f>IFERROR(__xludf.DUMMYFUNCTION("""COMPUTED_VALUE"""),"N 8182 EB")</f>
        <v>N 8182 EB</v>
      </c>
      <c r="T47" s="11" t="str">
        <f>IFERROR(__xludf.DUMMYFUNCTION("""COMPUTED_VALUE"""),"TLPG TJ PERAK")</f>
        <v>TLPG TJ PERAK</v>
      </c>
      <c r="U47" s="11">
        <f>IFERROR(__xludf.DUMMYFUNCTION("""COMPUTED_VALUE"""),8.0)</f>
        <v>8</v>
      </c>
      <c r="V47" s="11" t="s">
        <v>470</v>
      </c>
      <c r="W47" s="11"/>
      <c r="X47" s="11">
        <f>IFERROR(__xludf.DUMMYFUNCTION("""COMPUTED_VALUE"""),13.0)</f>
        <v>13</v>
      </c>
      <c r="Y47" s="11" t="str">
        <f>IFERROR(__xludf.DUMMYFUNCTION("""COMPUTED_VALUE"""),"N 8799 UG")</f>
        <v>N 8799 UG</v>
      </c>
      <c r="Z47" s="11" t="str">
        <f>IFERROR(__xludf.DUMMYFUNCTION("""COMPUTED_VALUE"""),"TLPG TJ PERAK")</f>
        <v>TLPG TJ PERAK</v>
      </c>
      <c r="AA47" s="11">
        <f>IFERROR(__xludf.DUMMYFUNCTION("""COMPUTED_VALUE"""),9.0)</f>
        <v>9</v>
      </c>
      <c r="AB47" s="11" t="s">
        <v>460</v>
      </c>
      <c r="AC47" s="11"/>
      <c r="AD47" s="11">
        <f>IFERROR(__xludf.DUMMYFUNCTION("""COMPUTED_VALUE"""),13.0)</f>
        <v>13</v>
      </c>
      <c r="AE47" s="11" t="str">
        <f>IFERROR(__xludf.DUMMYFUNCTION("""COMPUTED_VALUE"""),"S 8104 UH")</f>
        <v>S 8104 UH</v>
      </c>
      <c r="AF47" s="11" t="str">
        <f>IFERROR(__xludf.DUMMYFUNCTION("""COMPUTED_VALUE"""),"TLPG TJ PERAK")</f>
        <v>TLPG TJ PERAK</v>
      </c>
      <c r="AG47" s="11">
        <f>IFERROR(__xludf.DUMMYFUNCTION("""COMPUTED_VALUE"""),10.0)</f>
        <v>10</v>
      </c>
      <c r="AH47" s="11" t="s">
        <v>471</v>
      </c>
      <c r="AI47" s="11"/>
      <c r="AJ47" s="11">
        <f>IFERROR(__xludf.DUMMYFUNCTION("""COMPUTED_VALUE"""),13.0)</f>
        <v>13</v>
      </c>
      <c r="AK47" s="11" t="str">
        <f>IFERROR(__xludf.DUMMYFUNCTION("""COMPUTED_VALUE"""),"P 8726 UG")</f>
        <v>P 8726 UG</v>
      </c>
      <c r="AL47" s="11" t="str">
        <f>IFERROR(__xludf.DUMMYFUNCTION("""COMPUTED_VALUE"""),"TLPG TJ WANGI")</f>
        <v>TLPG TJ WANGI</v>
      </c>
      <c r="AM47" s="11">
        <f>IFERROR(__xludf.DUMMYFUNCTION("""COMPUTED_VALUE"""),11.0)</f>
        <v>11</v>
      </c>
      <c r="AN47" s="11" t="s">
        <v>472</v>
      </c>
      <c r="AO47" s="11"/>
      <c r="AP47" s="11">
        <f>IFERROR(__xludf.DUMMYFUNCTION("""COMPUTED_VALUE"""),13.0)</f>
        <v>13</v>
      </c>
      <c r="AQ47" s="11" t="str">
        <f>IFERROR(__xludf.DUMMYFUNCTION("""COMPUTED_VALUE"""),"EA 8671 SC")</f>
        <v>EA 8671 SC</v>
      </c>
      <c r="AR47" s="11" t="str">
        <f>IFERROR(__xludf.DUMMYFUNCTION("""COMPUTED_VALUE"""),"TLPG BIMA")</f>
        <v>TLPG BIMA</v>
      </c>
      <c r="AS47" s="11">
        <f>IFERROR(__xludf.DUMMYFUNCTION("""COMPUTED_VALUE"""),12.0)</f>
        <v>12</v>
      </c>
      <c r="AT47" s="11" t="s">
        <v>473</v>
      </c>
    </row>
    <row r="48">
      <c r="A48" s="13" t="str">
        <f>IFERROR(__xludf.DUMMYFUNCTION("""COMPUTED_VALUE"""),"DK 8023 UK")</f>
        <v>DK 8023 UK</v>
      </c>
      <c r="B48" s="9" t="str">
        <f>IFERROR(__xludf.DUMMYFUNCTION("""COMPUTED_VALUE"""),"TLPG MANGGIS")</f>
        <v>TLPG MANGGIS</v>
      </c>
      <c r="C48" s="11">
        <f>IFERROR(__xludf.DUMMYFUNCTION("""COMPUTED_VALUE"""),2.0)</f>
        <v>2</v>
      </c>
      <c r="D48" s="12">
        <v>2.0</v>
      </c>
      <c r="E48" s="34" t="s">
        <v>339</v>
      </c>
      <c r="F48" s="17"/>
      <c r="G48" s="14">
        <v>47.0</v>
      </c>
      <c r="H48" s="17" t="str">
        <f>IFERROR(__xludf.DUMMYFUNCTION("""COMPUTED_VALUE"""),"N 8857 UR")</f>
        <v>N 8857 UR</v>
      </c>
      <c r="I48" s="17" t="str">
        <f>IFERROR(__xludf.DUMMYFUNCTION("""COMPUTED_VALUE"""),"TLPG MEM GRESIK")</f>
        <v>TLPG MEM GRESIK</v>
      </c>
      <c r="J48" s="17">
        <f>IFERROR(__xludf.DUMMYFUNCTION("""COMPUTED_VALUE"""),2.0)</f>
        <v>2</v>
      </c>
      <c r="L48" s="11">
        <f>IFERROR(__xludf.DUMMYFUNCTION("""COMPUTED_VALUE"""),14.0)</f>
        <v>14</v>
      </c>
      <c r="M48" s="11" t="str">
        <f>IFERROR(__xludf.DUMMYFUNCTION("""COMPUTED_VALUE"""),"P 8087 GG")</f>
        <v>P 8087 GG</v>
      </c>
      <c r="N48" s="11" t="str">
        <f>IFERROR(__xludf.DUMMYFUNCTION("""COMPUTED_VALUE"""),"TLPG TJ WANGI")</f>
        <v>TLPG TJ WANGI</v>
      </c>
      <c r="O48" s="11">
        <f>IFERROR(__xludf.DUMMYFUNCTION("""COMPUTED_VALUE"""),7.0)</f>
        <v>7</v>
      </c>
      <c r="P48" s="11" t="s">
        <v>474</v>
      </c>
      <c r="Q48" s="11"/>
      <c r="R48" s="11">
        <f>IFERROR(__xludf.DUMMYFUNCTION("""COMPUTED_VALUE"""),14.0)</f>
        <v>14</v>
      </c>
      <c r="S48" s="11" t="str">
        <f>IFERROR(__xludf.DUMMYFUNCTION("""COMPUTED_VALUE"""),"N 8183 EB")</f>
        <v>N 8183 EB</v>
      </c>
      <c r="T48" s="11" t="str">
        <f>IFERROR(__xludf.DUMMYFUNCTION("""COMPUTED_VALUE"""),"TLPG TJ PERAK")</f>
        <v>TLPG TJ PERAK</v>
      </c>
      <c r="U48" s="11">
        <f>IFERROR(__xludf.DUMMYFUNCTION("""COMPUTED_VALUE"""),8.0)</f>
        <v>8</v>
      </c>
      <c r="V48" s="11" t="s">
        <v>470</v>
      </c>
      <c r="W48" s="11"/>
      <c r="X48" s="11">
        <f>IFERROR(__xludf.DUMMYFUNCTION("""COMPUTED_VALUE"""),14.0)</f>
        <v>14</v>
      </c>
      <c r="Y48" s="11" t="str">
        <f>IFERROR(__xludf.DUMMYFUNCTION("""COMPUTED_VALUE"""),"N 9162 UV")</f>
        <v>N 9162 UV</v>
      </c>
      <c r="Z48" s="11" t="str">
        <f>IFERROR(__xludf.DUMMYFUNCTION("""COMPUTED_VALUE"""),"TLPG TJ PERAK")</f>
        <v>TLPG TJ PERAK</v>
      </c>
      <c r="AA48" s="11">
        <f>IFERROR(__xludf.DUMMYFUNCTION("""COMPUTED_VALUE"""),9.0)</f>
        <v>9</v>
      </c>
      <c r="AB48" s="11" t="s">
        <v>452</v>
      </c>
      <c r="AC48" s="11"/>
      <c r="AD48" s="11">
        <f>IFERROR(__xludf.DUMMYFUNCTION("""COMPUTED_VALUE"""),14.0)</f>
        <v>14</v>
      </c>
      <c r="AE48" s="11" t="str">
        <f>IFERROR(__xludf.DUMMYFUNCTION("""COMPUTED_VALUE"""),"S 8141 UZ")</f>
        <v>S 8141 UZ</v>
      </c>
      <c r="AF48" s="11" t="str">
        <f>IFERROR(__xludf.DUMMYFUNCTION("""COMPUTED_VALUE"""),"TLPG TJ PERAK")</f>
        <v>TLPG TJ PERAK</v>
      </c>
      <c r="AG48" s="11">
        <f>IFERROR(__xludf.DUMMYFUNCTION("""COMPUTED_VALUE"""),10.0)</f>
        <v>10</v>
      </c>
      <c r="AH48" s="11" t="s">
        <v>466</v>
      </c>
      <c r="AI48" s="11"/>
      <c r="AJ48" s="11">
        <f>IFERROR(__xludf.DUMMYFUNCTION("""COMPUTED_VALUE"""),14.0)</f>
        <v>14</v>
      </c>
      <c r="AK48" s="11" t="str">
        <f>IFERROR(__xludf.DUMMYFUNCTION("""COMPUTED_VALUE"""),"B 9868 SFV")</f>
        <v>B 9868 SFV</v>
      </c>
      <c r="AL48" s="11" t="str">
        <f>IFERROR(__xludf.DUMMYFUNCTION("""COMPUTED_VALUE"""),"TLPG MEM GRESIK")</f>
        <v>TLPG MEM GRESIK</v>
      </c>
      <c r="AM48" s="11">
        <f>IFERROR(__xludf.DUMMYFUNCTION("""COMPUTED_VALUE"""),11.0)</f>
        <v>11</v>
      </c>
      <c r="AN48" s="11" t="s">
        <v>121</v>
      </c>
      <c r="AO48" s="11"/>
      <c r="AP48" s="11">
        <f>IFERROR(__xludf.DUMMYFUNCTION("""COMPUTED_VALUE"""),14.0)</f>
        <v>14</v>
      </c>
      <c r="AQ48" s="11" t="str">
        <f>IFERROR(__xludf.DUMMYFUNCTION("""COMPUTED_VALUE"""),"L 9828 UJ")</f>
        <v>L 9828 UJ</v>
      </c>
      <c r="AR48" s="11" t="str">
        <f>IFERROR(__xludf.DUMMYFUNCTION("""COMPUTED_VALUE"""),"TLPG MEM GRESIK")</f>
        <v>TLPG MEM GRESIK</v>
      </c>
      <c r="AS48" s="11">
        <f>IFERROR(__xludf.DUMMYFUNCTION("""COMPUTED_VALUE"""),12.0)</f>
        <v>12</v>
      </c>
      <c r="AT48" s="11" t="s">
        <v>83</v>
      </c>
    </row>
    <row r="49">
      <c r="A49" s="13" t="str">
        <f>IFERROR(__xludf.DUMMYFUNCTION("""COMPUTED_VALUE"""),"DK 8029 UK")</f>
        <v>DK 8029 UK</v>
      </c>
      <c r="B49" s="9" t="str">
        <f>IFERROR(__xludf.DUMMYFUNCTION("""COMPUTED_VALUE"""),"TLPG MANGGIS")</f>
        <v>TLPG MANGGIS</v>
      </c>
      <c r="C49" s="11">
        <f>IFERROR(__xludf.DUMMYFUNCTION("""COMPUTED_VALUE"""),2.0)</f>
        <v>2</v>
      </c>
      <c r="D49" s="12">
        <v>2.0</v>
      </c>
      <c r="E49" s="34" t="s">
        <v>321</v>
      </c>
      <c r="F49" s="17"/>
      <c r="G49" s="14">
        <v>48.0</v>
      </c>
      <c r="H49" s="17" t="str">
        <f>IFERROR(__xludf.DUMMYFUNCTION("""COMPUTED_VALUE"""),"DK 8023 UK")</f>
        <v>DK 8023 UK</v>
      </c>
      <c r="I49" s="17" t="str">
        <f>IFERROR(__xludf.DUMMYFUNCTION("""COMPUTED_VALUE"""),"TLPG MANGGIS")</f>
        <v>TLPG MANGGIS</v>
      </c>
      <c r="J49" s="17">
        <f>IFERROR(__xludf.DUMMYFUNCTION("""COMPUTED_VALUE"""),2.0)</f>
        <v>2</v>
      </c>
      <c r="L49" s="11">
        <f>IFERROR(__xludf.DUMMYFUNCTION("""COMPUTED_VALUE"""),15.0)</f>
        <v>15</v>
      </c>
      <c r="M49" s="11" t="str">
        <f>IFERROR(__xludf.DUMMYFUNCTION("""COMPUTED_VALUE"""),"P 8150 UF")</f>
        <v>P 8150 UF</v>
      </c>
      <c r="N49" s="11" t="str">
        <f>IFERROR(__xludf.DUMMYFUNCTION("""COMPUTED_VALUE"""),"TLPG TJ WANGI")</f>
        <v>TLPG TJ WANGI</v>
      </c>
      <c r="O49" s="11">
        <f>IFERROR(__xludf.DUMMYFUNCTION("""COMPUTED_VALUE"""),7.0)</f>
        <v>7</v>
      </c>
      <c r="P49" s="11" t="s">
        <v>184</v>
      </c>
      <c r="Q49" s="11"/>
      <c r="R49" s="11">
        <f>IFERROR(__xludf.DUMMYFUNCTION("""COMPUTED_VALUE"""),15.0)</f>
        <v>15</v>
      </c>
      <c r="S49" s="11" t="str">
        <f>IFERROR(__xludf.DUMMYFUNCTION("""COMPUTED_VALUE"""),"N 8299 UR")</f>
        <v>N 8299 UR</v>
      </c>
      <c r="T49" s="11" t="str">
        <f>IFERROR(__xludf.DUMMYFUNCTION("""COMPUTED_VALUE"""),"TLPG TJ PERAK")</f>
        <v>TLPG TJ PERAK</v>
      </c>
      <c r="U49" s="11">
        <f>IFERROR(__xludf.DUMMYFUNCTION("""COMPUTED_VALUE"""),8.0)</f>
        <v>8</v>
      </c>
      <c r="V49" s="11" t="s">
        <v>475</v>
      </c>
      <c r="W49" s="11"/>
      <c r="X49" s="11">
        <f>IFERROR(__xludf.DUMMYFUNCTION("""COMPUTED_VALUE"""),15.0)</f>
        <v>15</v>
      </c>
      <c r="Y49" s="11" t="str">
        <f>IFERROR(__xludf.DUMMYFUNCTION("""COMPUTED_VALUE"""),"N 9262 UF")</f>
        <v>N 9262 UF</v>
      </c>
      <c r="Z49" s="11" t="str">
        <f>IFERROR(__xludf.DUMMYFUNCTION("""COMPUTED_VALUE"""),"TLPG MEM GRESIK")</f>
        <v>TLPG MEM GRESIK</v>
      </c>
      <c r="AA49" s="11">
        <f>IFERROR(__xludf.DUMMYFUNCTION("""COMPUTED_VALUE"""),9.0)</f>
        <v>9</v>
      </c>
      <c r="AB49" s="11" t="s">
        <v>452</v>
      </c>
      <c r="AC49" s="11"/>
      <c r="AD49" s="11">
        <f>IFERROR(__xludf.DUMMYFUNCTION("""COMPUTED_VALUE"""),15.0)</f>
        <v>15</v>
      </c>
      <c r="AE49" s="11" t="str">
        <f>IFERROR(__xludf.DUMMYFUNCTION("""COMPUTED_VALUE"""),"B 9113 SEI")</f>
        <v>B 9113 SEI</v>
      </c>
      <c r="AF49" s="11" t="str">
        <f>IFERROR(__xludf.DUMMYFUNCTION("""COMPUTED_VALUE"""),"TLPG MEM GRESIK")</f>
        <v>TLPG MEM GRESIK</v>
      </c>
      <c r="AG49" s="11">
        <f>IFERROR(__xludf.DUMMYFUNCTION("""COMPUTED_VALUE"""),10.0)</f>
        <v>10</v>
      </c>
      <c r="AH49" s="11" t="s">
        <v>83</v>
      </c>
      <c r="AI49" s="11"/>
      <c r="AJ49" s="11">
        <f>IFERROR(__xludf.DUMMYFUNCTION("""COMPUTED_VALUE"""),15.0)</f>
        <v>15</v>
      </c>
      <c r="AK49" s="11" t="str">
        <f>IFERROR(__xludf.DUMMYFUNCTION("""COMPUTED_VALUE"""),"DK 8053 DN")</f>
        <v>DK 8053 DN</v>
      </c>
      <c r="AL49" s="11" t="str">
        <f>IFERROR(__xludf.DUMMYFUNCTION("""COMPUTED_VALUE"""),"TLPG MANGGIS")</f>
        <v>TLPG MANGGIS</v>
      </c>
      <c r="AM49" s="11">
        <f>IFERROR(__xludf.DUMMYFUNCTION("""COMPUTED_VALUE"""),11.0)</f>
        <v>11</v>
      </c>
      <c r="AN49" s="11" t="s">
        <v>184</v>
      </c>
      <c r="AO49" s="11"/>
      <c r="AP49" s="11">
        <f>IFERROR(__xludf.DUMMYFUNCTION("""COMPUTED_VALUE"""),15.0)</f>
        <v>15</v>
      </c>
      <c r="AQ49" s="11" t="str">
        <f>IFERROR(__xludf.DUMMYFUNCTION("""COMPUTED_VALUE"""),"S 8940 UF")</f>
        <v>S 8940 UF</v>
      </c>
      <c r="AR49" s="11" t="str">
        <f>IFERROR(__xludf.DUMMYFUNCTION("""COMPUTED_VALUE"""),"TLPG MEM GRESIK")</f>
        <v>TLPG MEM GRESIK</v>
      </c>
      <c r="AS49" s="11">
        <f>IFERROR(__xludf.DUMMYFUNCTION("""COMPUTED_VALUE"""),12.0)</f>
        <v>12</v>
      </c>
      <c r="AT49" s="11" t="s">
        <v>467</v>
      </c>
    </row>
    <row r="50">
      <c r="A50" s="13" t="str">
        <f>IFERROR(__xludf.DUMMYFUNCTION("""COMPUTED_VALUE"""),"DK 8035 UI")</f>
        <v>DK 8035 UI</v>
      </c>
      <c r="B50" s="9" t="str">
        <f>IFERROR(__xludf.DUMMYFUNCTION("""COMPUTED_VALUE"""),"TLPG MANGGIS")</f>
        <v>TLPG MANGGIS</v>
      </c>
      <c r="C50" s="11">
        <f>IFERROR(__xludf.DUMMYFUNCTION("""COMPUTED_VALUE"""),2.0)</f>
        <v>2</v>
      </c>
      <c r="D50" s="12">
        <v>2.0</v>
      </c>
      <c r="E50" s="34" t="s">
        <v>339</v>
      </c>
      <c r="F50" s="17"/>
      <c r="G50" s="14">
        <v>49.0</v>
      </c>
      <c r="H50" s="17" t="str">
        <f>IFERROR(__xludf.DUMMYFUNCTION("""COMPUTED_VALUE"""),"DK 8029 UK")</f>
        <v>DK 8029 UK</v>
      </c>
      <c r="I50" s="17" t="str">
        <f>IFERROR(__xludf.DUMMYFUNCTION("""COMPUTED_VALUE"""),"TLPG MANGGIS")</f>
        <v>TLPG MANGGIS</v>
      </c>
      <c r="J50" s="17">
        <f>IFERROR(__xludf.DUMMYFUNCTION("""COMPUTED_VALUE"""),2.0)</f>
        <v>2</v>
      </c>
      <c r="L50" s="11">
        <f>IFERROR(__xludf.DUMMYFUNCTION("""COMPUTED_VALUE"""),16.0)</f>
        <v>16</v>
      </c>
      <c r="M50" s="11" t="str">
        <f>IFERROR(__xludf.DUMMYFUNCTION("""COMPUTED_VALUE"""),"P 8257 UH")</f>
        <v>P 8257 UH</v>
      </c>
      <c r="N50" s="11" t="str">
        <f>IFERROR(__xludf.DUMMYFUNCTION("""COMPUTED_VALUE"""),"TLPG TJ WANGI")</f>
        <v>TLPG TJ WANGI</v>
      </c>
      <c r="O50" s="11">
        <f>IFERROR(__xludf.DUMMYFUNCTION("""COMPUTED_VALUE"""),7.0)</f>
        <v>7</v>
      </c>
      <c r="P50" s="11" t="s">
        <v>184</v>
      </c>
      <c r="Q50" s="11"/>
      <c r="R50" s="11">
        <f>IFERROR(__xludf.DUMMYFUNCTION("""COMPUTED_VALUE"""),16.0)</f>
        <v>16</v>
      </c>
      <c r="S50" s="11" t="str">
        <f>IFERROR(__xludf.DUMMYFUNCTION("""COMPUTED_VALUE"""),"N 8327 ED")</f>
        <v>N 8327 ED</v>
      </c>
      <c r="T50" s="11" t="str">
        <f>IFERROR(__xludf.DUMMYFUNCTION("""COMPUTED_VALUE"""),"TLPG TJ PERAK")</f>
        <v>TLPG TJ PERAK</v>
      </c>
      <c r="U50" s="11">
        <f>IFERROR(__xludf.DUMMYFUNCTION("""COMPUTED_VALUE"""),8.0)</f>
        <v>8</v>
      </c>
      <c r="V50" s="11" t="s">
        <v>470</v>
      </c>
      <c r="W50" s="11"/>
      <c r="X50" s="11">
        <f>IFERROR(__xludf.DUMMYFUNCTION("""COMPUTED_VALUE"""),16.0)</f>
        <v>16</v>
      </c>
      <c r="Y50" s="11" t="str">
        <f>IFERROR(__xludf.DUMMYFUNCTION("""COMPUTED_VALUE"""),"N 9286 UN")</f>
        <v>N 9286 UN</v>
      </c>
      <c r="Z50" s="11" t="str">
        <f>IFERROR(__xludf.DUMMYFUNCTION("""COMPUTED_VALUE"""),"TLPG TJ PERAK")</f>
        <v>TLPG TJ PERAK</v>
      </c>
      <c r="AA50" s="11">
        <f>IFERROR(__xludf.DUMMYFUNCTION("""COMPUTED_VALUE"""),9.0)</f>
        <v>9</v>
      </c>
      <c r="AB50" s="11" t="s">
        <v>257</v>
      </c>
      <c r="AC50" s="11"/>
      <c r="AD50" s="11">
        <f>IFERROR(__xludf.DUMMYFUNCTION("""COMPUTED_VALUE"""),16.0)</f>
        <v>16</v>
      </c>
      <c r="AE50" s="11" t="str">
        <f>IFERROR(__xludf.DUMMYFUNCTION("""COMPUTED_VALUE"""),"B 9871 SFV")</f>
        <v>B 9871 SFV</v>
      </c>
      <c r="AF50" s="11" t="str">
        <f>IFERROR(__xludf.DUMMYFUNCTION("""COMPUTED_VALUE"""),"TLPG MEM GRESIK")</f>
        <v>TLPG MEM GRESIK</v>
      </c>
      <c r="AG50" s="11">
        <f>IFERROR(__xludf.DUMMYFUNCTION("""COMPUTED_VALUE"""),10.0)</f>
        <v>10</v>
      </c>
      <c r="AH50" s="11" t="s">
        <v>121</v>
      </c>
      <c r="AI50" s="11"/>
      <c r="AJ50" s="11">
        <f>IFERROR(__xludf.DUMMYFUNCTION("""COMPUTED_VALUE"""),16.0)</f>
        <v>16</v>
      </c>
      <c r="AK50" s="11" t="str">
        <f>IFERROR(__xludf.DUMMYFUNCTION("""COMPUTED_VALUE"""),"DK 8694 KP")</f>
        <v>DK 8694 KP</v>
      </c>
      <c r="AL50" s="11" t="str">
        <f>IFERROR(__xludf.DUMMYFUNCTION("""COMPUTED_VALUE"""),"TLPG MANGGIS")</f>
        <v>TLPG MANGGIS</v>
      </c>
      <c r="AM50" s="11">
        <f>IFERROR(__xludf.DUMMYFUNCTION("""COMPUTED_VALUE"""),11.0)</f>
        <v>11</v>
      </c>
      <c r="AN50" s="11" t="s">
        <v>476</v>
      </c>
      <c r="AO50" s="11"/>
      <c r="AP50" s="11">
        <f>IFERROR(__xludf.DUMMYFUNCTION("""COMPUTED_VALUE"""),16.0)</f>
        <v>16</v>
      </c>
      <c r="AQ50" s="11" t="str">
        <f>IFERROR(__xludf.DUMMYFUNCTION("""COMPUTED_VALUE"""),"S 9010 NI")</f>
        <v>S 9010 NI</v>
      </c>
      <c r="AR50" s="11" t="str">
        <f>IFERROR(__xludf.DUMMYFUNCTION("""COMPUTED_VALUE"""),"TLPG TJ PERAK")</f>
        <v>TLPG TJ PERAK</v>
      </c>
      <c r="AS50" s="11">
        <f>IFERROR(__xludf.DUMMYFUNCTION("""COMPUTED_VALUE"""),12.0)</f>
        <v>12</v>
      </c>
      <c r="AT50" s="11" t="s">
        <v>477</v>
      </c>
    </row>
    <row r="51">
      <c r="A51" s="13" t="str">
        <f>IFERROR(__xludf.DUMMYFUNCTION("""COMPUTED_VALUE"""),"DK 8533 CE")</f>
        <v>DK 8533 CE</v>
      </c>
      <c r="B51" s="9" t="str">
        <f>IFERROR(__xludf.DUMMYFUNCTION("""COMPUTED_VALUE"""),"TLPG MANGGIS")</f>
        <v>TLPG MANGGIS</v>
      </c>
      <c r="C51" s="11">
        <f>IFERROR(__xludf.DUMMYFUNCTION("""COMPUTED_VALUE"""),2.0)</f>
        <v>2</v>
      </c>
      <c r="D51" s="12">
        <v>2.0</v>
      </c>
      <c r="E51" s="39" t="s">
        <v>313</v>
      </c>
      <c r="F51" s="17"/>
      <c r="G51" s="14">
        <v>50.0</v>
      </c>
      <c r="H51" s="17" t="str">
        <f>IFERROR(__xludf.DUMMYFUNCTION("""COMPUTED_VALUE"""),"DK 8035 UI")</f>
        <v>DK 8035 UI</v>
      </c>
      <c r="I51" s="17" t="str">
        <f>IFERROR(__xludf.DUMMYFUNCTION("""COMPUTED_VALUE"""),"TLPG MANGGIS")</f>
        <v>TLPG MANGGIS</v>
      </c>
      <c r="J51" s="17">
        <f>IFERROR(__xludf.DUMMYFUNCTION("""COMPUTED_VALUE"""),2.0)</f>
        <v>2</v>
      </c>
      <c r="L51" s="11">
        <f>IFERROR(__xludf.DUMMYFUNCTION("""COMPUTED_VALUE"""),17.0)</f>
        <v>17</v>
      </c>
      <c r="M51" s="11" t="str">
        <f>IFERROR(__xludf.DUMMYFUNCTION("""COMPUTED_VALUE"""),"B 9070 SEJ")</f>
        <v>B 9070 SEJ</v>
      </c>
      <c r="N51" s="11" t="str">
        <f>IFERROR(__xludf.DUMMYFUNCTION("""COMPUTED_VALUE"""),"TLPG TJ WANGI")</f>
        <v>TLPG TJ WANGI</v>
      </c>
      <c r="O51" s="11">
        <f>IFERROR(__xludf.DUMMYFUNCTION("""COMPUTED_VALUE"""),7.0)</f>
        <v>7</v>
      </c>
      <c r="P51" s="11" t="s">
        <v>184</v>
      </c>
      <c r="Q51" s="11"/>
      <c r="R51" s="11">
        <f>IFERROR(__xludf.DUMMYFUNCTION("""COMPUTED_VALUE"""),17.0)</f>
        <v>17</v>
      </c>
      <c r="S51" s="11" t="str">
        <f>IFERROR(__xludf.DUMMYFUNCTION("""COMPUTED_VALUE"""),"N 8582 UE")</f>
        <v>N 8582 UE</v>
      </c>
      <c r="T51" s="11" t="str">
        <f>IFERROR(__xludf.DUMMYFUNCTION("""COMPUTED_VALUE"""),"TLPG TJ PERAK")</f>
        <v>TLPG TJ PERAK</v>
      </c>
      <c r="U51" s="11">
        <f>IFERROR(__xludf.DUMMYFUNCTION("""COMPUTED_VALUE"""),8.0)</f>
        <v>8</v>
      </c>
      <c r="V51" s="11" t="s">
        <v>459</v>
      </c>
      <c r="W51" s="11"/>
      <c r="X51" s="11">
        <f>IFERROR(__xludf.DUMMYFUNCTION("""COMPUTED_VALUE"""),17.0)</f>
        <v>17</v>
      </c>
      <c r="Y51" s="11" t="str">
        <f>IFERROR(__xludf.DUMMYFUNCTION("""COMPUTED_VALUE"""),"N 9344 EE")</f>
        <v>N 9344 EE</v>
      </c>
      <c r="Z51" s="11" t="str">
        <f>IFERROR(__xludf.DUMMYFUNCTION("""COMPUTED_VALUE"""),"TLPG TJ PERAK")</f>
        <v>TLPG TJ PERAK</v>
      </c>
      <c r="AA51" s="11">
        <f>IFERROR(__xludf.DUMMYFUNCTION("""COMPUTED_VALUE"""),9.0)</f>
        <v>9</v>
      </c>
      <c r="AB51" s="11" t="s">
        <v>419</v>
      </c>
      <c r="AC51" s="11"/>
      <c r="AD51" s="11">
        <f>IFERROR(__xludf.DUMMYFUNCTION("""COMPUTED_VALUE"""),17.0)</f>
        <v>17</v>
      </c>
      <c r="AE51" s="11" t="str">
        <f>IFERROR(__xludf.DUMMYFUNCTION("""COMPUTED_VALUE"""),"P 9114 UG")</f>
        <v>P 9114 UG</v>
      </c>
      <c r="AF51" s="11" t="str">
        <f>IFERROR(__xludf.DUMMYFUNCTION("""COMPUTED_VALUE"""),"TLPG MEM GRESIK")</f>
        <v>TLPG MEM GRESIK</v>
      </c>
      <c r="AG51" s="11">
        <f>IFERROR(__xludf.DUMMYFUNCTION("""COMPUTED_VALUE"""),10.0)</f>
        <v>10</v>
      </c>
      <c r="AH51" s="11" t="s">
        <v>457</v>
      </c>
      <c r="AI51" s="11"/>
      <c r="AJ51" s="11">
        <f>IFERROR(__xludf.DUMMYFUNCTION("""COMPUTED_VALUE"""),17.0)</f>
        <v>17</v>
      </c>
      <c r="AK51" s="11" t="str">
        <f>IFERROR(__xludf.DUMMYFUNCTION("""COMPUTED_VALUE"""),"EA 8670 SC")</f>
        <v>EA 8670 SC</v>
      </c>
      <c r="AL51" s="11" t="str">
        <f>IFERROR(__xludf.DUMMYFUNCTION("""COMPUTED_VALUE"""),"TLPG BIMA")</f>
        <v>TLPG BIMA</v>
      </c>
      <c r="AM51" s="11">
        <f>IFERROR(__xludf.DUMMYFUNCTION("""COMPUTED_VALUE"""),11.0)</f>
        <v>11</v>
      </c>
      <c r="AN51" s="11" t="s">
        <v>473</v>
      </c>
      <c r="AO51" s="11"/>
      <c r="AP51" s="11">
        <f>IFERROR(__xludf.DUMMYFUNCTION("""COMPUTED_VALUE"""),17.0)</f>
        <v>17</v>
      </c>
      <c r="AQ51" s="11" t="str">
        <f>IFERROR(__xludf.DUMMYFUNCTION("""COMPUTED_VALUE"""),"S 9096 UH")</f>
        <v>S 9096 UH</v>
      </c>
      <c r="AR51" s="11" t="str">
        <f>IFERROR(__xludf.DUMMYFUNCTION("""COMPUTED_VALUE"""),"TLPG TJ PERAK")</f>
        <v>TLPG TJ PERAK</v>
      </c>
      <c r="AS51" s="11">
        <f>IFERROR(__xludf.DUMMYFUNCTION("""COMPUTED_VALUE"""),12.0)</f>
        <v>12</v>
      </c>
      <c r="AT51" s="11" t="s">
        <v>479</v>
      </c>
    </row>
    <row r="52">
      <c r="A52" s="13" t="str">
        <f>IFERROR(__xludf.DUMMYFUNCTION("""COMPUTED_VALUE"""),"L 9155 UB")</f>
        <v>L 9155 UB</v>
      </c>
      <c r="B52" s="9" t="str">
        <f>IFERROR(__xludf.DUMMYFUNCTION("""COMPUTED_VALUE"""),"TLPG TJ PERAK")</f>
        <v>TLPG TJ PERAK</v>
      </c>
      <c r="C52" s="11">
        <f>IFERROR(__xludf.DUMMYFUNCTION("""COMPUTED_VALUE"""),2.0)</f>
        <v>2</v>
      </c>
      <c r="D52" s="12">
        <v>5.0</v>
      </c>
      <c r="E52" s="34" t="s">
        <v>327</v>
      </c>
      <c r="F52" s="17"/>
      <c r="G52" s="14">
        <v>51.0</v>
      </c>
      <c r="H52" s="17" t="str">
        <f>IFERROR(__xludf.DUMMYFUNCTION("""COMPUTED_VALUE"""),"DK 8533 CE")</f>
        <v>DK 8533 CE</v>
      </c>
      <c r="I52" s="17" t="str">
        <f>IFERROR(__xludf.DUMMYFUNCTION("""COMPUTED_VALUE"""),"TLPG MANGGIS")</f>
        <v>TLPG MANGGIS</v>
      </c>
      <c r="J52" s="17">
        <f>IFERROR(__xludf.DUMMYFUNCTION("""COMPUTED_VALUE"""),2.0)</f>
        <v>2</v>
      </c>
      <c r="L52" s="11">
        <f>IFERROR(__xludf.DUMMYFUNCTION("""COMPUTED_VALUE"""),18.0)</f>
        <v>18</v>
      </c>
      <c r="M52" s="11" t="str">
        <f>IFERROR(__xludf.DUMMYFUNCTION("""COMPUTED_VALUE"""),"DK 8368 PA")</f>
        <v>DK 8368 PA</v>
      </c>
      <c r="N52" s="11" t="str">
        <f>IFERROR(__xludf.DUMMYFUNCTION("""COMPUTED_VALUE"""),"TLPG MANGGIS")</f>
        <v>TLPG MANGGIS</v>
      </c>
      <c r="O52" s="11">
        <f>IFERROR(__xludf.DUMMYFUNCTION("""COMPUTED_VALUE"""),7.0)</f>
        <v>7</v>
      </c>
      <c r="P52" s="11" t="s">
        <v>480</v>
      </c>
      <c r="Q52" s="11"/>
      <c r="R52" s="11">
        <f>IFERROR(__xludf.DUMMYFUNCTION("""COMPUTED_VALUE"""),18.0)</f>
        <v>18</v>
      </c>
      <c r="S52" s="11" t="str">
        <f>IFERROR(__xludf.DUMMYFUNCTION("""COMPUTED_VALUE"""),"N 8657 UV")</f>
        <v>N 8657 UV</v>
      </c>
      <c r="T52" s="11" t="str">
        <f>IFERROR(__xludf.DUMMYFUNCTION("""COMPUTED_VALUE"""),"TLPG TJ PERAK")</f>
        <v>TLPG TJ PERAK</v>
      </c>
      <c r="U52" s="11">
        <f>IFERROR(__xludf.DUMMYFUNCTION("""COMPUTED_VALUE"""),8.0)</f>
        <v>8</v>
      </c>
      <c r="V52" s="11" t="s">
        <v>481</v>
      </c>
      <c r="W52" s="11"/>
      <c r="X52" s="11">
        <f>IFERROR(__xludf.DUMMYFUNCTION("""COMPUTED_VALUE"""),18.0)</f>
        <v>18</v>
      </c>
      <c r="Y52" s="11" t="str">
        <f>IFERROR(__xludf.DUMMYFUNCTION("""COMPUTED_VALUE"""),"N 9422 UU")</f>
        <v>N 9422 UU</v>
      </c>
      <c r="Z52" s="11" t="str">
        <f>IFERROR(__xludf.DUMMYFUNCTION("""COMPUTED_VALUE"""),"TLPG TJ PERAK")</f>
        <v>TLPG TJ PERAK</v>
      </c>
      <c r="AA52" s="11">
        <f>IFERROR(__xludf.DUMMYFUNCTION("""COMPUTED_VALUE"""),9.0)</f>
        <v>9</v>
      </c>
      <c r="AB52" s="11" t="s">
        <v>465</v>
      </c>
      <c r="AC52" s="11"/>
      <c r="AD52" s="11">
        <f>IFERROR(__xludf.DUMMYFUNCTION("""COMPUTED_VALUE"""),18.0)</f>
        <v>18</v>
      </c>
      <c r="AE52" s="11" t="str">
        <f>IFERROR(__xludf.DUMMYFUNCTION("""COMPUTED_VALUE"""),"P 9115 UG")</f>
        <v>P 9115 UG</v>
      </c>
      <c r="AF52" s="11" t="str">
        <f>IFERROR(__xludf.DUMMYFUNCTION("""COMPUTED_VALUE"""),"TLPG TJ WANGI")</f>
        <v>TLPG TJ WANGI</v>
      </c>
      <c r="AG52" s="11">
        <f>IFERROR(__xludf.DUMMYFUNCTION("""COMPUTED_VALUE"""),10.0)</f>
        <v>10</v>
      </c>
      <c r="AH52" s="11" t="s">
        <v>457</v>
      </c>
      <c r="AI52" s="11"/>
      <c r="AJ52" s="11">
        <f>IFERROR(__xludf.DUMMYFUNCTION("""COMPUTED_VALUE"""),18.0)</f>
        <v>18</v>
      </c>
      <c r="AK52" s="11" t="str">
        <f>IFERROR(__xludf.DUMMYFUNCTION("""COMPUTED_VALUE"""),"N 8756 UB")</f>
        <v>N 8756 UB</v>
      </c>
      <c r="AL52" s="11" t="str">
        <f>IFERROR(__xludf.DUMMYFUNCTION("""COMPUTED_VALUE"""),"TLPG TJ PERAK")</f>
        <v>TLPG TJ PERAK</v>
      </c>
      <c r="AM52" s="11">
        <f>IFERROR(__xludf.DUMMYFUNCTION("""COMPUTED_VALUE"""),11.0)</f>
        <v>11</v>
      </c>
      <c r="AN52" s="11" t="s">
        <v>482</v>
      </c>
      <c r="AO52" s="11"/>
      <c r="AP52" s="11">
        <f>IFERROR(__xludf.DUMMYFUNCTION("""COMPUTED_VALUE"""),18.0)</f>
        <v>18</v>
      </c>
      <c r="AQ52" s="11" t="str">
        <f>IFERROR(__xludf.DUMMYFUNCTION("""COMPUTED_VALUE"""),"S 9343 UZ")</f>
        <v>S 9343 UZ</v>
      </c>
      <c r="AR52" s="11" t="str">
        <f>IFERROR(__xludf.DUMMYFUNCTION("""COMPUTED_VALUE"""),"TLPG TJ PERAK")</f>
        <v>TLPG TJ PERAK</v>
      </c>
      <c r="AS52" s="11">
        <f>IFERROR(__xludf.DUMMYFUNCTION("""COMPUTED_VALUE"""),12.0)</f>
        <v>12</v>
      </c>
      <c r="AT52" s="11" t="s">
        <v>483</v>
      </c>
    </row>
    <row r="53">
      <c r="A53" s="13" t="str">
        <f>IFERROR(__xludf.DUMMYFUNCTION("""COMPUTED_VALUE"""),"L 9390 UU")</f>
        <v>L 9390 UU</v>
      </c>
      <c r="B53" s="9" t="str">
        <f>IFERROR(__xludf.DUMMYFUNCTION("""COMPUTED_VALUE"""),"TLPG TJ WANGI")</f>
        <v>TLPG TJ WANGI</v>
      </c>
      <c r="C53" s="11">
        <f>IFERROR(__xludf.DUMMYFUNCTION("""COMPUTED_VALUE"""),2.0)</f>
        <v>2</v>
      </c>
      <c r="D53" s="12">
        <v>1.0</v>
      </c>
      <c r="E53" s="34" t="s">
        <v>184</v>
      </c>
      <c r="F53" s="17"/>
      <c r="G53" s="14">
        <v>52.0</v>
      </c>
      <c r="H53" s="17" t="str">
        <f>IFERROR(__xludf.DUMMYFUNCTION("""COMPUTED_VALUE"""),"N 9195 UF")</f>
        <v>N 9195 UF</v>
      </c>
      <c r="I53" s="17" t="str">
        <f>IFERROR(__xludf.DUMMYFUNCTION("""COMPUTED_VALUE"""),"TLPG TJ PERAK")</f>
        <v>TLPG TJ PERAK</v>
      </c>
      <c r="J53" s="17">
        <f>IFERROR(__xludf.DUMMYFUNCTION("""COMPUTED_VALUE"""),2.0)</f>
        <v>2</v>
      </c>
      <c r="L53" s="11">
        <f>IFERROR(__xludf.DUMMYFUNCTION("""COMPUTED_VALUE"""),19.0)</f>
        <v>19</v>
      </c>
      <c r="M53" s="11" t="str">
        <f>IFERROR(__xludf.DUMMYFUNCTION("""COMPUTED_VALUE"""),"DK 8369 PA")</f>
        <v>DK 8369 PA</v>
      </c>
      <c r="N53" s="11" t="str">
        <f>IFERROR(__xludf.DUMMYFUNCTION("""COMPUTED_VALUE"""),"TLPG MANGGIS")</f>
        <v>TLPG MANGGIS</v>
      </c>
      <c r="O53" s="11">
        <f>IFERROR(__xludf.DUMMYFUNCTION("""COMPUTED_VALUE"""),7.0)</f>
        <v>7</v>
      </c>
      <c r="P53" s="11" t="s">
        <v>480</v>
      </c>
      <c r="Q53" s="11"/>
      <c r="R53" s="11">
        <f>IFERROR(__xludf.DUMMYFUNCTION("""COMPUTED_VALUE"""),19.0)</f>
        <v>19</v>
      </c>
      <c r="S53" s="11" t="str">
        <f>IFERROR(__xludf.DUMMYFUNCTION("""COMPUTED_VALUE"""),"N 8660 UH")</f>
        <v>N 8660 UH</v>
      </c>
      <c r="T53" s="11" t="str">
        <f>IFERROR(__xludf.DUMMYFUNCTION("""COMPUTED_VALUE"""),"TLPG TJ PERAK")</f>
        <v>TLPG TJ PERAK</v>
      </c>
      <c r="U53" s="11">
        <f>IFERROR(__xludf.DUMMYFUNCTION("""COMPUTED_VALUE"""),8.0)</f>
        <v>8</v>
      </c>
      <c r="V53" s="11" t="s">
        <v>459</v>
      </c>
      <c r="W53" s="11"/>
      <c r="X53" s="11">
        <f>IFERROR(__xludf.DUMMYFUNCTION("""COMPUTED_VALUE"""),19.0)</f>
        <v>19</v>
      </c>
      <c r="Y53" s="11" t="str">
        <f>IFERROR(__xludf.DUMMYFUNCTION("""COMPUTED_VALUE"""),"N 9424 UU")</f>
        <v>N 9424 UU</v>
      </c>
      <c r="Z53" s="11" t="str">
        <f>IFERROR(__xludf.DUMMYFUNCTION("""COMPUTED_VALUE"""),"TLPG TJ PERAK")</f>
        <v>TLPG TJ PERAK</v>
      </c>
      <c r="AA53" s="11">
        <f>IFERROR(__xludf.DUMMYFUNCTION("""COMPUTED_VALUE"""),9.0)</f>
        <v>9</v>
      </c>
      <c r="AB53" s="11" t="s">
        <v>450</v>
      </c>
      <c r="AC53" s="11"/>
      <c r="AD53" s="11">
        <f>IFERROR(__xludf.DUMMYFUNCTION("""COMPUTED_VALUE"""),19.0)</f>
        <v>19</v>
      </c>
      <c r="AE53" s="11" t="str">
        <f>IFERROR(__xludf.DUMMYFUNCTION("""COMPUTED_VALUE"""),"S 8058 UL")</f>
        <v>S 8058 UL</v>
      </c>
      <c r="AF53" s="11" t="str">
        <f>IFERROR(__xludf.DUMMYFUNCTION("""COMPUTED_VALUE"""),"TLPG MEM GRESIK")</f>
        <v>TLPG MEM GRESIK</v>
      </c>
      <c r="AG53" s="11">
        <f>IFERROR(__xludf.DUMMYFUNCTION("""COMPUTED_VALUE"""),10.0)</f>
        <v>10</v>
      </c>
      <c r="AH53" s="11" t="s">
        <v>484</v>
      </c>
      <c r="AI53" s="11"/>
      <c r="AJ53" s="11">
        <f>IFERROR(__xludf.DUMMYFUNCTION("""COMPUTED_VALUE"""),19.0)</f>
        <v>19</v>
      </c>
      <c r="AK53" s="11" t="str">
        <f>IFERROR(__xludf.DUMMYFUNCTION("""COMPUTED_VALUE"""),"N 8757 UB")</f>
        <v>N 8757 UB</v>
      </c>
      <c r="AL53" s="11" t="str">
        <f>IFERROR(__xludf.DUMMYFUNCTION("""COMPUTED_VALUE"""),"TLPG TJ PERAK")</f>
        <v>TLPG TJ PERAK</v>
      </c>
      <c r="AM53" s="11">
        <f>IFERROR(__xludf.DUMMYFUNCTION("""COMPUTED_VALUE"""),11.0)</f>
        <v>11</v>
      </c>
      <c r="AN53" s="11" t="s">
        <v>482</v>
      </c>
      <c r="AO53" s="11"/>
      <c r="AP53" s="11">
        <f>IFERROR(__xludf.DUMMYFUNCTION("""COMPUTED_VALUE"""),19.0)</f>
        <v>19</v>
      </c>
      <c r="AQ53" s="11" t="str">
        <f>IFERROR(__xludf.DUMMYFUNCTION("""COMPUTED_VALUE"""),"S 9611 UJ")</f>
        <v>S 9611 UJ</v>
      </c>
      <c r="AR53" s="11" t="str">
        <f>IFERROR(__xludf.DUMMYFUNCTION("""COMPUTED_VALUE"""),"TLPG TJ PERAK")</f>
        <v>TLPG TJ PERAK</v>
      </c>
      <c r="AS53" s="11">
        <f>IFERROR(__xludf.DUMMYFUNCTION("""COMPUTED_VALUE"""),12.0)</f>
        <v>12</v>
      </c>
      <c r="AT53" s="11" t="s">
        <v>485</v>
      </c>
    </row>
    <row r="54">
      <c r="A54" s="13" t="str">
        <f>IFERROR(__xludf.DUMMYFUNCTION("""COMPUTED_VALUE"""),"L 9718 UD")</f>
        <v>L 9718 UD</v>
      </c>
      <c r="B54" s="9" t="str">
        <f>IFERROR(__xludf.DUMMYFUNCTION("""COMPUTED_VALUE"""),"TLPG TJ PERAK")</f>
        <v>TLPG TJ PERAK</v>
      </c>
      <c r="C54" s="11">
        <f>IFERROR(__xludf.DUMMYFUNCTION("""COMPUTED_VALUE"""),2.0)</f>
        <v>2</v>
      </c>
      <c r="D54" s="12">
        <v>1.0</v>
      </c>
      <c r="E54" s="39" t="s">
        <v>273</v>
      </c>
      <c r="F54" s="17"/>
      <c r="G54" s="14">
        <v>53.0</v>
      </c>
      <c r="H54" s="17" t="str">
        <f>IFERROR(__xludf.DUMMYFUNCTION("""COMPUTED_VALUE"""),"DK 8139 TS")</f>
        <v>DK 8139 TS</v>
      </c>
      <c r="I54" s="17" t="str">
        <f>IFERROR(__xludf.DUMMYFUNCTION("""COMPUTED_VALUE"""),"TLPG MANGGIS")</f>
        <v>TLPG MANGGIS</v>
      </c>
      <c r="J54" s="17">
        <f>IFERROR(__xludf.DUMMYFUNCTION("""COMPUTED_VALUE"""),2.0)</f>
        <v>2</v>
      </c>
      <c r="L54" s="11">
        <f>IFERROR(__xludf.DUMMYFUNCTION("""COMPUTED_VALUE"""),20.0)</f>
        <v>20</v>
      </c>
      <c r="M54" s="11" t="str">
        <f>IFERROR(__xludf.DUMMYFUNCTION("""COMPUTED_VALUE"""),"DK 8902 UW")</f>
        <v>DK 8902 UW</v>
      </c>
      <c r="N54" s="11" t="str">
        <f>IFERROR(__xludf.DUMMYFUNCTION("""COMPUTED_VALUE"""),"TLPG MANGGIS")</f>
        <v>TLPG MANGGIS</v>
      </c>
      <c r="O54" s="11">
        <f>IFERROR(__xludf.DUMMYFUNCTION("""COMPUTED_VALUE"""),7.0)</f>
        <v>7</v>
      </c>
      <c r="P54" s="11" t="s">
        <v>486</v>
      </c>
      <c r="Q54" s="11"/>
      <c r="R54" s="11">
        <f>IFERROR(__xludf.DUMMYFUNCTION("""COMPUTED_VALUE"""),20.0)</f>
        <v>20</v>
      </c>
      <c r="S54" s="11" t="str">
        <f>IFERROR(__xludf.DUMMYFUNCTION("""COMPUTED_VALUE"""),"N 8661 UR")</f>
        <v>N 8661 UR</v>
      </c>
      <c r="T54" s="11" t="str">
        <f>IFERROR(__xludf.DUMMYFUNCTION("""COMPUTED_VALUE"""),"TLPG TJ PERAK")</f>
        <v>TLPG TJ PERAK</v>
      </c>
      <c r="U54" s="11">
        <f>IFERROR(__xludf.DUMMYFUNCTION("""COMPUTED_VALUE"""),8.0)</f>
        <v>8</v>
      </c>
      <c r="V54" s="11" t="s">
        <v>487</v>
      </c>
      <c r="W54" s="11"/>
      <c r="X54" s="11">
        <f>IFERROR(__xludf.DUMMYFUNCTION("""COMPUTED_VALUE"""),20.0)</f>
        <v>20</v>
      </c>
      <c r="Y54" s="11" t="str">
        <f>IFERROR(__xludf.DUMMYFUNCTION("""COMPUTED_VALUE"""),"B 9870 SFV")</f>
        <v>B 9870 SFV</v>
      </c>
      <c r="Z54" s="11" t="str">
        <f>IFERROR(__xludf.DUMMYFUNCTION("""COMPUTED_VALUE"""),"TLPG MEM GRESIK")</f>
        <v>TLPG MEM GRESIK</v>
      </c>
      <c r="AA54" s="11">
        <f>IFERROR(__xludf.DUMMYFUNCTION("""COMPUTED_VALUE"""),9.0)</f>
        <v>9</v>
      </c>
      <c r="AB54" s="11" t="s">
        <v>121</v>
      </c>
      <c r="AC54" s="11"/>
      <c r="AD54" s="11">
        <f>IFERROR(__xludf.DUMMYFUNCTION("""COMPUTED_VALUE"""),20.0)</f>
        <v>20</v>
      </c>
      <c r="AE54" s="11" t="str">
        <f>IFERROR(__xludf.DUMMYFUNCTION("""COMPUTED_VALUE"""),"S 8237 UZ")</f>
        <v>S 8237 UZ</v>
      </c>
      <c r="AF54" s="11" t="str">
        <f>IFERROR(__xludf.DUMMYFUNCTION("""COMPUTED_VALUE"""),"TLPG TJ PERAK")</f>
        <v>TLPG TJ PERAK</v>
      </c>
      <c r="AG54" s="11">
        <f>IFERROR(__xludf.DUMMYFUNCTION("""COMPUTED_VALUE"""),10.0)</f>
        <v>10</v>
      </c>
      <c r="AH54" s="11" t="s">
        <v>488</v>
      </c>
      <c r="AI54" s="11"/>
      <c r="AJ54" s="11">
        <f>IFERROR(__xludf.DUMMYFUNCTION("""COMPUTED_VALUE"""),20.0)</f>
        <v>20</v>
      </c>
      <c r="AK54" s="11" t="str">
        <f>IFERROR(__xludf.DUMMYFUNCTION("""COMPUTED_VALUE"""),"S 8548 UN")</f>
        <v>S 8548 UN</v>
      </c>
      <c r="AL54" s="11" t="str">
        <f>IFERROR(__xludf.DUMMYFUNCTION("""COMPUTED_VALUE"""),"TLPG TJ PERAK")</f>
        <v>TLPG TJ PERAK</v>
      </c>
      <c r="AM54" s="11">
        <f>IFERROR(__xludf.DUMMYFUNCTION("""COMPUTED_VALUE"""),11.0)</f>
        <v>11</v>
      </c>
      <c r="AN54" s="11" t="s">
        <v>489</v>
      </c>
      <c r="AO54" s="11"/>
      <c r="AP54" s="11">
        <f>IFERROR(__xludf.DUMMYFUNCTION("""COMPUTED_VALUE"""),20.0)</f>
        <v>20</v>
      </c>
      <c r="AQ54" s="11" t="str">
        <f>IFERROR(__xludf.DUMMYFUNCTION("""COMPUTED_VALUE"""),"S 9614 UJ")</f>
        <v>S 9614 UJ</v>
      </c>
      <c r="AR54" s="11" t="str">
        <f>IFERROR(__xludf.DUMMYFUNCTION("""COMPUTED_VALUE"""),"TLPG TJ PERAK")</f>
        <v>TLPG TJ PERAK</v>
      </c>
      <c r="AS54" s="11">
        <f>IFERROR(__xludf.DUMMYFUNCTION("""COMPUTED_VALUE"""),12.0)</f>
        <v>12</v>
      </c>
      <c r="AT54" s="11" t="s">
        <v>485</v>
      </c>
    </row>
    <row r="55">
      <c r="A55" s="13" t="str">
        <f>IFERROR(__xludf.DUMMYFUNCTION("""COMPUTED_VALUE"""),"N 8083 UQ")</f>
        <v>N 8083 UQ</v>
      </c>
      <c r="B55" s="9" t="str">
        <f>IFERROR(__xludf.DUMMYFUNCTION("""COMPUTED_VALUE"""),"TLPG TJ PERAK")</f>
        <v>TLPG TJ PERAK</v>
      </c>
      <c r="C55" s="11">
        <f>IFERROR(__xludf.DUMMYFUNCTION("""COMPUTED_VALUE"""),2.0)</f>
        <v>2</v>
      </c>
      <c r="D55" s="12">
        <v>7.0</v>
      </c>
      <c r="E55" s="34" t="s">
        <v>475</v>
      </c>
      <c r="F55" s="17"/>
      <c r="G55" s="14">
        <v>54.0</v>
      </c>
      <c r="H55" s="17" t="str">
        <f>IFERROR(__xludf.DUMMYFUNCTION("""COMPUTED_VALUE"""),"DK 8141 JM")</f>
        <v>DK 8141 JM</v>
      </c>
      <c r="I55" s="17" t="str">
        <f>IFERROR(__xludf.DUMMYFUNCTION("""COMPUTED_VALUE"""),"TLPG MANGGIS")</f>
        <v>TLPG MANGGIS</v>
      </c>
      <c r="J55" s="17">
        <f>IFERROR(__xludf.DUMMYFUNCTION("""COMPUTED_VALUE"""),2.0)</f>
        <v>2</v>
      </c>
      <c r="L55" s="11">
        <f>IFERROR(__xludf.DUMMYFUNCTION("""COMPUTED_VALUE"""),21.0)</f>
        <v>21</v>
      </c>
      <c r="M55" s="11" t="str">
        <f>IFERROR(__xludf.DUMMYFUNCTION("""COMPUTED_VALUE"""),"DR 8653 AG")</f>
        <v>DR 8653 AG</v>
      </c>
      <c r="N55" s="11" t="str">
        <f>IFERROR(__xludf.DUMMYFUNCTION("""COMPUTED_VALUE"""),"TLPG LOMBOK")</f>
        <v>TLPG LOMBOK</v>
      </c>
      <c r="O55" s="11">
        <f>IFERROR(__xludf.DUMMYFUNCTION("""COMPUTED_VALUE"""),7.0)</f>
        <v>7</v>
      </c>
      <c r="P55" s="11" t="s">
        <v>445</v>
      </c>
      <c r="Q55" s="11"/>
      <c r="R55" s="11">
        <f>IFERROR(__xludf.DUMMYFUNCTION("""COMPUTED_VALUE"""),21.0)</f>
        <v>21</v>
      </c>
      <c r="S55" s="11" t="str">
        <f>IFERROR(__xludf.DUMMYFUNCTION("""COMPUTED_VALUE"""),"N 8673 UV")</f>
        <v>N 8673 UV</v>
      </c>
      <c r="T55" s="11" t="str">
        <f>IFERROR(__xludf.DUMMYFUNCTION("""COMPUTED_VALUE"""),"TLPG TJ PERAK")</f>
        <v>TLPG TJ PERAK</v>
      </c>
      <c r="U55" s="11">
        <f>IFERROR(__xludf.DUMMYFUNCTION("""COMPUTED_VALUE"""),8.0)</f>
        <v>8</v>
      </c>
      <c r="V55" s="11" t="s">
        <v>491</v>
      </c>
      <c r="W55" s="11"/>
      <c r="X55" s="11">
        <f>IFERROR(__xludf.DUMMYFUNCTION("""COMPUTED_VALUE"""),21.0)</f>
        <v>21</v>
      </c>
      <c r="Y55" s="11" t="str">
        <f>IFERROR(__xludf.DUMMYFUNCTION("""COMPUTED_VALUE"""),"S 8236 UZ")</f>
        <v>S 8236 UZ</v>
      </c>
      <c r="Z55" s="11" t="str">
        <f>IFERROR(__xludf.DUMMYFUNCTION("""COMPUTED_VALUE"""),"TLPG TJ PERAK")</f>
        <v>TLPG TJ PERAK</v>
      </c>
      <c r="AA55" s="11">
        <f>IFERROR(__xludf.DUMMYFUNCTION("""COMPUTED_VALUE"""),9.0)</f>
        <v>9</v>
      </c>
      <c r="AB55" s="11" t="s">
        <v>488</v>
      </c>
      <c r="AC55" s="11"/>
      <c r="AD55" s="11">
        <f>IFERROR(__xludf.DUMMYFUNCTION("""COMPUTED_VALUE"""),21.0)</f>
        <v>21</v>
      </c>
      <c r="AE55" s="11" t="str">
        <f>IFERROR(__xludf.DUMMYFUNCTION("""COMPUTED_VALUE"""),"S 8319 UZ")</f>
        <v>S 8319 UZ</v>
      </c>
      <c r="AF55" s="11" t="str">
        <f>IFERROR(__xludf.DUMMYFUNCTION("""COMPUTED_VALUE"""),"TLPG TJ PERAK")</f>
        <v>TLPG TJ PERAK</v>
      </c>
      <c r="AG55" s="11">
        <f>IFERROR(__xludf.DUMMYFUNCTION("""COMPUTED_VALUE"""),10.0)</f>
        <v>10</v>
      </c>
      <c r="AH55" s="11" t="s">
        <v>492</v>
      </c>
      <c r="AI55" s="11"/>
      <c r="AJ55" s="11">
        <f>IFERROR(__xludf.DUMMYFUNCTION("""COMPUTED_VALUE"""),21.0)</f>
        <v>21</v>
      </c>
      <c r="AK55" s="11" t="str">
        <f>IFERROR(__xludf.DUMMYFUNCTION("""COMPUTED_VALUE"""),"S 8560 UC")</f>
        <v>S 8560 UC</v>
      </c>
      <c r="AL55" s="11" t="str">
        <f>IFERROR(__xludf.DUMMYFUNCTION("""COMPUTED_VALUE"""),"TLPG TJ PERAK")</f>
        <v>TLPG TJ PERAK</v>
      </c>
      <c r="AM55" s="11">
        <f>IFERROR(__xludf.DUMMYFUNCTION("""COMPUTED_VALUE"""),11.0)</f>
        <v>11</v>
      </c>
      <c r="AN55" s="11" t="s">
        <v>493</v>
      </c>
      <c r="AO55" s="11"/>
      <c r="AP55" s="11">
        <f>IFERROR(__xludf.DUMMYFUNCTION("""COMPUTED_VALUE"""),21.0)</f>
        <v>21</v>
      </c>
      <c r="AQ55" s="11" t="str">
        <f>IFERROR(__xludf.DUMMYFUNCTION("""COMPUTED_VALUE"""),"S 9650 UE")</f>
        <v>S 9650 UE</v>
      </c>
      <c r="AR55" s="11" t="str">
        <f>IFERROR(__xludf.DUMMYFUNCTION("""COMPUTED_VALUE"""),"TLPG TJ PERAK")</f>
        <v>TLPG TJ PERAK</v>
      </c>
      <c r="AS55" s="11">
        <f>IFERROR(__xludf.DUMMYFUNCTION("""COMPUTED_VALUE"""),12.0)</f>
        <v>12</v>
      </c>
      <c r="AT55" s="11" t="s">
        <v>479</v>
      </c>
    </row>
    <row r="56">
      <c r="A56" s="13" t="str">
        <f>IFERROR(__xludf.DUMMYFUNCTION("""COMPUTED_VALUE"""),"N 9195 UF")</f>
        <v>N 9195 UF</v>
      </c>
      <c r="B56" s="9" t="str">
        <f>IFERROR(__xludf.DUMMYFUNCTION("""COMPUTED_VALUE"""),"TLPG TJ PERAK")</f>
        <v>TLPG TJ PERAK</v>
      </c>
      <c r="C56" s="11">
        <f>IFERROR(__xludf.DUMMYFUNCTION("""COMPUTED_VALUE"""),2.0)</f>
        <v>2</v>
      </c>
      <c r="D56" s="12">
        <v>2.0</v>
      </c>
      <c r="E56" s="34" t="s">
        <v>341</v>
      </c>
      <c r="F56" s="17"/>
      <c r="G56" s="14">
        <v>55.0</v>
      </c>
      <c r="H56" s="17" t="str">
        <f>IFERROR(__xludf.DUMMYFUNCTION("""COMPUTED_VALUE"""),"L 8083 CA")</f>
        <v>L 8083 CA</v>
      </c>
      <c r="I56" s="17" t="str">
        <f>IFERROR(__xludf.DUMMYFUNCTION("""COMPUTED_VALUE"""),"TLPG TJ WANGI")</f>
        <v>TLPG TJ WANGI</v>
      </c>
      <c r="J56" s="17">
        <f>IFERROR(__xludf.DUMMYFUNCTION("""COMPUTED_VALUE"""),2.0)</f>
        <v>2</v>
      </c>
      <c r="L56" s="11">
        <f>IFERROR(__xludf.DUMMYFUNCTION("""COMPUTED_VALUE"""),22.0)</f>
        <v>22</v>
      </c>
      <c r="M56" s="11" t="str">
        <f>IFERROR(__xludf.DUMMYFUNCTION("""COMPUTED_VALUE"""),"L 9819 UJ")</f>
        <v>L 9819 UJ</v>
      </c>
      <c r="N56" s="11" t="str">
        <f>IFERROR(__xludf.DUMMYFUNCTION("""COMPUTED_VALUE"""),"TLPG MEM GRESIK")</f>
        <v>TLPG MEM GRESIK</v>
      </c>
      <c r="O56" s="11">
        <f>IFERROR(__xludf.DUMMYFUNCTION("""COMPUTED_VALUE"""),7.0)</f>
        <v>7</v>
      </c>
      <c r="P56" s="11" t="s">
        <v>83</v>
      </c>
      <c r="Q56" s="11"/>
      <c r="R56" s="11">
        <f>IFERROR(__xludf.DUMMYFUNCTION("""COMPUTED_VALUE"""),22.0)</f>
        <v>22</v>
      </c>
      <c r="S56" s="11" t="str">
        <f>IFERROR(__xludf.DUMMYFUNCTION("""COMPUTED_VALUE"""),"N 8674 UV")</f>
        <v>N 8674 UV</v>
      </c>
      <c r="T56" s="11" t="str">
        <f>IFERROR(__xludf.DUMMYFUNCTION("""COMPUTED_VALUE"""),"TLPG TJ PERAK")</f>
        <v>TLPG TJ PERAK</v>
      </c>
      <c r="U56" s="11">
        <f>IFERROR(__xludf.DUMMYFUNCTION("""COMPUTED_VALUE"""),8.0)</f>
        <v>8</v>
      </c>
      <c r="V56" s="11" t="s">
        <v>491</v>
      </c>
      <c r="W56" s="11"/>
      <c r="X56" s="11">
        <f>IFERROR(__xludf.DUMMYFUNCTION("""COMPUTED_VALUE"""),22.0)</f>
        <v>22</v>
      </c>
      <c r="Y56" s="11" t="str">
        <f>IFERROR(__xludf.DUMMYFUNCTION("""COMPUTED_VALUE"""),"S 8290 AI")</f>
        <v>S 8290 AI</v>
      </c>
      <c r="Z56" s="11" t="str">
        <f>IFERROR(__xludf.DUMMYFUNCTION("""COMPUTED_VALUE"""),"TLPG TJ PERAK")</f>
        <v>TLPG TJ PERAK</v>
      </c>
      <c r="AA56" s="11">
        <f>IFERROR(__xludf.DUMMYFUNCTION("""COMPUTED_VALUE"""),9.0)</f>
        <v>9</v>
      </c>
      <c r="AB56" s="11" t="s">
        <v>184</v>
      </c>
      <c r="AC56" s="11"/>
      <c r="AD56" s="11">
        <f>IFERROR(__xludf.DUMMYFUNCTION("""COMPUTED_VALUE"""),22.0)</f>
        <v>22</v>
      </c>
      <c r="AE56" s="11" t="str">
        <f>IFERROR(__xludf.DUMMYFUNCTION("""COMPUTED_VALUE"""),"S 8347 UQ")</f>
        <v>S 8347 UQ</v>
      </c>
      <c r="AF56" s="11" t="str">
        <f>IFERROR(__xludf.DUMMYFUNCTION("""COMPUTED_VALUE"""),"TLPG TJ PERAK")</f>
        <v>TLPG TJ PERAK</v>
      </c>
      <c r="AG56" s="11">
        <f>IFERROR(__xludf.DUMMYFUNCTION("""COMPUTED_VALUE"""),10.0)</f>
        <v>10</v>
      </c>
      <c r="AH56" s="11" t="s">
        <v>494</v>
      </c>
      <c r="AI56" s="11"/>
      <c r="AJ56" s="11">
        <f>IFERROR(__xludf.DUMMYFUNCTION("""COMPUTED_VALUE"""),22.0)</f>
        <v>22</v>
      </c>
      <c r="AK56" s="11" t="str">
        <f>IFERROR(__xludf.DUMMYFUNCTION("""COMPUTED_VALUE"""),"S 8561 UC")</f>
        <v>S 8561 UC</v>
      </c>
      <c r="AL56" s="11" t="str">
        <f>IFERROR(__xludf.DUMMYFUNCTION("""COMPUTED_VALUE"""),"TLPG TJ PERAK")</f>
        <v>TLPG TJ PERAK</v>
      </c>
      <c r="AM56" s="11">
        <f>IFERROR(__xludf.DUMMYFUNCTION("""COMPUTED_VALUE"""),11.0)</f>
        <v>11</v>
      </c>
      <c r="AN56" s="11" t="s">
        <v>495</v>
      </c>
      <c r="AO56" s="11"/>
      <c r="AP56" s="11">
        <f>IFERROR(__xludf.DUMMYFUNCTION("""COMPUTED_VALUE"""),22.0)</f>
        <v>22</v>
      </c>
      <c r="AQ56" s="11" t="str">
        <f>IFERROR(__xludf.DUMMYFUNCTION("""COMPUTED_VALUE"""),"S 9973 UQ")</f>
        <v>S 9973 UQ</v>
      </c>
      <c r="AR56" s="11" t="str">
        <f>IFERROR(__xludf.DUMMYFUNCTION("""COMPUTED_VALUE"""),"TLPG TJ PERAK")</f>
        <v>TLPG TJ PERAK</v>
      </c>
      <c r="AS56" s="11">
        <f>IFERROR(__xludf.DUMMYFUNCTION("""COMPUTED_VALUE"""),12.0)</f>
        <v>12</v>
      </c>
      <c r="AT56" s="11" t="s">
        <v>477</v>
      </c>
    </row>
    <row r="57">
      <c r="A57" s="13" t="str">
        <f>IFERROR(__xludf.DUMMYFUNCTION("""COMPUTED_VALUE"""),"P 8172 UF")</f>
        <v>P 8172 UF</v>
      </c>
      <c r="B57" s="9" t="str">
        <f>IFERROR(__xludf.DUMMYFUNCTION("""COMPUTED_VALUE"""),"TLPG TJ WANGI")</f>
        <v>TLPG TJ WANGI</v>
      </c>
      <c r="C57" s="11">
        <f>IFERROR(__xludf.DUMMYFUNCTION("""COMPUTED_VALUE"""),2.0)</f>
        <v>2</v>
      </c>
      <c r="D57" s="12">
        <v>1.0</v>
      </c>
      <c r="E57" s="34" t="s">
        <v>184</v>
      </c>
      <c r="F57" s="17"/>
      <c r="G57" s="14">
        <v>56.0</v>
      </c>
      <c r="H57" s="17" t="str">
        <f>IFERROR(__xludf.DUMMYFUNCTION("""COMPUTED_VALUE"""),"AG 8093 EI")</f>
        <v>AG 8093 EI</v>
      </c>
      <c r="I57" s="17" t="str">
        <f>IFERROR(__xludf.DUMMYFUNCTION("""COMPUTED_VALUE"""),"TLPG MEM GRESIK")</f>
        <v>TLPG MEM GRESIK</v>
      </c>
      <c r="J57" s="17">
        <f>IFERROR(__xludf.DUMMYFUNCTION("""COMPUTED_VALUE"""),3.0)</f>
        <v>3</v>
      </c>
      <c r="L57" s="11">
        <f>IFERROR(__xludf.DUMMYFUNCTION("""COMPUTED_VALUE"""),23.0)</f>
        <v>23</v>
      </c>
      <c r="M57" s="11" t="str">
        <f>IFERROR(__xludf.DUMMYFUNCTION("""COMPUTED_VALUE"""),"N 8006 UT")</f>
        <v>N 8006 UT</v>
      </c>
      <c r="N57" s="11" t="str">
        <f>IFERROR(__xludf.DUMMYFUNCTION("""COMPUTED_VALUE"""),"TLPG TJ PERAK")</f>
        <v>TLPG TJ PERAK</v>
      </c>
      <c r="O57" s="11">
        <f>IFERROR(__xludf.DUMMYFUNCTION("""COMPUTED_VALUE"""),7.0)</f>
        <v>7</v>
      </c>
      <c r="P57" s="11" t="s">
        <v>462</v>
      </c>
      <c r="Q57" s="11"/>
      <c r="R57" s="11">
        <f>IFERROR(__xludf.DUMMYFUNCTION("""COMPUTED_VALUE"""),23.0)</f>
        <v>23</v>
      </c>
      <c r="S57" s="11" t="str">
        <f>IFERROR(__xludf.DUMMYFUNCTION("""COMPUTED_VALUE"""),"B 9874 SFV")</f>
        <v>B 9874 SFV</v>
      </c>
      <c r="T57" s="11" t="str">
        <f>IFERROR(__xludf.DUMMYFUNCTION("""COMPUTED_VALUE"""),"TLPG MEM GRESIK")</f>
        <v>TLPG MEM GRESIK</v>
      </c>
      <c r="U57" s="11">
        <f>IFERROR(__xludf.DUMMYFUNCTION("""COMPUTED_VALUE"""),8.0)</f>
        <v>8</v>
      </c>
      <c r="V57" s="11" t="s">
        <v>121</v>
      </c>
      <c r="W57" s="11"/>
      <c r="X57" s="11">
        <f>IFERROR(__xludf.DUMMYFUNCTION("""COMPUTED_VALUE"""),23.0)</f>
        <v>23</v>
      </c>
      <c r="Y57" s="11" t="str">
        <f>IFERROR(__xludf.DUMMYFUNCTION("""COMPUTED_VALUE"""),"S 8672 UC")</f>
        <v>S 8672 UC</v>
      </c>
      <c r="Z57" s="11" t="str">
        <f>IFERROR(__xludf.DUMMYFUNCTION("""COMPUTED_VALUE"""),"TLPG TJ PERAK")</f>
        <v>TLPG TJ PERAK</v>
      </c>
      <c r="AA57" s="11">
        <f>IFERROR(__xludf.DUMMYFUNCTION("""COMPUTED_VALUE"""),9.0)</f>
        <v>9</v>
      </c>
      <c r="AB57" s="11" t="s">
        <v>496</v>
      </c>
      <c r="AC57" s="11"/>
      <c r="AD57" s="11">
        <f>IFERROR(__xludf.DUMMYFUNCTION("""COMPUTED_VALUE"""),23.0)</f>
        <v>23</v>
      </c>
      <c r="AE57" s="11" t="str">
        <f>IFERROR(__xludf.DUMMYFUNCTION("""COMPUTED_VALUE"""),"S 8543 UN")</f>
        <v>S 8543 UN</v>
      </c>
      <c r="AF57" s="11" t="str">
        <f>IFERROR(__xludf.DUMMYFUNCTION("""COMPUTED_VALUE"""),"TLPG TJ PERAK")</f>
        <v>TLPG TJ PERAK</v>
      </c>
      <c r="AG57" s="11">
        <f>IFERROR(__xludf.DUMMYFUNCTION("""COMPUTED_VALUE"""),10.0)</f>
        <v>10</v>
      </c>
      <c r="AH57" s="11" t="s">
        <v>489</v>
      </c>
      <c r="AI57" s="11"/>
      <c r="AJ57" s="11">
        <f>IFERROR(__xludf.DUMMYFUNCTION("""COMPUTED_VALUE"""),23.0)</f>
        <v>23</v>
      </c>
      <c r="AK57" s="11" t="str">
        <f>IFERROR(__xludf.DUMMYFUNCTION("""COMPUTED_VALUE"""),"DK 8078 HJ")</f>
        <v>DK 8078 HJ</v>
      </c>
      <c r="AL57" s="11" t="str">
        <f>IFERROR(__xludf.DUMMYFUNCTION("""COMPUTED_VALUE"""),"TLPG MANGGIS")</f>
        <v>TLPG MANGGIS</v>
      </c>
      <c r="AM57" s="11">
        <f>IFERROR(__xludf.DUMMYFUNCTION("""COMPUTED_VALUE"""),11.0)</f>
        <v>11</v>
      </c>
      <c r="AN57" s="11" t="s">
        <v>127</v>
      </c>
      <c r="AO57" s="11"/>
      <c r="AP57" s="11">
        <f>IFERROR(__xludf.DUMMYFUNCTION("""COMPUTED_VALUE"""),23.0)</f>
        <v>23</v>
      </c>
      <c r="AQ57" s="11" t="str">
        <f>IFERROR(__xludf.DUMMYFUNCTION("""COMPUTED_VALUE"""),"W 8041 UW")</f>
        <v>W 8041 UW</v>
      </c>
      <c r="AR57" s="11" t="str">
        <f>IFERROR(__xludf.DUMMYFUNCTION("""COMPUTED_VALUE"""),"TLPG TJ PERAK")</f>
        <v>TLPG TJ PERAK</v>
      </c>
      <c r="AS57" s="11">
        <f>IFERROR(__xludf.DUMMYFUNCTION("""COMPUTED_VALUE"""),12.0)</f>
        <v>12</v>
      </c>
      <c r="AT57" s="11" t="s">
        <v>451</v>
      </c>
    </row>
    <row r="58">
      <c r="A58" s="13" t="str">
        <f>IFERROR(__xludf.DUMMYFUNCTION("""COMPUTED_VALUE"""),"AG 8079 UZ")</f>
        <v>AG 8079 UZ</v>
      </c>
      <c r="B58" s="9" t="str">
        <f>IFERROR(__xludf.DUMMYFUNCTION("""COMPUTED_VALUE"""),"TLPG TJ PERAK")</f>
        <v>TLPG TJ PERAK</v>
      </c>
      <c r="C58" s="11">
        <f>IFERROR(__xludf.DUMMYFUNCTION("""COMPUTED_VALUE"""),3.0)</f>
        <v>3</v>
      </c>
      <c r="D58" s="12">
        <v>3.0</v>
      </c>
      <c r="E58" s="34" t="s">
        <v>135</v>
      </c>
      <c r="F58" s="17"/>
      <c r="G58" s="14">
        <v>57.0</v>
      </c>
      <c r="H58" s="17" t="str">
        <f>IFERROR(__xludf.DUMMYFUNCTION("""COMPUTED_VALUE"""),"AG 8016 UC")</f>
        <v>AG 8016 UC</v>
      </c>
      <c r="I58" s="17" t="str">
        <f>IFERROR(__xludf.DUMMYFUNCTION("""COMPUTED_VALUE"""),"TLPG TJ PERAK")</f>
        <v>TLPG TJ PERAK</v>
      </c>
      <c r="J58" s="17">
        <f>IFERROR(__xludf.DUMMYFUNCTION("""COMPUTED_VALUE"""),3.0)</f>
        <v>3</v>
      </c>
      <c r="L58" s="11">
        <f>IFERROR(__xludf.DUMMYFUNCTION("""COMPUTED_VALUE"""),24.0)</f>
        <v>24</v>
      </c>
      <c r="M58" s="11" t="str">
        <f>IFERROR(__xludf.DUMMYFUNCTION("""COMPUTED_VALUE"""),"N 8041 UZ")</f>
        <v>N 8041 UZ</v>
      </c>
      <c r="N58" s="11" t="str">
        <f>IFERROR(__xludf.DUMMYFUNCTION("""COMPUTED_VALUE"""),"TLPG MEM GRESIK")</f>
        <v>TLPG MEM GRESIK</v>
      </c>
      <c r="O58" s="11">
        <f>IFERROR(__xludf.DUMMYFUNCTION("""COMPUTED_VALUE"""),7.0)</f>
        <v>7</v>
      </c>
      <c r="P58" s="11" t="s">
        <v>497</v>
      </c>
      <c r="Q58" s="11"/>
      <c r="R58" s="11">
        <f>IFERROR(__xludf.DUMMYFUNCTION("""COMPUTED_VALUE"""),24.0)</f>
        <v>24</v>
      </c>
      <c r="S58" s="11" t="str">
        <f>IFERROR(__xludf.DUMMYFUNCTION("""COMPUTED_VALUE"""),"DK 8100 CL")</f>
        <v>DK 8100 CL</v>
      </c>
      <c r="T58" s="11" t="str">
        <f>IFERROR(__xludf.DUMMYFUNCTION("""COMPUTED_VALUE"""),"TLPG MANGGIS")</f>
        <v>TLPG MANGGIS</v>
      </c>
      <c r="U58" s="11">
        <f>IFERROR(__xludf.DUMMYFUNCTION("""COMPUTED_VALUE"""),8.0)</f>
        <v>8</v>
      </c>
      <c r="V58" s="11" t="s">
        <v>455</v>
      </c>
      <c r="W58" s="11"/>
      <c r="X58" s="11">
        <f>IFERROR(__xludf.DUMMYFUNCTION("""COMPUTED_VALUE"""),24.0)</f>
        <v>24</v>
      </c>
      <c r="Y58" s="11" t="str">
        <f>IFERROR(__xludf.DUMMYFUNCTION("""COMPUTED_VALUE"""),"S 8752 UC")</f>
        <v>S 8752 UC</v>
      </c>
      <c r="Z58" s="11" t="str">
        <f>IFERROR(__xludf.DUMMYFUNCTION("""COMPUTED_VALUE"""),"TLPG TJ PERAK")</f>
        <v>TLPG TJ PERAK</v>
      </c>
      <c r="AA58" s="11">
        <f>IFERROR(__xludf.DUMMYFUNCTION("""COMPUTED_VALUE"""),9.0)</f>
        <v>9</v>
      </c>
      <c r="AB58" s="11" t="s">
        <v>469</v>
      </c>
      <c r="AC58" s="11"/>
      <c r="AD58" s="11">
        <f>IFERROR(__xludf.DUMMYFUNCTION("""COMPUTED_VALUE"""),24.0)</f>
        <v>24</v>
      </c>
      <c r="AE58" s="11" t="str">
        <f>IFERROR(__xludf.DUMMYFUNCTION("""COMPUTED_VALUE"""),"DK 8781 HB")</f>
        <v>DK 8781 HB</v>
      </c>
      <c r="AF58" s="11" t="str">
        <f>IFERROR(__xludf.DUMMYFUNCTION("""COMPUTED_VALUE"""),"TLPG MANGGIS")</f>
        <v>TLPG MANGGIS</v>
      </c>
      <c r="AG58" s="11">
        <f>IFERROR(__xludf.DUMMYFUNCTION("""COMPUTED_VALUE"""),10.0)</f>
        <v>10</v>
      </c>
      <c r="AH58" s="11" t="s">
        <v>184</v>
      </c>
      <c r="AI58" s="11"/>
      <c r="AJ58" s="11">
        <f>IFERROR(__xludf.DUMMYFUNCTION("""COMPUTED_VALUE"""),24.0)</f>
        <v>24</v>
      </c>
      <c r="AK58" s="11" t="str">
        <f>IFERROR(__xludf.DUMMYFUNCTION("""COMPUTED_VALUE"""),"DK 8636 BE")</f>
        <v>DK 8636 BE</v>
      </c>
      <c r="AL58" s="11" t="str">
        <f>IFERROR(__xludf.DUMMYFUNCTION("""COMPUTED_VALUE"""),"TLPG MANGGIS")</f>
        <v>TLPG MANGGIS</v>
      </c>
      <c r="AM58" s="11">
        <f>IFERROR(__xludf.DUMMYFUNCTION("""COMPUTED_VALUE"""),11.0)</f>
        <v>11</v>
      </c>
      <c r="AN58" s="11" t="s">
        <v>498</v>
      </c>
      <c r="AO58" s="11"/>
      <c r="AP58" s="11">
        <f>IFERROR(__xludf.DUMMYFUNCTION("""COMPUTED_VALUE"""),24.0)</f>
        <v>24</v>
      </c>
      <c r="AQ58" s="11" t="str">
        <f>IFERROR(__xludf.DUMMYFUNCTION("""COMPUTED_VALUE"""),"W 8303 PG")</f>
        <v>W 8303 PG</v>
      </c>
      <c r="AR58" s="11" t="str">
        <f>IFERROR(__xludf.DUMMYFUNCTION("""COMPUTED_VALUE"""),"TLPG TJ PERAK")</f>
        <v>TLPG TJ PERAK</v>
      </c>
      <c r="AS58" s="11">
        <f>IFERROR(__xludf.DUMMYFUNCTION("""COMPUTED_VALUE"""),12.0)</f>
        <v>12</v>
      </c>
      <c r="AT58" s="11" t="s">
        <v>499</v>
      </c>
    </row>
    <row r="59">
      <c r="A59" s="13" t="str">
        <f>IFERROR(__xludf.DUMMYFUNCTION("""COMPUTED_VALUE"""),"AG 8086 UF")</f>
        <v>AG 8086 UF</v>
      </c>
      <c r="B59" s="9" t="str">
        <f>IFERROR(__xludf.DUMMYFUNCTION("""COMPUTED_VALUE"""),"TLPG TJ PERAK")</f>
        <v>TLPG TJ PERAK</v>
      </c>
      <c r="C59" s="11">
        <f>IFERROR(__xludf.DUMMYFUNCTION("""COMPUTED_VALUE"""),3.0)</f>
        <v>3</v>
      </c>
      <c r="D59" s="12">
        <v>3.0</v>
      </c>
      <c r="E59" s="34" t="s">
        <v>155</v>
      </c>
      <c r="F59" s="17"/>
      <c r="G59" s="14">
        <v>58.0</v>
      </c>
      <c r="H59" s="17" t="str">
        <f>IFERROR(__xludf.DUMMYFUNCTION("""COMPUTED_VALUE"""),"AG 8079 UZ")</f>
        <v>AG 8079 UZ</v>
      </c>
      <c r="I59" s="17" t="str">
        <f>IFERROR(__xludf.DUMMYFUNCTION("""COMPUTED_VALUE"""),"TLPG TJ PERAK")</f>
        <v>TLPG TJ PERAK</v>
      </c>
      <c r="J59" s="17">
        <f>IFERROR(__xludf.DUMMYFUNCTION("""COMPUTED_VALUE"""),3.0)</f>
        <v>3</v>
      </c>
      <c r="L59" s="11">
        <f>IFERROR(__xludf.DUMMYFUNCTION("""COMPUTED_VALUE"""),25.0)</f>
        <v>25</v>
      </c>
      <c r="M59" s="11" t="str">
        <f>IFERROR(__xludf.DUMMYFUNCTION("""COMPUTED_VALUE"""),"B 9069 SEJ")</f>
        <v>B 9069 SEJ</v>
      </c>
      <c r="N59" s="11" t="str">
        <f>IFERROR(__xludf.DUMMYFUNCTION("""COMPUTED_VALUE"""),"TLPG TJ WANGI")</f>
        <v>TLPG TJ WANGI</v>
      </c>
      <c r="O59" s="11">
        <f>IFERROR(__xludf.DUMMYFUNCTION("""COMPUTED_VALUE"""),7.0)</f>
        <v>7</v>
      </c>
      <c r="P59" s="11" t="s">
        <v>184</v>
      </c>
      <c r="Q59" s="11"/>
      <c r="R59" s="11">
        <f>IFERROR(__xludf.DUMMYFUNCTION("""COMPUTED_VALUE"""),25.0)</f>
        <v>25</v>
      </c>
      <c r="S59" s="11" t="str">
        <f>IFERROR(__xludf.DUMMYFUNCTION("""COMPUTED_VALUE"""),"DK 8547 CV")</f>
        <v>DK 8547 CV</v>
      </c>
      <c r="T59" s="11" t="str">
        <f>IFERROR(__xludf.DUMMYFUNCTION("""COMPUTED_VALUE"""),"TLPG MANGGIS")</f>
        <v>TLPG MANGGIS</v>
      </c>
      <c r="U59" s="11">
        <f>IFERROR(__xludf.DUMMYFUNCTION("""COMPUTED_VALUE"""),8.0)</f>
        <v>8</v>
      </c>
      <c r="V59" s="11" t="s">
        <v>455</v>
      </c>
      <c r="W59" s="11"/>
      <c r="X59" s="11">
        <f>IFERROR(__xludf.DUMMYFUNCTION("""COMPUTED_VALUE"""),25.0)</f>
        <v>25</v>
      </c>
      <c r="Y59" s="11" t="str">
        <f>IFERROR(__xludf.DUMMYFUNCTION("""COMPUTED_VALUE"""),"S 8943 UU")</f>
        <v>S 8943 UU</v>
      </c>
      <c r="Z59" s="11" t="str">
        <f>IFERROR(__xludf.DUMMYFUNCTION("""COMPUTED_VALUE"""),"TLPG TJ PERAK")</f>
        <v>TLPG TJ PERAK</v>
      </c>
      <c r="AA59" s="11">
        <f>IFERROR(__xludf.DUMMYFUNCTION("""COMPUTED_VALUE"""),9.0)</f>
        <v>9</v>
      </c>
      <c r="AB59" s="11" t="s">
        <v>464</v>
      </c>
      <c r="AC59" s="11"/>
      <c r="AD59" s="11">
        <f>IFERROR(__xludf.DUMMYFUNCTION("""COMPUTED_VALUE"""),25.0)</f>
        <v>25</v>
      </c>
      <c r="AE59" s="11" t="str">
        <f>IFERROR(__xludf.DUMMYFUNCTION("""COMPUTED_VALUE"""),"DK 8834 BM")</f>
        <v>DK 8834 BM</v>
      </c>
      <c r="AF59" s="11" t="str">
        <f>IFERROR(__xludf.DUMMYFUNCTION("""COMPUTED_VALUE"""),"TLPG MANGGIS")</f>
        <v>TLPG MANGGIS</v>
      </c>
      <c r="AG59" s="11">
        <f>IFERROR(__xludf.DUMMYFUNCTION("""COMPUTED_VALUE"""),10.0)</f>
        <v>10</v>
      </c>
      <c r="AH59" s="11" t="s">
        <v>500</v>
      </c>
      <c r="AI59" s="11"/>
      <c r="AJ59" s="11">
        <f>IFERROR(__xludf.DUMMYFUNCTION("""COMPUTED_VALUE"""),25.0)</f>
        <v>25</v>
      </c>
      <c r="AK59" s="11" t="str">
        <f>IFERROR(__xludf.DUMMYFUNCTION("""COMPUTED_VALUE"""),"P 8824 UI")</f>
        <v>P 8824 UI</v>
      </c>
      <c r="AL59" s="11" t="str">
        <f>IFERROR(__xludf.DUMMYFUNCTION("""COMPUTED_VALUE"""),"TLPG TJ WANGI")</f>
        <v>TLPG TJ WANGI</v>
      </c>
      <c r="AM59" s="11">
        <f>IFERROR(__xludf.DUMMYFUNCTION("""COMPUTED_VALUE"""),11.0)</f>
        <v>11</v>
      </c>
      <c r="AN59" s="11" t="s">
        <v>472</v>
      </c>
      <c r="AO59" s="11"/>
      <c r="AP59" s="11">
        <f>IFERROR(__xludf.DUMMYFUNCTION("""COMPUTED_VALUE"""),25.0)</f>
        <v>25</v>
      </c>
      <c r="AQ59" s="11" t="str">
        <f>IFERROR(__xludf.DUMMYFUNCTION("""COMPUTED_VALUE"""),"W 8353 UR")</f>
        <v>W 8353 UR</v>
      </c>
      <c r="AR59" s="11" t="str">
        <f>IFERROR(__xludf.DUMMYFUNCTION("""COMPUTED_VALUE"""),"TLPG TJ PERAK")</f>
        <v>TLPG TJ PERAK</v>
      </c>
      <c r="AS59" s="11">
        <f>IFERROR(__xludf.DUMMYFUNCTION("""COMPUTED_VALUE"""),12.0)</f>
        <v>12</v>
      </c>
      <c r="AT59" s="11" t="s">
        <v>175</v>
      </c>
    </row>
    <row r="60">
      <c r="A60" s="13" t="str">
        <f>IFERROR(__xludf.DUMMYFUNCTION("""COMPUTED_VALUE"""),"AG 8087 UF")</f>
        <v>AG 8087 UF</v>
      </c>
      <c r="B60" s="9" t="str">
        <f>IFERROR(__xludf.DUMMYFUNCTION("""COMPUTED_VALUE"""),"TLPG TJ PERAK")</f>
        <v>TLPG TJ PERAK</v>
      </c>
      <c r="C60" s="11">
        <f>IFERROR(__xludf.DUMMYFUNCTION("""COMPUTED_VALUE"""),3.0)</f>
        <v>3</v>
      </c>
      <c r="D60" s="12">
        <v>3.0</v>
      </c>
      <c r="E60" s="34" t="s">
        <v>155</v>
      </c>
      <c r="F60" s="17"/>
      <c r="G60" s="14">
        <v>59.0</v>
      </c>
      <c r="H60" s="17" t="str">
        <f>IFERROR(__xludf.DUMMYFUNCTION("""COMPUTED_VALUE"""),"AG 8086 UF")</f>
        <v>AG 8086 UF</v>
      </c>
      <c r="I60" s="17" t="str">
        <f>IFERROR(__xludf.DUMMYFUNCTION("""COMPUTED_VALUE"""),"TLPG TJ PERAK")</f>
        <v>TLPG TJ PERAK</v>
      </c>
      <c r="J60" s="17">
        <f>IFERROR(__xludf.DUMMYFUNCTION("""COMPUTED_VALUE"""),3.0)</f>
        <v>3</v>
      </c>
      <c r="L60" s="11">
        <f>IFERROR(__xludf.DUMMYFUNCTION("""COMPUTED_VALUE"""),26.0)</f>
        <v>26</v>
      </c>
      <c r="M60" s="11" t="str">
        <f>IFERROR(__xludf.DUMMYFUNCTION("""COMPUTED_VALUE"""),"AG 8063 UZ")</f>
        <v>AG 8063 UZ</v>
      </c>
      <c r="N60" s="11" t="str">
        <f>IFERROR(__xludf.DUMMYFUNCTION("""COMPUTED_VALUE"""),"TLPG TJ PERAK")</f>
        <v>TLPG TJ PERAK</v>
      </c>
      <c r="O60" s="11">
        <f>IFERROR(__xludf.DUMMYFUNCTION("""COMPUTED_VALUE"""),7.0)</f>
        <v>7</v>
      </c>
      <c r="P60" s="11" t="s">
        <v>501</v>
      </c>
      <c r="Q60" s="11"/>
      <c r="R60" s="11">
        <f>IFERROR(__xludf.DUMMYFUNCTION("""COMPUTED_VALUE"""),26.0)</f>
        <v>26</v>
      </c>
      <c r="S60" s="11" t="str">
        <f>IFERROR(__xludf.DUMMYFUNCTION("""COMPUTED_VALUE"""),"DK 8565 BS")</f>
        <v>DK 8565 BS</v>
      </c>
      <c r="T60" s="11" t="str">
        <f>IFERROR(__xludf.DUMMYFUNCTION("""COMPUTED_VALUE"""),"TLPG MANGGIS")</f>
        <v>TLPG MANGGIS</v>
      </c>
      <c r="U60" s="11">
        <f>IFERROR(__xludf.DUMMYFUNCTION("""COMPUTED_VALUE"""),8.0)</f>
        <v>8</v>
      </c>
      <c r="V60" s="11" t="s">
        <v>157</v>
      </c>
      <c r="W60" s="11"/>
      <c r="X60" s="11">
        <f>IFERROR(__xludf.DUMMYFUNCTION("""COMPUTED_VALUE"""),26.0)</f>
        <v>26</v>
      </c>
      <c r="Y60" s="11" t="str">
        <f>IFERROR(__xludf.DUMMYFUNCTION("""COMPUTED_VALUE"""),"S 8977 UL")</f>
        <v>S 8977 UL</v>
      </c>
      <c r="Z60" s="11" t="str">
        <f>IFERROR(__xludf.DUMMYFUNCTION("""COMPUTED_VALUE"""),"TLPG TJ PERAK")</f>
        <v>TLPG TJ PERAK</v>
      </c>
      <c r="AA60" s="11">
        <f>IFERROR(__xludf.DUMMYFUNCTION("""COMPUTED_VALUE"""),9.0)</f>
        <v>9</v>
      </c>
      <c r="AB60" s="11" t="s">
        <v>502</v>
      </c>
      <c r="AC60" s="11"/>
      <c r="AD60" s="11">
        <f>IFERROR(__xludf.DUMMYFUNCTION("""COMPUTED_VALUE"""),26.0)</f>
        <v>26</v>
      </c>
      <c r="AE60" s="11" t="str">
        <f>IFERROR(__xludf.DUMMYFUNCTION("""COMPUTED_VALUE"""),"N 8025 UZ")</f>
        <v>N 8025 UZ</v>
      </c>
      <c r="AF60" s="11" t="str">
        <f>IFERROR(__xludf.DUMMYFUNCTION("""COMPUTED_VALUE"""),"TLPG MEM GRESIK")</f>
        <v>TLPG MEM GRESIK</v>
      </c>
      <c r="AG60" s="11">
        <f>IFERROR(__xludf.DUMMYFUNCTION("""COMPUTED_VALUE"""),10.0)</f>
        <v>10</v>
      </c>
      <c r="AH60" s="11" t="s">
        <v>497</v>
      </c>
      <c r="AI60" s="11"/>
      <c r="AJ60" s="11">
        <f>IFERROR(__xludf.DUMMYFUNCTION("""COMPUTED_VALUE"""),26.0)</f>
        <v>26</v>
      </c>
      <c r="AK60" s="11" t="str">
        <f>IFERROR(__xludf.DUMMYFUNCTION("""COMPUTED_VALUE"""),"P 8970 UG")</f>
        <v>P 8970 UG</v>
      </c>
      <c r="AL60" s="11" t="str">
        <f>IFERROR(__xludf.DUMMYFUNCTION("""COMPUTED_VALUE"""),"TLPG TJ WANGI")</f>
        <v>TLPG TJ WANGI</v>
      </c>
      <c r="AM60" s="11">
        <f>IFERROR(__xludf.DUMMYFUNCTION("""COMPUTED_VALUE"""),11.0)</f>
        <v>11</v>
      </c>
      <c r="AN60" s="11" t="s">
        <v>457</v>
      </c>
      <c r="AO60" s="11"/>
      <c r="AP60" s="11">
        <f>IFERROR(__xludf.DUMMYFUNCTION("""COMPUTED_VALUE"""),26.0)</f>
        <v>26</v>
      </c>
      <c r="AQ60" s="11" t="str">
        <f>IFERROR(__xludf.DUMMYFUNCTION("""COMPUTED_VALUE"""),"W 8409 UQ")</f>
        <v>W 8409 UQ</v>
      </c>
      <c r="AR60" s="11" t="str">
        <f>IFERROR(__xludf.DUMMYFUNCTION("""COMPUTED_VALUE"""),"TLPG MEM GRESIK")</f>
        <v>TLPG MEM GRESIK</v>
      </c>
      <c r="AS60" s="11">
        <f>IFERROR(__xludf.DUMMYFUNCTION("""COMPUTED_VALUE"""),12.0)</f>
        <v>12</v>
      </c>
      <c r="AT60" s="11" t="s">
        <v>503</v>
      </c>
    </row>
    <row r="61">
      <c r="A61" s="13" t="str">
        <f>IFERROR(__xludf.DUMMYFUNCTION("""COMPUTED_VALUE"""),"AG 8088 UF")</f>
        <v>AG 8088 UF</v>
      </c>
      <c r="B61" s="9" t="str">
        <f>IFERROR(__xludf.DUMMYFUNCTION("""COMPUTED_VALUE"""),"TLPG TJ PERAK")</f>
        <v>TLPG TJ PERAK</v>
      </c>
      <c r="C61" s="11">
        <f>IFERROR(__xludf.DUMMYFUNCTION("""COMPUTED_VALUE"""),3.0)</f>
        <v>3</v>
      </c>
      <c r="D61" s="12">
        <v>3.0</v>
      </c>
      <c r="E61" s="34" t="s">
        <v>155</v>
      </c>
      <c r="F61" s="17"/>
      <c r="G61" s="14">
        <v>60.0</v>
      </c>
      <c r="H61" s="17" t="str">
        <f>IFERROR(__xludf.DUMMYFUNCTION("""COMPUTED_VALUE"""),"AG 8087 UF")</f>
        <v>AG 8087 UF</v>
      </c>
      <c r="I61" s="17" t="str">
        <f>IFERROR(__xludf.DUMMYFUNCTION("""COMPUTED_VALUE"""),"TLPG TJ PERAK")</f>
        <v>TLPG TJ PERAK</v>
      </c>
      <c r="J61" s="17">
        <f>IFERROR(__xludf.DUMMYFUNCTION("""COMPUTED_VALUE"""),3.0)</f>
        <v>3</v>
      </c>
      <c r="L61" s="11">
        <f>IFERROR(__xludf.DUMMYFUNCTION("""COMPUTED_VALUE"""),27.0)</f>
        <v>27</v>
      </c>
      <c r="M61" s="11" t="str">
        <f>IFERROR(__xludf.DUMMYFUNCTION("""COMPUTED_VALUE"""),"AG 8913 UK")</f>
        <v>AG 8913 UK</v>
      </c>
      <c r="N61" s="11" t="str">
        <f>IFERROR(__xludf.DUMMYFUNCTION("""COMPUTED_VALUE"""),"TLPG TJ PERAK")</f>
        <v>TLPG TJ PERAK</v>
      </c>
      <c r="O61" s="11">
        <f>IFERROR(__xludf.DUMMYFUNCTION("""COMPUTED_VALUE"""),7.0)</f>
        <v>7</v>
      </c>
      <c r="P61" s="11" t="s">
        <v>505</v>
      </c>
      <c r="Q61" s="11"/>
      <c r="R61" s="11">
        <f>IFERROR(__xludf.DUMMYFUNCTION("""COMPUTED_VALUE"""),27.0)</f>
        <v>27</v>
      </c>
      <c r="S61" s="11" t="str">
        <f>IFERROR(__xludf.DUMMYFUNCTION("""COMPUTED_VALUE"""),"DK 8967 CA")</f>
        <v>DK 8967 CA</v>
      </c>
      <c r="T61" s="11" t="str">
        <f>IFERROR(__xludf.DUMMYFUNCTION("""COMPUTED_VALUE"""),"TLPG MANGGIS")</f>
        <v>TLPG MANGGIS</v>
      </c>
      <c r="U61" s="11">
        <f>IFERROR(__xludf.DUMMYFUNCTION("""COMPUTED_VALUE"""),8.0)</f>
        <v>8</v>
      </c>
      <c r="V61" s="11" t="s">
        <v>310</v>
      </c>
      <c r="W61" s="11"/>
      <c r="X61" s="11">
        <f>IFERROR(__xludf.DUMMYFUNCTION("""COMPUTED_VALUE"""),27.0)</f>
        <v>27</v>
      </c>
      <c r="Y61" s="11" t="str">
        <f>IFERROR(__xludf.DUMMYFUNCTION("""COMPUTED_VALUE"""),"W 8059 UD")</f>
        <v>W 8059 UD</v>
      </c>
      <c r="Z61" s="11" t="str">
        <f>IFERROR(__xludf.DUMMYFUNCTION("""COMPUTED_VALUE"""),"TLPG LOMBOK")</f>
        <v>TLPG LOMBOK</v>
      </c>
      <c r="AA61" s="11">
        <f>IFERROR(__xludf.DUMMYFUNCTION("""COMPUTED_VALUE"""),9.0)</f>
        <v>9</v>
      </c>
      <c r="AB61" s="11" t="s">
        <v>375</v>
      </c>
      <c r="AC61" s="11"/>
      <c r="AD61" s="11">
        <f>IFERROR(__xludf.DUMMYFUNCTION("""COMPUTED_VALUE"""),27.0)</f>
        <v>27</v>
      </c>
      <c r="AE61" s="11" t="str">
        <f>IFERROR(__xludf.DUMMYFUNCTION("""COMPUTED_VALUE"""),"W 8057 UD")</f>
        <v>W 8057 UD</v>
      </c>
      <c r="AF61" s="11" t="str">
        <f>IFERROR(__xludf.DUMMYFUNCTION("""COMPUTED_VALUE"""),"TLPG BIMA")</f>
        <v>TLPG BIMA</v>
      </c>
      <c r="AG61" s="11">
        <f>IFERROR(__xludf.DUMMYFUNCTION("""COMPUTED_VALUE"""),10.0)</f>
        <v>10</v>
      </c>
      <c r="AH61" s="11" t="s">
        <v>506</v>
      </c>
      <c r="AI61" s="11"/>
      <c r="AJ61" s="11">
        <f>IFERROR(__xludf.DUMMYFUNCTION("""COMPUTED_VALUE"""),27.0)</f>
        <v>27</v>
      </c>
      <c r="AK61" s="11" t="str">
        <f>IFERROR(__xludf.DUMMYFUNCTION("""COMPUTED_VALUE"""),"S 8936 UM")</f>
        <v>S 8936 UM</v>
      </c>
      <c r="AL61" s="11" t="str">
        <f>IFERROR(__xludf.DUMMYFUNCTION("""COMPUTED_VALUE"""),"TLPG TJ PERAK")</f>
        <v>TLPG TJ PERAK</v>
      </c>
      <c r="AM61" s="11">
        <f>IFERROR(__xludf.DUMMYFUNCTION("""COMPUTED_VALUE"""),11.0)</f>
        <v>11</v>
      </c>
      <c r="AN61" s="11" t="s">
        <v>507</v>
      </c>
      <c r="AO61" s="11"/>
      <c r="AP61" s="11">
        <f>IFERROR(__xludf.DUMMYFUNCTION("""COMPUTED_VALUE"""),27.0)</f>
        <v>27</v>
      </c>
      <c r="AQ61" s="11" t="str">
        <f>IFERROR(__xludf.DUMMYFUNCTION("""COMPUTED_VALUE"""),"W 8637 DV")</f>
        <v>W 8637 DV</v>
      </c>
      <c r="AR61" s="11" t="str">
        <f>IFERROR(__xludf.DUMMYFUNCTION("""COMPUTED_VALUE"""),"TLPG TJ PERAK")</f>
        <v>TLPG TJ PERAK</v>
      </c>
      <c r="AS61" s="11">
        <f>IFERROR(__xludf.DUMMYFUNCTION("""COMPUTED_VALUE"""),12.0)</f>
        <v>12</v>
      </c>
      <c r="AT61" s="11" t="s">
        <v>508</v>
      </c>
    </row>
    <row r="62">
      <c r="A62" s="13" t="str">
        <f>IFERROR(__xludf.DUMMYFUNCTION("""COMPUTED_VALUE"""),"AG 8106 UC")</f>
        <v>AG 8106 UC</v>
      </c>
      <c r="B62" s="9" t="str">
        <f>IFERROR(__xludf.DUMMYFUNCTION("""COMPUTED_VALUE"""),"TLPG TJ PERAK")</f>
        <v>TLPG TJ PERAK</v>
      </c>
      <c r="C62" s="11">
        <f>IFERROR(__xludf.DUMMYFUNCTION("""COMPUTED_VALUE"""),3.0)</f>
        <v>3</v>
      </c>
      <c r="D62" s="12">
        <v>3.0</v>
      </c>
      <c r="E62" s="34" t="s">
        <v>118</v>
      </c>
      <c r="F62" s="17"/>
      <c r="G62" s="14">
        <v>61.0</v>
      </c>
      <c r="H62" s="17" t="str">
        <f>IFERROR(__xludf.DUMMYFUNCTION("""COMPUTED_VALUE"""),"AG 8088 UF")</f>
        <v>AG 8088 UF</v>
      </c>
      <c r="I62" s="17" t="str">
        <f>IFERROR(__xludf.DUMMYFUNCTION("""COMPUTED_VALUE"""),"TLPG TJ PERAK")</f>
        <v>TLPG TJ PERAK</v>
      </c>
      <c r="J62" s="17">
        <f>IFERROR(__xludf.DUMMYFUNCTION("""COMPUTED_VALUE"""),3.0)</f>
        <v>3</v>
      </c>
      <c r="L62" s="11">
        <f>IFERROR(__xludf.DUMMYFUNCTION("""COMPUTED_VALUE"""),28.0)</f>
        <v>28</v>
      </c>
      <c r="M62" s="11" t="str">
        <f>IFERROR(__xludf.DUMMYFUNCTION("""COMPUTED_VALUE"""),"B 9873 SFV")</f>
        <v>B 9873 SFV</v>
      </c>
      <c r="N62" s="11" t="str">
        <f>IFERROR(__xludf.DUMMYFUNCTION("""COMPUTED_VALUE"""),"TLPG MEM GRESIK")</f>
        <v>TLPG MEM GRESIK</v>
      </c>
      <c r="O62" s="11">
        <f>IFERROR(__xludf.DUMMYFUNCTION("""COMPUTED_VALUE"""),7.0)</f>
        <v>7</v>
      </c>
      <c r="P62" s="11" t="s">
        <v>121</v>
      </c>
      <c r="Q62" s="11"/>
      <c r="R62" s="11">
        <f>IFERROR(__xludf.DUMMYFUNCTION("""COMPUTED_VALUE"""),28.0)</f>
        <v>28</v>
      </c>
      <c r="S62" s="11" t="str">
        <f>IFERROR(__xludf.DUMMYFUNCTION("""COMPUTED_VALUE"""),"DR 8654 AI")</f>
        <v>DR 8654 AI</v>
      </c>
      <c r="T62" s="11" t="str">
        <f>IFERROR(__xludf.DUMMYFUNCTION("""COMPUTED_VALUE"""),"TLPG LOMBOK")</f>
        <v>TLPG LOMBOK</v>
      </c>
      <c r="U62" s="11">
        <f>IFERROR(__xludf.DUMMYFUNCTION("""COMPUTED_VALUE"""),8.0)</f>
        <v>8</v>
      </c>
      <c r="V62" s="11" t="s">
        <v>184</v>
      </c>
      <c r="W62" s="11"/>
      <c r="X62" s="11">
        <f>IFERROR(__xludf.DUMMYFUNCTION("""COMPUTED_VALUE"""),28.0)</f>
        <v>28</v>
      </c>
      <c r="Y62" s="11" t="str">
        <f>IFERROR(__xludf.DUMMYFUNCTION("""COMPUTED_VALUE"""),"DK 8737 DQ")</f>
        <v>DK 8737 DQ</v>
      </c>
      <c r="Z62" s="11" t="str">
        <f>IFERROR(__xludf.DUMMYFUNCTION("""COMPUTED_VALUE"""),"TLPG MANGGIS")</f>
        <v>TLPG MANGGIS</v>
      </c>
      <c r="AA62" s="11">
        <f>IFERROR(__xludf.DUMMYFUNCTION("""COMPUTED_VALUE"""),9.0)</f>
        <v>9</v>
      </c>
      <c r="AB62" s="11" t="s">
        <v>461</v>
      </c>
      <c r="AC62" s="11"/>
      <c r="AD62" s="11">
        <f>IFERROR(__xludf.DUMMYFUNCTION("""COMPUTED_VALUE"""),28.0)</f>
        <v>28</v>
      </c>
      <c r="AE62" s="11" t="str">
        <f>IFERROR(__xludf.DUMMYFUNCTION("""COMPUTED_VALUE"""),"W 8193 PF")</f>
        <v>W 8193 PF</v>
      </c>
      <c r="AF62" s="11" t="str">
        <f>IFERROR(__xludf.DUMMYFUNCTION("""COMPUTED_VALUE"""),"TLPG TJ PERAK")</f>
        <v>TLPG TJ PERAK</v>
      </c>
      <c r="AG62" s="11">
        <f>IFERROR(__xludf.DUMMYFUNCTION("""COMPUTED_VALUE"""),10.0)</f>
        <v>10</v>
      </c>
      <c r="AH62" s="11" t="s">
        <v>509</v>
      </c>
      <c r="AI62" s="11"/>
      <c r="AJ62" s="11"/>
      <c r="AK62" s="11"/>
      <c r="AL62" s="11"/>
      <c r="AM62" s="11"/>
      <c r="AN62" s="11" t="s">
        <v>431</v>
      </c>
      <c r="AO62" s="11"/>
      <c r="AP62" s="11">
        <f>IFERROR(__xludf.DUMMYFUNCTION("""COMPUTED_VALUE"""),28.0)</f>
        <v>28</v>
      </c>
      <c r="AQ62" s="11" t="str">
        <f>IFERROR(__xludf.DUMMYFUNCTION("""COMPUTED_VALUE"""),"W 8042 UD")</f>
        <v>W 8042 UD</v>
      </c>
      <c r="AR62" s="11" t="str">
        <f>IFERROR(__xludf.DUMMYFUNCTION("""COMPUTED_VALUE"""),"TLPG LOMBOK")</f>
        <v>TLPG LOMBOK</v>
      </c>
      <c r="AS62" s="11">
        <f>IFERROR(__xludf.DUMMYFUNCTION("""COMPUTED_VALUE"""),12.0)</f>
        <v>12</v>
      </c>
      <c r="AT62" s="11" t="s">
        <v>375</v>
      </c>
    </row>
    <row r="63">
      <c r="A63" s="13" t="str">
        <f>IFERROR(__xludf.DUMMYFUNCTION("""COMPUTED_VALUE"""),"AG 8126 UF")</f>
        <v>AG 8126 UF</v>
      </c>
      <c r="B63" s="9" t="str">
        <f>IFERROR(__xludf.DUMMYFUNCTION("""COMPUTED_VALUE"""),"TLPG TJ PERAK")</f>
        <v>TLPG TJ PERAK</v>
      </c>
      <c r="C63" s="11">
        <f>IFERROR(__xludf.DUMMYFUNCTION("""COMPUTED_VALUE"""),3.0)</f>
        <v>3</v>
      </c>
      <c r="D63" s="12">
        <v>3.0</v>
      </c>
      <c r="E63" s="34" t="s">
        <v>219</v>
      </c>
      <c r="F63" s="17"/>
      <c r="G63" s="14">
        <v>62.0</v>
      </c>
      <c r="H63" s="17" t="str">
        <f>IFERROR(__xludf.DUMMYFUNCTION("""COMPUTED_VALUE"""),"AG 8106 UC")</f>
        <v>AG 8106 UC</v>
      </c>
      <c r="I63" s="17" t="str">
        <f>IFERROR(__xludf.DUMMYFUNCTION("""COMPUTED_VALUE"""),"TLPG TJ PERAK")</f>
        <v>TLPG TJ PERAK</v>
      </c>
      <c r="J63" s="17">
        <f>IFERROR(__xludf.DUMMYFUNCTION("""COMPUTED_VALUE"""),3.0)</f>
        <v>3</v>
      </c>
      <c r="L63" s="11">
        <f>IFERROR(__xludf.DUMMYFUNCTION("""COMPUTED_VALUE"""),29.0)</f>
        <v>29</v>
      </c>
      <c r="M63" s="11" t="str">
        <f>IFERROR(__xludf.DUMMYFUNCTION("""COMPUTED_VALUE"""),"W 8180 UQ")</f>
        <v>W 8180 UQ</v>
      </c>
      <c r="N63" s="11" t="str">
        <f>IFERROR(__xludf.DUMMYFUNCTION("""COMPUTED_VALUE"""),"TLPG TJ PERAK")</f>
        <v>TLPG TJ PERAK</v>
      </c>
      <c r="O63" s="11">
        <f>IFERROR(__xludf.DUMMYFUNCTION("""COMPUTED_VALUE"""),7.0)</f>
        <v>7</v>
      </c>
      <c r="P63" s="11" t="s">
        <v>184</v>
      </c>
      <c r="Q63" s="11"/>
      <c r="R63" s="11"/>
      <c r="S63" s="11"/>
      <c r="T63" s="11"/>
      <c r="U63" s="11"/>
      <c r="V63" s="11" t="s">
        <v>431</v>
      </c>
      <c r="W63" s="11"/>
      <c r="X63" s="11"/>
      <c r="Y63" s="11"/>
      <c r="Z63" s="11"/>
      <c r="AA63" s="11"/>
      <c r="AB63" s="11" t="s">
        <v>431</v>
      </c>
      <c r="AC63" s="11"/>
      <c r="AD63" s="11"/>
      <c r="AE63" s="11"/>
      <c r="AF63" s="11"/>
      <c r="AG63" s="11"/>
      <c r="AH63" s="11" t="s">
        <v>431</v>
      </c>
      <c r="AI63" s="11"/>
      <c r="AJ63" s="11"/>
      <c r="AK63" s="11"/>
      <c r="AL63" s="11"/>
      <c r="AM63" s="11"/>
      <c r="AN63" s="11" t="s">
        <v>431</v>
      </c>
      <c r="AO63" s="11"/>
      <c r="AP63" s="11"/>
      <c r="AQ63" s="11"/>
      <c r="AR63" s="11"/>
      <c r="AS63" s="11"/>
      <c r="AT63" s="11" t="s">
        <v>431</v>
      </c>
    </row>
    <row r="64">
      <c r="A64" s="13" t="str">
        <f>IFERROR(__xludf.DUMMYFUNCTION("""COMPUTED_VALUE"""),"AG 8128 UF")</f>
        <v>AG 8128 UF</v>
      </c>
      <c r="B64" s="9" t="str">
        <f>IFERROR(__xludf.DUMMYFUNCTION("""COMPUTED_VALUE"""),"TLPG TJ PERAK")</f>
        <v>TLPG TJ PERAK</v>
      </c>
      <c r="C64" s="11">
        <f>IFERROR(__xludf.DUMMYFUNCTION("""COMPUTED_VALUE"""),3.0)</f>
        <v>3</v>
      </c>
      <c r="D64" s="12">
        <v>3.0</v>
      </c>
      <c r="E64" s="34" t="s">
        <v>219</v>
      </c>
      <c r="F64" s="17"/>
      <c r="G64" s="14">
        <v>63.0</v>
      </c>
      <c r="H64" s="17" t="str">
        <f>IFERROR(__xludf.DUMMYFUNCTION("""COMPUTED_VALUE"""),"AG 8126 UF")</f>
        <v>AG 8126 UF</v>
      </c>
      <c r="I64" s="17" t="str">
        <f>IFERROR(__xludf.DUMMYFUNCTION("""COMPUTED_VALUE"""),"TLPG TJ PERAK")</f>
        <v>TLPG TJ PERAK</v>
      </c>
      <c r="J64" s="17">
        <f>IFERROR(__xludf.DUMMYFUNCTION("""COMPUTED_VALUE"""),3.0)</f>
        <v>3</v>
      </c>
    </row>
    <row r="65">
      <c r="A65" s="13" t="str">
        <f>IFERROR(__xludf.DUMMYFUNCTION("""COMPUTED_VALUE"""),"AG 8129 UF")</f>
        <v>AG 8129 UF</v>
      </c>
      <c r="B65" s="9" t="str">
        <f>IFERROR(__xludf.DUMMYFUNCTION("""COMPUTED_VALUE"""),"TLPG TJ PERAK")</f>
        <v>TLPG TJ PERAK</v>
      </c>
      <c r="C65" s="11">
        <f>IFERROR(__xludf.DUMMYFUNCTION("""COMPUTED_VALUE"""),3.0)</f>
        <v>3</v>
      </c>
      <c r="D65" s="12">
        <v>3.0</v>
      </c>
      <c r="E65" s="34" t="s">
        <v>219</v>
      </c>
      <c r="F65" s="17"/>
      <c r="G65" s="14">
        <v>64.0</v>
      </c>
      <c r="H65" s="17" t="str">
        <f>IFERROR(__xludf.DUMMYFUNCTION("""COMPUTED_VALUE"""),"AG 8128 UF")</f>
        <v>AG 8128 UF</v>
      </c>
      <c r="I65" s="17" t="str">
        <f>IFERROR(__xludf.DUMMYFUNCTION("""COMPUTED_VALUE"""),"TLPG TJ PERAK")</f>
        <v>TLPG TJ PERAK</v>
      </c>
      <c r="J65" s="17">
        <f>IFERROR(__xludf.DUMMYFUNCTION("""COMPUTED_VALUE"""),3.0)</f>
        <v>3</v>
      </c>
    </row>
    <row r="66">
      <c r="A66" s="13" t="str">
        <f>IFERROR(__xludf.DUMMYFUNCTION("""COMPUTED_VALUE"""),"AG 8152 UL")</f>
        <v>AG 8152 UL</v>
      </c>
      <c r="B66" s="9" t="str">
        <f>IFERROR(__xludf.DUMMYFUNCTION("""COMPUTED_VALUE"""),"TLPG TJ PERAK")</f>
        <v>TLPG TJ PERAK</v>
      </c>
      <c r="C66" s="11">
        <f>IFERROR(__xludf.DUMMYFUNCTION("""COMPUTED_VALUE"""),3.0)</f>
        <v>3</v>
      </c>
      <c r="D66" s="12">
        <v>3.0</v>
      </c>
      <c r="E66" s="34" t="s">
        <v>204</v>
      </c>
      <c r="F66" s="17"/>
      <c r="G66" s="14">
        <v>65.0</v>
      </c>
      <c r="H66" s="17" t="str">
        <f>IFERROR(__xludf.DUMMYFUNCTION("""COMPUTED_VALUE"""),"AG 8129 UF")</f>
        <v>AG 8129 UF</v>
      </c>
      <c r="I66" s="17" t="str">
        <f>IFERROR(__xludf.DUMMYFUNCTION("""COMPUTED_VALUE"""),"TLPG TJ PERAK")</f>
        <v>TLPG TJ PERAK</v>
      </c>
      <c r="J66" s="17">
        <f>IFERROR(__xludf.DUMMYFUNCTION("""COMPUTED_VALUE"""),3.0)</f>
        <v>3</v>
      </c>
    </row>
    <row r="67">
      <c r="A67" s="13" t="str">
        <f>IFERROR(__xludf.DUMMYFUNCTION("""COMPUTED_VALUE"""),"AG 8225 UG")</f>
        <v>AG 8225 UG</v>
      </c>
      <c r="B67" s="9" t="str">
        <f>IFERROR(__xludf.DUMMYFUNCTION("""COMPUTED_VALUE"""),"TLPG TJ PERAK")</f>
        <v>TLPG TJ PERAK</v>
      </c>
      <c r="C67" s="11">
        <f>IFERROR(__xludf.DUMMYFUNCTION("""COMPUTED_VALUE"""),3.0)</f>
        <v>3</v>
      </c>
      <c r="D67" s="12">
        <v>3.0</v>
      </c>
      <c r="E67" s="34" t="s">
        <v>285</v>
      </c>
      <c r="F67" s="17"/>
      <c r="G67" s="14">
        <v>66.0</v>
      </c>
      <c r="H67" s="17" t="str">
        <f>IFERROR(__xludf.DUMMYFUNCTION("""COMPUTED_VALUE"""),"AG 8152 UL")</f>
        <v>AG 8152 UL</v>
      </c>
      <c r="I67" s="17" t="str">
        <f>IFERROR(__xludf.DUMMYFUNCTION("""COMPUTED_VALUE"""),"TLPG TJ PERAK")</f>
        <v>TLPG TJ PERAK</v>
      </c>
      <c r="J67" s="17">
        <f>IFERROR(__xludf.DUMMYFUNCTION("""COMPUTED_VALUE"""),3.0)</f>
        <v>3</v>
      </c>
    </row>
    <row r="68">
      <c r="A68" s="13" t="str">
        <f>IFERROR(__xludf.DUMMYFUNCTION("""COMPUTED_VALUE"""),"AG 8263 UW")</f>
        <v>AG 8263 UW</v>
      </c>
      <c r="B68" s="9" t="str">
        <f>IFERROR(__xludf.DUMMYFUNCTION("""COMPUTED_VALUE"""),"TLPG TJ PERAK")</f>
        <v>TLPG TJ PERAK</v>
      </c>
      <c r="C68" s="11">
        <f>IFERROR(__xludf.DUMMYFUNCTION("""COMPUTED_VALUE"""),3.0)</f>
        <v>3</v>
      </c>
      <c r="D68" s="12">
        <v>1.0</v>
      </c>
      <c r="E68" s="34" t="s">
        <v>424</v>
      </c>
      <c r="F68" s="17"/>
      <c r="G68" s="14">
        <v>67.0</v>
      </c>
      <c r="H68" s="17" t="str">
        <f>IFERROR(__xludf.DUMMYFUNCTION("""COMPUTED_VALUE"""),"AG 8225 UG")</f>
        <v>AG 8225 UG</v>
      </c>
      <c r="I68" s="17" t="str">
        <f>IFERROR(__xludf.DUMMYFUNCTION("""COMPUTED_VALUE"""),"TLPG TJ PERAK")</f>
        <v>TLPG TJ PERAK</v>
      </c>
      <c r="J68" s="17">
        <f>IFERROR(__xludf.DUMMYFUNCTION("""COMPUTED_VALUE"""),3.0)</f>
        <v>3</v>
      </c>
    </row>
    <row r="69">
      <c r="A69" s="13" t="str">
        <f>IFERROR(__xludf.DUMMYFUNCTION("""COMPUTED_VALUE"""),"AG 8374 UG")</f>
        <v>AG 8374 UG</v>
      </c>
      <c r="B69" s="9" t="str">
        <f>IFERROR(__xludf.DUMMYFUNCTION("""COMPUTED_VALUE"""),"TLPG TJ PERAK")</f>
        <v>TLPG TJ PERAK</v>
      </c>
      <c r="C69" s="11">
        <f>IFERROR(__xludf.DUMMYFUNCTION("""COMPUTED_VALUE"""),3.0)</f>
        <v>3</v>
      </c>
      <c r="D69" s="12">
        <v>3.0</v>
      </c>
      <c r="E69" s="34" t="s">
        <v>304</v>
      </c>
      <c r="F69" s="17"/>
      <c r="G69" s="14">
        <v>68.0</v>
      </c>
      <c r="H69" s="17" t="str">
        <f>IFERROR(__xludf.DUMMYFUNCTION("""COMPUTED_VALUE"""),"AG 8374 UG")</f>
        <v>AG 8374 UG</v>
      </c>
      <c r="I69" s="17" t="str">
        <f>IFERROR(__xludf.DUMMYFUNCTION("""COMPUTED_VALUE"""),"TLPG TJ PERAK")</f>
        <v>TLPG TJ PERAK</v>
      </c>
      <c r="J69" s="17">
        <f>IFERROR(__xludf.DUMMYFUNCTION("""COMPUTED_VALUE"""),3.0)</f>
        <v>3</v>
      </c>
    </row>
    <row r="70">
      <c r="A70" s="13" t="str">
        <f>IFERROR(__xludf.DUMMYFUNCTION("""COMPUTED_VALUE"""),"AG 8380 KL")</f>
        <v>AG 8380 KL</v>
      </c>
      <c r="B70" s="9" t="str">
        <f>IFERROR(__xludf.DUMMYFUNCTION("""COMPUTED_VALUE"""),"TLPG TJ PERAK")</f>
        <v>TLPG TJ PERAK</v>
      </c>
      <c r="C70" s="11">
        <f>IFERROR(__xludf.DUMMYFUNCTION("""COMPUTED_VALUE"""),3.0)</f>
        <v>3</v>
      </c>
      <c r="D70" s="12">
        <v>3.0</v>
      </c>
      <c r="E70" s="34" t="s">
        <v>327</v>
      </c>
      <c r="F70" s="17"/>
      <c r="G70" s="14">
        <v>69.0</v>
      </c>
      <c r="H70" s="17" t="str">
        <f>IFERROR(__xludf.DUMMYFUNCTION("""COMPUTED_VALUE"""),"AG 8380 KL")</f>
        <v>AG 8380 KL</v>
      </c>
      <c r="I70" s="17" t="str">
        <f>IFERROR(__xludf.DUMMYFUNCTION("""COMPUTED_VALUE"""),"TLPG TJ PERAK")</f>
        <v>TLPG TJ PERAK</v>
      </c>
      <c r="J70" s="17">
        <f>IFERROR(__xludf.DUMMYFUNCTION("""COMPUTED_VALUE"""),3.0)</f>
        <v>3</v>
      </c>
    </row>
    <row r="71">
      <c r="A71" s="13" t="str">
        <f>IFERROR(__xludf.DUMMYFUNCTION("""COMPUTED_VALUE"""),"AG 8384 UE")</f>
        <v>AG 8384 UE</v>
      </c>
      <c r="B71" s="9" t="str">
        <f>IFERROR(__xludf.DUMMYFUNCTION("""COMPUTED_VALUE"""),"TLPG TJ PERAK")</f>
        <v>TLPG TJ PERAK</v>
      </c>
      <c r="C71" s="11">
        <f>IFERROR(__xludf.DUMMYFUNCTION("""COMPUTED_VALUE"""),3.0)</f>
        <v>3</v>
      </c>
      <c r="D71" s="12">
        <v>3.0</v>
      </c>
      <c r="E71" s="34" t="s">
        <v>343</v>
      </c>
      <c r="F71" s="17"/>
      <c r="G71" s="14">
        <v>70.0</v>
      </c>
      <c r="H71" s="17" t="str">
        <f>IFERROR(__xludf.DUMMYFUNCTION("""COMPUTED_VALUE"""),"AG 8384 UE")</f>
        <v>AG 8384 UE</v>
      </c>
      <c r="I71" s="17" t="str">
        <f>IFERROR(__xludf.DUMMYFUNCTION("""COMPUTED_VALUE"""),"TLPG TJ PERAK")</f>
        <v>TLPG TJ PERAK</v>
      </c>
      <c r="J71" s="17">
        <f>IFERROR(__xludf.DUMMYFUNCTION("""COMPUTED_VALUE"""),3.0)</f>
        <v>3</v>
      </c>
    </row>
    <row r="72">
      <c r="A72" s="13" t="str">
        <f>IFERROR(__xludf.DUMMYFUNCTION("""COMPUTED_VALUE"""),"B 9115 SEI")</f>
        <v>B 9115 SEI</v>
      </c>
      <c r="B72" s="9" t="str">
        <f>IFERROR(__xludf.DUMMYFUNCTION("""COMPUTED_VALUE"""),"TLPG MEM GRESIK")</f>
        <v>TLPG MEM GRESIK</v>
      </c>
      <c r="C72" s="11">
        <f>IFERROR(__xludf.DUMMYFUNCTION("""COMPUTED_VALUE"""),3.0)</f>
        <v>3</v>
      </c>
      <c r="D72" s="12">
        <v>3.0</v>
      </c>
      <c r="E72" s="34" t="s">
        <v>83</v>
      </c>
      <c r="F72" s="17"/>
      <c r="G72" s="14">
        <v>71.0</v>
      </c>
      <c r="H72" s="17" t="str">
        <f>IFERROR(__xludf.DUMMYFUNCTION("""COMPUTED_VALUE"""),"B 9115 SEI")</f>
        <v>B 9115 SEI</v>
      </c>
      <c r="I72" s="17" t="str">
        <f>IFERROR(__xludf.DUMMYFUNCTION("""COMPUTED_VALUE"""),"TLPG MEM GRESIK")</f>
        <v>TLPG MEM GRESIK</v>
      </c>
      <c r="J72" s="17">
        <f>IFERROR(__xludf.DUMMYFUNCTION("""COMPUTED_VALUE"""),3.0)</f>
        <v>3</v>
      </c>
    </row>
    <row r="73">
      <c r="A73" s="13" t="str">
        <f>IFERROR(__xludf.DUMMYFUNCTION("""COMPUTED_VALUE"""),"B 9203 TEK")</f>
        <v>B 9203 TEK</v>
      </c>
      <c r="B73" s="9" t="str">
        <f>IFERROR(__xludf.DUMMYFUNCTION("""COMPUTED_VALUE"""),"TLPG MEM GRESIK")</f>
        <v>TLPG MEM GRESIK</v>
      </c>
      <c r="C73" s="11">
        <f>IFERROR(__xludf.DUMMYFUNCTION("""COMPUTED_VALUE"""),3.0)</f>
        <v>3</v>
      </c>
      <c r="D73" s="12">
        <v>3.0</v>
      </c>
      <c r="E73" s="34" t="s">
        <v>371</v>
      </c>
      <c r="F73" s="17"/>
      <c r="G73" s="14">
        <v>72.0</v>
      </c>
      <c r="H73" s="17" t="str">
        <f>IFERROR(__xludf.DUMMYFUNCTION("""COMPUTED_VALUE"""),"B 9203 TEK")</f>
        <v>B 9203 TEK</v>
      </c>
      <c r="I73" s="17" t="str">
        <f>IFERROR(__xludf.DUMMYFUNCTION("""COMPUTED_VALUE"""),"TLPG MEM GRESIK")</f>
        <v>TLPG MEM GRESIK</v>
      </c>
      <c r="J73" s="17">
        <f>IFERROR(__xludf.DUMMYFUNCTION("""COMPUTED_VALUE"""),3.0)</f>
        <v>3</v>
      </c>
    </row>
    <row r="74">
      <c r="A74" s="13" t="str">
        <f>IFERROR(__xludf.DUMMYFUNCTION("""COMPUTED_VALUE"""),"B 9712 SFU")</f>
        <v>B 9712 SFU</v>
      </c>
      <c r="B74" s="9" t="str">
        <f>IFERROR(__xludf.DUMMYFUNCTION("""COMPUTED_VALUE"""),"TLPG MEM GRESIK")</f>
        <v>TLPG MEM GRESIK</v>
      </c>
      <c r="C74" s="11">
        <f>IFERROR(__xludf.DUMMYFUNCTION("""COMPUTED_VALUE"""),3.0)</f>
        <v>3</v>
      </c>
      <c r="D74" s="12">
        <v>3.0</v>
      </c>
      <c r="E74" s="34" t="s">
        <v>83</v>
      </c>
      <c r="F74" s="17"/>
      <c r="G74" s="14">
        <v>73.0</v>
      </c>
      <c r="H74" s="17" t="str">
        <f>IFERROR(__xludf.DUMMYFUNCTION("""COMPUTED_VALUE"""),"B 9712 SFU")</f>
        <v>B 9712 SFU</v>
      </c>
      <c r="I74" s="17" t="str">
        <f>IFERROR(__xludf.DUMMYFUNCTION("""COMPUTED_VALUE"""),"TLPG MEM GRESIK")</f>
        <v>TLPG MEM GRESIK</v>
      </c>
      <c r="J74" s="17">
        <f>IFERROR(__xludf.DUMMYFUNCTION("""COMPUTED_VALUE"""),3.0)</f>
        <v>3</v>
      </c>
    </row>
    <row r="75">
      <c r="A75" s="13" t="str">
        <f>IFERROR(__xludf.DUMMYFUNCTION("""COMPUTED_VALUE"""),"B 9880 SFU")</f>
        <v>B 9880 SFU</v>
      </c>
      <c r="B75" s="9" t="str">
        <f>IFERROR(__xludf.DUMMYFUNCTION("""COMPUTED_VALUE"""),"TLPG MEM GRESIK")</f>
        <v>TLPG MEM GRESIK</v>
      </c>
      <c r="C75" s="11">
        <f>IFERROR(__xludf.DUMMYFUNCTION("""COMPUTED_VALUE"""),3.0)</f>
        <v>3</v>
      </c>
      <c r="D75" s="12">
        <v>3.0</v>
      </c>
      <c r="E75" s="34" t="s">
        <v>83</v>
      </c>
      <c r="F75" s="17"/>
      <c r="G75" s="14">
        <v>74.0</v>
      </c>
      <c r="H75" s="17" t="str">
        <f>IFERROR(__xludf.DUMMYFUNCTION("""COMPUTED_VALUE"""),"B 9880 SFU")</f>
        <v>B 9880 SFU</v>
      </c>
      <c r="I75" s="17" t="str">
        <f>IFERROR(__xludf.DUMMYFUNCTION("""COMPUTED_VALUE"""),"TLPG MEM GRESIK")</f>
        <v>TLPG MEM GRESIK</v>
      </c>
      <c r="J75" s="17">
        <f>IFERROR(__xludf.DUMMYFUNCTION("""COMPUTED_VALUE"""),3.0)</f>
        <v>3</v>
      </c>
    </row>
    <row r="76">
      <c r="A76" s="13" t="str">
        <f>IFERROR(__xludf.DUMMYFUNCTION("""COMPUTED_VALUE"""),"DK 8139 TS")</f>
        <v>DK 8139 TS</v>
      </c>
      <c r="B76" s="9" t="str">
        <f>IFERROR(__xludf.DUMMYFUNCTION("""COMPUTED_VALUE"""),"TLPG MANGGIS")</f>
        <v>TLPG MANGGIS</v>
      </c>
      <c r="C76" s="11">
        <f>IFERROR(__xludf.DUMMYFUNCTION("""COMPUTED_VALUE"""),3.0)</f>
        <v>3</v>
      </c>
      <c r="D76" s="12">
        <v>2.0</v>
      </c>
      <c r="E76" s="34" t="s">
        <v>425</v>
      </c>
      <c r="F76" s="17"/>
      <c r="G76" s="14">
        <v>75.0</v>
      </c>
      <c r="H76" s="17" t="str">
        <f>IFERROR(__xludf.DUMMYFUNCTION("""COMPUTED_VALUE"""),"DK 8596 AO")</f>
        <v>DK 8596 AO</v>
      </c>
      <c r="I76" s="17" t="str">
        <f>IFERROR(__xludf.DUMMYFUNCTION("""COMPUTED_VALUE"""),"TLPG LOMBOK")</f>
        <v>TLPG LOMBOK</v>
      </c>
      <c r="J76" s="17">
        <f>IFERROR(__xludf.DUMMYFUNCTION("""COMPUTED_VALUE"""),3.0)</f>
        <v>3</v>
      </c>
    </row>
    <row r="77">
      <c r="A77" s="13" t="str">
        <f>IFERROR(__xludf.DUMMYFUNCTION("""COMPUTED_VALUE"""),"DK 8141 JM")</f>
        <v>DK 8141 JM</v>
      </c>
      <c r="B77" s="9" t="str">
        <f>IFERROR(__xludf.DUMMYFUNCTION("""COMPUTED_VALUE"""),"TLPG MANGGIS")</f>
        <v>TLPG MANGGIS</v>
      </c>
      <c r="C77" s="11">
        <f>IFERROR(__xludf.DUMMYFUNCTION("""COMPUTED_VALUE"""),3.0)</f>
        <v>3</v>
      </c>
      <c r="D77" s="12">
        <v>2.0</v>
      </c>
      <c r="E77" s="34" t="s">
        <v>299</v>
      </c>
      <c r="F77" s="17"/>
      <c r="G77" s="14">
        <v>76.0</v>
      </c>
      <c r="H77" s="17" t="str">
        <f>IFERROR(__xludf.DUMMYFUNCTION("""COMPUTED_VALUE"""),"DK 8611 AO")</f>
        <v>DK 8611 AO</v>
      </c>
      <c r="I77" s="17" t="str">
        <f>IFERROR(__xludf.DUMMYFUNCTION("""COMPUTED_VALUE"""),"TLPG LOMBOK")</f>
        <v>TLPG LOMBOK</v>
      </c>
      <c r="J77" s="17">
        <f>IFERROR(__xludf.DUMMYFUNCTION("""COMPUTED_VALUE"""),3.0)</f>
        <v>3</v>
      </c>
    </row>
    <row r="78">
      <c r="A78" s="13" t="str">
        <f>IFERROR(__xludf.DUMMYFUNCTION("""COMPUTED_VALUE"""),"DK 8146 BZ")</f>
        <v>DK 8146 BZ</v>
      </c>
      <c r="B78" s="9" t="str">
        <f>IFERROR(__xludf.DUMMYFUNCTION("""COMPUTED_VALUE"""),"TLPG MANGGIS")</f>
        <v>TLPG MANGGIS</v>
      </c>
      <c r="C78" s="11">
        <f>IFERROR(__xludf.DUMMYFUNCTION("""COMPUTED_VALUE"""),3.0)</f>
        <v>3</v>
      </c>
      <c r="D78" s="12">
        <v>4.0</v>
      </c>
      <c r="E78" s="34" t="s">
        <v>157</v>
      </c>
      <c r="F78" s="17"/>
      <c r="G78" s="14">
        <v>77.0</v>
      </c>
      <c r="H78" s="17" t="str">
        <f>IFERROR(__xludf.DUMMYFUNCTION("""COMPUTED_VALUE"""),"AG 8654 UZ")</f>
        <v>AG 8654 UZ</v>
      </c>
      <c r="I78" s="17" t="str">
        <f>IFERROR(__xludf.DUMMYFUNCTION("""COMPUTED_VALUE"""),"TLPG TJ PERAK")</f>
        <v>TLPG TJ PERAK</v>
      </c>
      <c r="J78" s="17">
        <f>IFERROR(__xludf.DUMMYFUNCTION("""COMPUTED_VALUE"""),3.0)</f>
        <v>3</v>
      </c>
    </row>
    <row r="79">
      <c r="A79" s="13" t="str">
        <f>IFERROR(__xludf.DUMMYFUNCTION("""COMPUTED_VALUE"""),"DK 8596 AO")</f>
        <v>DK 8596 AO</v>
      </c>
      <c r="B79" s="9" t="str">
        <f>IFERROR(__xludf.DUMMYFUNCTION("""COMPUTED_VALUE"""),"TLPG LOMBOK")</f>
        <v>TLPG LOMBOK</v>
      </c>
      <c r="C79" s="11">
        <f>IFERROR(__xludf.DUMMYFUNCTION("""COMPUTED_VALUE"""),3.0)</f>
        <v>3</v>
      </c>
      <c r="D79" s="12">
        <v>3.0</v>
      </c>
      <c r="E79" s="34" t="s">
        <v>404</v>
      </c>
      <c r="F79" s="17"/>
      <c r="G79" s="14">
        <v>78.0</v>
      </c>
      <c r="H79" s="17" t="str">
        <f>IFERROR(__xludf.DUMMYFUNCTION("""COMPUTED_VALUE"""),"N 9307 WD")</f>
        <v>N 9307 WD</v>
      </c>
      <c r="I79" s="17" t="str">
        <f>IFERROR(__xludf.DUMMYFUNCTION("""COMPUTED_VALUE"""),"TLPG TJ PERAK")</f>
        <v>TLPG TJ PERAK</v>
      </c>
      <c r="J79" s="17">
        <f>IFERROR(__xludf.DUMMYFUNCTION("""COMPUTED_VALUE"""),3.0)</f>
        <v>3</v>
      </c>
    </row>
    <row r="80">
      <c r="A80" s="13" t="str">
        <f>IFERROR(__xludf.DUMMYFUNCTION("""COMPUTED_VALUE"""),"DK 8611 AO")</f>
        <v>DK 8611 AO</v>
      </c>
      <c r="B80" s="9" t="str">
        <f>IFERROR(__xludf.DUMMYFUNCTION("""COMPUTED_VALUE"""),"TLPG LOMBOK")</f>
        <v>TLPG LOMBOK</v>
      </c>
      <c r="C80" s="11">
        <f>IFERROR(__xludf.DUMMYFUNCTION("""COMPUTED_VALUE"""),3.0)</f>
        <v>3</v>
      </c>
      <c r="D80" s="12">
        <v>3.0</v>
      </c>
      <c r="E80" s="34" t="s">
        <v>404</v>
      </c>
      <c r="F80" s="17"/>
      <c r="G80" s="14">
        <v>79.0</v>
      </c>
      <c r="H80" s="17" t="str">
        <f>IFERROR(__xludf.DUMMYFUNCTION("""COMPUTED_VALUE"""),"AG 9153 UR")</f>
        <v>AG 9153 UR</v>
      </c>
      <c r="I80" s="17" t="str">
        <f>IFERROR(__xludf.DUMMYFUNCTION("""COMPUTED_VALUE"""),"TLPG TJ PERAK")</f>
        <v>TLPG TJ PERAK</v>
      </c>
      <c r="J80" s="17">
        <f>IFERROR(__xludf.DUMMYFUNCTION("""COMPUTED_VALUE"""),3.0)</f>
        <v>3</v>
      </c>
    </row>
    <row r="81">
      <c r="A81" s="13" t="str">
        <f>IFERROR(__xludf.DUMMYFUNCTION("""COMPUTED_VALUE"""),"L 8083 CA")</f>
        <v>L 8083 CA</v>
      </c>
      <c r="B81" s="9" t="str">
        <f>IFERROR(__xludf.DUMMYFUNCTION("""COMPUTED_VALUE"""),"TLPG TJ WANGI")</f>
        <v>TLPG TJ WANGI</v>
      </c>
      <c r="C81" s="11">
        <f>IFERROR(__xludf.DUMMYFUNCTION("""COMPUTED_VALUE"""),3.0)</f>
        <v>3</v>
      </c>
      <c r="D81" s="12">
        <v>2.0</v>
      </c>
      <c r="E81" s="34" t="s">
        <v>428</v>
      </c>
      <c r="F81" s="17"/>
      <c r="G81" s="14">
        <v>80.0</v>
      </c>
      <c r="H81" s="17" t="str">
        <f>IFERROR(__xludf.DUMMYFUNCTION("""COMPUTED_VALUE"""),"DK 8236 GH")</f>
        <v>DK 8236 GH</v>
      </c>
      <c r="I81" s="17" t="str">
        <f>IFERROR(__xludf.DUMMYFUNCTION("""COMPUTED_VALUE"""),"TLPG MANGGIS")</f>
        <v>TLPG MANGGIS</v>
      </c>
      <c r="J81" s="17">
        <f>IFERROR(__xludf.DUMMYFUNCTION("""COMPUTED_VALUE"""),3.0)</f>
        <v>3</v>
      </c>
    </row>
    <row r="82">
      <c r="A82" s="13" t="str">
        <f>IFERROR(__xludf.DUMMYFUNCTION("""COMPUTED_VALUE"""),"L 9837 UJ")</f>
        <v>L 9837 UJ</v>
      </c>
      <c r="B82" s="9" t="str">
        <f>IFERROR(__xludf.DUMMYFUNCTION("""COMPUTED_VALUE"""),"TLPG MEM GRESIK")</f>
        <v>TLPG MEM GRESIK</v>
      </c>
      <c r="C82" s="11">
        <f>IFERROR(__xludf.DUMMYFUNCTION("""COMPUTED_VALUE"""),3.0)</f>
        <v>3</v>
      </c>
      <c r="D82" s="12">
        <v>4.0</v>
      </c>
      <c r="E82" s="34" t="s">
        <v>83</v>
      </c>
      <c r="F82" s="17"/>
      <c r="G82" s="14">
        <v>81.0</v>
      </c>
      <c r="H82" s="17" t="str">
        <f>IFERROR(__xludf.DUMMYFUNCTION("""COMPUTED_VALUE"""),"DK 8268 HH")</f>
        <v>DK 8268 HH</v>
      </c>
      <c r="I82" s="17" t="str">
        <f>IFERROR(__xludf.DUMMYFUNCTION("""COMPUTED_VALUE"""),"TLPG MANGGIS")</f>
        <v>TLPG MANGGIS</v>
      </c>
      <c r="J82" s="17">
        <f>IFERROR(__xludf.DUMMYFUNCTION("""COMPUTED_VALUE"""),3.0)</f>
        <v>3</v>
      </c>
    </row>
    <row r="83">
      <c r="A83" s="13" t="str">
        <f>IFERROR(__xludf.DUMMYFUNCTION("""COMPUTED_VALUE"""),"N 8782 UR")</f>
        <v>N 8782 UR</v>
      </c>
      <c r="B83" s="9" t="str">
        <f>IFERROR(__xludf.DUMMYFUNCTION("""COMPUTED_VALUE"""),"TLPG TJ WANGI")</f>
        <v>TLPG TJ WANGI</v>
      </c>
      <c r="C83" s="11">
        <f>IFERROR(__xludf.DUMMYFUNCTION("""COMPUTED_VALUE"""),3.0)</f>
        <v>3</v>
      </c>
      <c r="D83" s="12">
        <v>6.0</v>
      </c>
      <c r="E83" s="34" t="s">
        <v>184</v>
      </c>
      <c r="F83" s="17"/>
      <c r="G83" s="14">
        <v>82.0</v>
      </c>
      <c r="H83" s="17" t="str">
        <f>IFERROR(__xludf.DUMMYFUNCTION("""COMPUTED_VALUE"""),"DK 8285 DT")</f>
        <v>DK 8285 DT</v>
      </c>
      <c r="I83" s="17" t="str">
        <f>IFERROR(__xludf.DUMMYFUNCTION("""COMPUTED_VALUE"""),"TLPG MANGGIS")</f>
        <v>TLPG MANGGIS</v>
      </c>
      <c r="J83" s="17">
        <f>IFERROR(__xludf.DUMMYFUNCTION("""COMPUTED_VALUE"""),3.0)</f>
        <v>3</v>
      </c>
    </row>
    <row r="84">
      <c r="A84" s="13" t="str">
        <f>IFERROR(__xludf.DUMMYFUNCTION("""COMPUTED_VALUE"""),"P 8277 UG")</f>
        <v>P 8277 UG</v>
      </c>
      <c r="B84" s="9" t="str">
        <f>IFERROR(__xludf.DUMMYFUNCTION("""COMPUTED_VALUE"""),"TLPG TJ WANGI")</f>
        <v>TLPG TJ WANGI</v>
      </c>
      <c r="C84" s="11">
        <f>IFERROR(__xludf.DUMMYFUNCTION("""COMPUTED_VALUE"""),3.0)</f>
        <v>3</v>
      </c>
      <c r="D84" s="12">
        <v>4.0</v>
      </c>
      <c r="E84" s="34" t="s">
        <v>184</v>
      </c>
      <c r="F84" s="17"/>
      <c r="G84" s="14">
        <v>83.0</v>
      </c>
      <c r="H84" s="17" t="str">
        <f>IFERROR(__xludf.DUMMYFUNCTION("""COMPUTED_VALUE"""),"B 9713 SFU")</f>
        <v>B 9713 SFU</v>
      </c>
      <c r="I84" s="17" t="str">
        <f>IFERROR(__xludf.DUMMYFUNCTION("""COMPUTED_VALUE"""),"TLPG TJ WANGI")</f>
        <v>TLPG TJ WANGI</v>
      </c>
      <c r="J84" s="17">
        <f>IFERROR(__xludf.DUMMYFUNCTION("""COMPUTED_VALUE"""),4.0)</f>
        <v>4</v>
      </c>
    </row>
    <row r="85">
      <c r="A85" s="13" t="str">
        <f>IFERROR(__xludf.DUMMYFUNCTION("""COMPUTED_VALUE"""),"AG 8223 LB")</f>
        <v>AG 8223 LB</v>
      </c>
      <c r="B85" s="9" t="str">
        <f>IFERROR(__xludf.DUMMYFUNCTION("""COMPUTED_VALUE"""),"TLPG TJ PERAK")</f>
        <v>TLPG TJ PERAK</v>
      </c>
      <c r="C85" s="11">
        <f>IFERROR(__xludf.DUMMYFUNCTION("""COMPUTED_VALUE"""),4.0)</f>
        <v>4</v>
      </c>
      <c r="D85" s="12">
        <v>4.0</v>
      </c>
      <c r="E85" s="34" t="s">
        <v>204</v>
      </c>
      <c r="F85" s="17"/>
      <c r="G85" s="14">
        <v>84.0</v>
      </c>
      <c r="H85" s="17" t="str">
        <f>IFERROR(__xludf.DUMMYFUNCTION("""COMPUTED_VALUE"""),"B 9869 SFV")</f>
        <v>B 9869 SFV</v>
      </c>
      <c r="I85" s="17" t="str">
        <f>IFERROR(__xludf.DUMMYFUNCTION("""COMPUTED_VALUE"""),"TLPG MEM GRESIK")</f>
        <v>TLPG MEM GRESIK</v>
      </c>
      <c r="J85" s="17">
        <f>IFERROR(__xludf.DUMMYFUNCTION("""COMPUTED_VALUE"""),4.0)</f>
        <v>4</v>
      </c>
    </row>
    <row r="86">
      <c r="A86" s="13" t="str">
        <f>IFERROR(__xludf.DUMMYFUNCTION("""COMPUTED_VALUE"""),"AG 8654 UZ")</f>
        <v>AG 8654 UZ</v>
      </c>
      <c r="B86" s="9" t="str">
        <f>IFERROR(__xludf.DUMMYFUNCTION("""COMPUTED_VALUE"""),"TLPG TJ PERAK")</f>
        <v>TLPG TJ PERAK</v>
      </c>
      <c r="C86" s="11">
        <f>IFERROR(__xludf.DUMMYFUNCTION("""COMPUTED_VALUE"""),4.0)</f>
        <v>4</v>
      </c>
      <c r="D86" s="12">
        <v>3.0</v>
      </c>
      <c r="E86" s="34" t="s">
        <v>135</v>
      </c>
      <c r="F86" s="17"/>
      <c r="G86" s="14">
        <v>85.0</v>
      </c>
      <c r="H86" s="17" t="str">
        <f>IFERROR(__xludf.DUMMYFUNCTION("""COMPUTED_VALUE"""),"B 9884 SFU")</f>
        <v>B 9884 SFU</v>
      </c>
      <c r="I86" s="17" t="str">
        <f>IFERROR(__xludf.DUMMYFUNCTION("""COMPUTED_VALUE"""),"TLPG MEM GRESIK")</f>
        <v>TLPG MEM GRESIK</v>
      </c>
      <c r="J86" s="17">
        <f>IFERROR(__xludf.DUMMYFUNCTION("""COMPUTED_VALUE"""),4.0)</f>
        <v>4</v>
      </c>
    </row>
    <row r="87">
      <c r="A87" s="13" t="str">
        <f>IFERROR(__xludf.DUMMYFUNCTION("""COMPUTED_VALUE"""),"AG 8701 UO")</f>
        <v>AG 8701 UO</v>
      </c>
      <c r="B87" s="9" t="str">
        <f>IFERROR(__xludf.DUMMYFUNCTION("""COMPUTED_VALUE"""),"TLPG TJ PERAK")</f>
        <v>TLPG TJ PERAK</v>
      </c>
      <c r="C87" s="11">
        <f>IFERROR(__xludf.DUMMYFUNCTION("""COMPUTED_VALUE"""),4.0)</f>
        <v>4</v>
      </c>
      <c r="D87" s="12">
        <v>4.0</v>
      </c>
      <c r="E87" s="34" t="s">
        <v>220</v>
      </c>
      <c r="F87" s="17"/>
      <c r="G87" s="14">
        <v>86.0</v>
      </c>
      <c r="H87" s="17" t="str">
        <f>IFERROR(__xludf.DUMMYFUNCTION("""COMPUTED_VALUE"""),"DK 8146 BZ")</f>
        <v>DK 8146 BZ</v>
      </c>
      <c r="I87" s="17" t="str">
        <f>IFERROR(__xludf.DUMMYFUNCTION("""COMPUTED_VALUE"""),"TLPG MANGGIS")</f>
        <v>TLPG MANGGIS</v>
      </c>
      <c r="J87" s="17">
        <f>IFERROR(__xludf.DUMMYFUNCTION("""COMPUTED_VALUE"""),4.0)</f>
        <v>4</v>
      </c>
    </row>
    <row r="88">
      <c r="A88" s="13" t="str">
        <f>IFERROR(__xludf.DUMMYFUNCTION("""COMPUTED_VALUE"""),"AG 8702 UO")</f>
        <v>AG 8702 UO</v>
      </c>
      <c r="B88" s="9" t="str">
        <f>IFERROR(__xludf.DUMMYFUNCTION("""COMPUTED_VALUE"""),"TLPG TJ PERAK")</f>
        <v>TLPG TJ PERAK</v>
      </c>
      <c r="C88" s="11">
        <f>IFERROR(__xludf.DUMMYFUNCTION("""COMPUTED_VALUE"""),4.0)</f>
        <v>4</v>
      </c>
      <c r="D88" s="12">
        <v>4.0</v>
      </c>
      <c r="E88" s="34" t="s">
        <v>220</v>
      </c>
      <c r="F88" s="17"/>
      <c r="G88" s="14">
        <v>87.0</v>
      </c>
      <c r="H88" s="17" t="str">
        <f>IFERROR(__xludf.DUMMYFUNCTION("""COMPUTED_VALUE"""),"L 9837 UJ")</f>
        <v>L 9837 UJ</v>
      </c>
      <c r="I88" s="17" t="str">
        <f>IFERROR(__xludf.DUMMYFUNCTION("""COMPUTED_VALUE"""),"TLPG MEM GRESIK")</f>
        <v>TLPG MEM GRESIK</v>
      </c>
      <c r="J88" s="17">
        <f>IFERROR(__xludf.DUMMYFUNCTION("""COMPUTED_VALUE"""),4.0)</f>
        <v>4</v>
      </c>
    </row>
    <row r="89">
      <c r="A89" s="13" t="str">
        <f>IFERROR(__xludf.DUMMYFUNCTION("""COMPUTED_VALUE"""),"AG 8717 UO")</f>
        <v>AG 8717 UO</v>
      </c>
      <c r="B89" s="9" t="str">
        <f>IFERROR(__xludf.DUMMYFUNCTION("""COMPUTED_VALUE"""),"TLPG TJ PERAK")</f>
        <v>TLPG TJ PERAK</v>
      </c>
      <c r="C89" s="11">
        <f>IFERROR(__xludf.DUMMYFUNCTION("""COMPUTED_VALUE"""),4.0)</f>
        <v>4</v>
      </c>
      <c r="D89" s="12">
        <v>4.0</v>
      </c>
      <c r="E89" s="34" t="s">
        <v>220</v>
      </c>
      <c r="F89" s="17"/>
      <c r="G89" s="14">
        <v>88.0</v>
      </c>
      <c r="H89" s="17" t="str">
        <f>IFERROR(__xludf.DUMMYFUNCTION("""COMPUTED_VALUE"""),"P 8277 UG")</f>
        <v>P 8277 UG</v>
      </c>
      <c r="I89" s="17" t="str">
        <f>IFERROR(__xludf.DUMMYFUNCTION("""COMPUTED_VALUE"""),"TLPG TJ WANGI")</f>
        <v>TLPG TJ WANGI</v>
      </c>
      <c r="J89" s="17">
        <f>IFERROR(__xludf.DUMMYFUNCTION("""COMPUTED_VALUE"""),4.0)</f>
        <v>4</v>
      </c>
    </row>
    <row r="90">
      <c r="A90" s="13" t="str">
        <f>IFERROR(__xludf.DUMMYFUNCTION("""COMPUTED_VALUE"""),"AG 8817 UK")</f>
        <v>AG 8817 UK</v>
      </c>
      <c r="B90" s="9" t="str">
        <f>IFERROR(__xludf.DUMMYFUNCTION("""COMPUTED_VALUE"""),"TLPG TJ PERAK")</f>
        <v>TLPG TJ PERAK</v>
      </c>
      <c r="C90" s="11">
        <f>IFERROR(__xludf.DUMMYFUNCTION("""COMPUTED_VALUE"""),4.0)</f>
        <v>4</v>
      </c>
      <c r="D90" s="12">
        <v>4.0</v>
      </c>
      <c r="E90" s="34" t="s">
        <v>204</v>
      </c>
      <c r="F90" s="17"/>
      <c r="G90" s="14">
        <v>89.0</v>
      </c>
      <c r="H90" s="17" t="str">
        <f>IFERROR(__xludf.DUMMYFUNCTION("""COMPUTED_VALUE"""),"AG 8223 LB")</f>
        <v>AG 8223 LB</v>
      </c>
      <c r="I90" s="17" t="str">
        <f>IFERROR(__xludf.DUMMYFUNCTION("""COMPUTED_VALUE"""),"TLPG TJ PERAK")</f>
        <v>TLPG TJ PERAK</v>
      </c>
      <c r="J90" s="17">
        <f>IFERROR(__xludf.DUMMYFUNCTION("""COMPUTED_VALUE"""),4.0)</f>
        <v>4</v>
      </c>
    </row>
    <row r="91">
      <c r="A91" s="13" t="str">
        <f>IFERROR(__xludf.DUMMYFUNCTION("""COMPUTED_VALUE"""),"AG 8817 UT")</f>
        <v>AG 8817 UT</v>
      </c>
      <c r="B91" s="9" t="str">
        <f>IFERROR(__xludf.DUMMYFUNCTION("""COMPUTED_VALUE"""),"TLPG TJ PERAK")</f>
        <v>TLPG TJ PERAK</v>
      </c>
      <c r="C91" s="11">
        <f>IFERROR(__xludf.DUMMYFUNCTION("""COMPUTED_VALUE"""),4.0)</f>
        <v>4</v>
      </c>
      <c r="D91" s="12">
        <v>5.0</v>
      </c>
      <c r="E91" s="34" t="s">
        <v>124</v>
      </c>
      <c r="F91" s="17"/>
      <c r="G91" s="14">
        <v>90.0</v>
      </c>
      <c r="H91" s="17" t="str">
        <f>IFERROR(__xludf.DUMMYFUNCTION("""COMPUTED_VALUE"""),"AG 8701 UO")</f>
        <v>AG 8701 UO</v>
      </c>
      <c r="I91" s="17" t="str">
        <f>IFERROR(__xludf.DUMMYFUNCTION("""COMPUTED_VALUE"""),"TLPG TJ PERAK")</f>
        <v>TLPG TJ PERAK</v>
      </c>
      <c r="J91" s="17">
        <f>IFERROR(__xludf.DUMMYFUNCTION("""COMPUTED_VALUE"""),4.0)</f>
        <v>4</v>
      </c>
    </row>
    <row r="92">
      <c r="A92" s="13" t="str">
        <f>IFERROR(__xludf.DUMMYFUNCTION("""COMPUTED_VALUE"""),"AG 8818 UK")</f>
        <v>AG 8818 UK</v>
      </c>
      <c r="B92" s="9" t="str">
        <f>IFERROR(__xludf.DUMMYFUNCTION("""COMPUTED_VALUE"""),"TLPG TJ PERAK")</f>
        <v>TLPG TJ PERAK</v>
      </c>
      <c r="C92" s="11">
        <f>IFERROR(__xludf.DUMMYFUNCTION("""COMPUTED_VALUE"""),4.0)</f>
        <v>4</v>
      </c>
      <c r="D92" s="12">
        <v>4.0</v>
      </c>
      <c r="E92" s="39" t="s">
        <v>204</v>
      </c>
      <c r="F92" s="17"/>
      <c r="G92" s="14">
        <v>91.0</v>
      </c>
      <c r="H92" s="17" t="str">
        <f>IFERROR(__xludf.DUMMYFUNCTION("""COMPUTED_VALUE"""),"AG 8702 UO")</f>
        <v>AG 8702 UO</v>
      </c>
      <c r="I92" s="17" t="str">
        <f>IFERROR(__xludf.DUMMYFUNCTION("""COMPUTED_VALUE"""),"TLPG TJ PERAK")</f>
        <v>TLPG TJ PERAK</v>
      </c>
      <c r="J92" s="17">
        <f>IFERROR(__xludf.DUMMYFUNCTION("""COMPUTED_VALUE"""),4.0)</f>
        <v>4</v>
      </c>
    </row>
    <row r="93">
      <c r="A93" s="13" t="str">
        <f>IFERROR(__xludf.DUMMYFUNCTION("""COMPUTED_VALUE"""),"AG 8818 UT")</f>
        <v>AG 8818 UT</v>
      </c>
      <c r="B93" s="9" t="str">
        <f>IFERROR(__xludf.DUMMYFUNCTION("""COMPUTED_VALUE"""),"TLPG TJ PERAK")</f>
        <v>TLPG TJ PERAK</v>
      </c>
      <c r="C93" s="11">
        <f>IFERROR(__xludf.DUMMYFUNCTION("""COMPUTED_VALUE"""),4.0)</f>
        <v>4</v>
      </c>
      <c r="D93" s="12">
        <v>5.0</v>
      </c>
      <c r="E93" s="34" t="s">
        <v>124</v>
      </c>
      <c r="F93" s="17"/>
      <c r="G93" s="14">
        <v>92.0</v>
      </c>
      <c r="H93" s="17" t="str">
        <f>IFERROR(__xludf.DUMMYFUNCTION("""COMPUTED_VALUE"""),"AG 8717 UO")</f>
        <v>AG 8717 UO</v>
      </c>
      <c r="I93" s="17" t="str">
        <f>IFERROR(__xludf.DUMMYFUNCTION("""COMPUTED_VALUE"""),"TLPG TJ PERAK")</f>
        <v>TLPG TJ PERAK</v>
      </c>
      <c r="J93" s="17">
        <f>IFERROR(__xludf.DUMMYFUNCTION("""COMPUTED_VALUE"""),4.0)</f>
        <v>4</v>
      </c>
    </row>
    <row r="94">
      <c r="A94" s="13" t="str">
        <f>IFERROR(__xludf.DUMMYFUNCTION("""COMPUTED_VALUE"""),"B 9088 SEI")</f>
        <v>B 9088 SEI</v>
      </c>
      <c r="B94" s="9" t="str">
        <f>IFERROR(__xludf.DUMMYFUNCTION("""COMPUTED_VALUE"""),"TLPG MEM GRESIK")</f>
        <v>TLPG MEM GRESIK</v>
      </c>
      <c r="C94" s="11">
        <f>IFERROR(__xludf.DUMMYFUNCTION("""COMPUTED_VALUE"""),4.0)</f>
        <v>4</v>
      </c>
      <c r="D94" s="12">
        <v>5.0</v>
      </c>
      <c r="E94" s="34" t="s">
        <v>83</v>
      </c>
      <c r="F94" s="17"/>
      <c r="G94" s="14">
        <v>93.0</v>
      </c>
      <c r="H94" s="17" t="str">
        <f>IFERROR(__xludf.DUMMYFUNCTION("""COMPUTED_VALUE"""),"AG 8817 UK")</f>
        <v>AG 8817 UK</v>
      </c>
      <c r="I94" s="17" t="str">
        <f>IFERROR(__xludf.DUMMYFUNCTION("""COMPUTED_VALUE"""),"TLPG TJ PERAK")</f>
        <v>TLPG TJ PERAK</v>
      </c>
      <c r="J94" s="17">
        <f>IFERROR(__xludf.DUMMYFUNCTION("""COMPUTED_VALUE"""),4.0)</f>
        <v>4</v>
      </c>
    </row>
    <row r="95">
      <c r="A95" s="13" t="str">
        <f>IFERROR(__xludf.DUMMYFUNCTION("""COMPUTED_VALUE"""),"B 9882 SFU")</f>
        <v>B 9882 SFU</v>
      </c>
      <c r="B95" s="9" t="str">
        <f>IFERROR(__xludf.DUMMYFUNCTION("""COMPUTED_VALUE"""),"TLPG MEM GRESIK")</f>
        <v>TLPG MEM GRESIK</v>
      </c>
      <c r="C95" s="11">
        <f>IFERROR(__xludf.DUMMYFUNCTION("""COMPUTED_VALUE"""),4.0)</f>
        <v>4</v>
      </c>
      <c r="D95" s="12">
        <v>5.0</v>
      </c>
      <c r="E95" s="34" t="s">
        <v>83</v>
      </c>
      <c r="F95" s="17"/>
      <c r="G95" s="14">
        <v>94.0</v>
      </c>
      <c r="H95" s="17" t="str">
        <f>IFERROR(__xludf.DUMMYFUNCTION("""COMPUTED_VALUE"""),"AG 8818 UK")</f>
        <v>AG 8818 UK</v>
      </c>
      <c r="I95" s="17" t="str">
        <f>IFERROR(__xludf.DUMMYFUNCTION("""COMPUTED_VALUE"""),"TLPG TJ PERAK")</f>
        <v>TLPG TJ PERAK</v>
      </c>
      <c r="J95" s="17">
        <f>IFERROR(__xludf.DUMMYFUNCTION("""COMPUTED_VALUE"""),4.0)</f>
        <v>4</v>
      </c>
    </row>
    <row r="96">
      <c r="A96" s="13" t="str">
        <f>IFERROR(__xludf.DUMMYFUNCTION("""COMPUTED_VALUE"""),"B 9883 SFU")</f>
        <v>B 9883 SFU</v>
      </c>
      <c r="B96" s="9" t="str">
        <f>IFERROR(__xludf.DUMMYFUNCTION("""COMPUTED_VALUE"""),"TLPG MEM GRESIK")</f>
        <v>TLPG MEM GRESIK</v>
      </c>
      <c r="C96" s="11">
        <f>IFERROR(__xludf.DUMMYFUNCTION("""COMPUTED_VALUE"""),4.0)</f>
        <v>4</v>
      </c>
      <c r="D96" s="12">
        <v>5.0</v>
      </c>
      <c r="E96" s="34" t="s">
        <v>83</v>
      </c>
      <c r="F96" s="17"/>
      <c r="G96" s="14">
        <v>95.0</v>
      </c>
      <c r="H96" s="17" t="str">
        <f>IFERROR(__xludf.DUMMYFUNCTION("""COMPUTED_VALUE"""),"L 8013 UX")</f>
        <v>L 8013 UX</v>
      </c>
      <c r="I96" s="17" t="str">
        <f>IFERROR(__xludf.DUMMYFUNCTION("""COMPUTED_VALUE"""),"TLPG MEM GRESIK")</f>
        <v>TLPG MEM GRESIK</v>
      </c>
      <c r="J96" s="17">
        <f>IFERROR(__xludf.DUMMYFUNCTION("""COMPUTED_VALUE"""),4.0)</f>
        <v>4</v>
      </c>
    </row>
    <row r="97">
      <c r="A97" s="13" t="str">
        <f>IFERROR(__xludf.DUMMYFUNCTION("""COMPUTED_VALUE"""),"DK 8148 TS")</f>
        <v>DK 8148 TS</v>
      </c>
      <c r="B97" s="9" t="str">
        <f>IFERROR(__xludf.DUMMYFUNCTION("""COMPUTED_VALUE"""),"TLPG MANGGIS")</f>
        <v>TLPG MANGGIS</v>
      </c>
      <c r="C97" s="11">
        <f>IFERROR(__xludf.DUMMYFUNCTION("""COMPUTED_VALUE"""),4.0)</f>
        <v>4</v>
      </c>
      <c r="D97" s="12">
        <v>1.0</v>
      </c>
      <c r="E97" s="34" t="s">
        <v>425</v>
      </c>
      <c r="F97" s="17"/>
      <c r="G97" s="14">
        <v>96.0</v>
      </c>
      <c r="H97" s="17" t="str">
        <f>IFERROR(__xludf.DUMMYFUNCTION("""COMPUTED_VALUE"""),"L 8440 UD")</f>
        <v>L 8440 UD</v>
      </c>
      <c r="I97" s="17" t="str">
        <f>IFERROR(__xludf.DUMMYFUNCTION("""COMPUTED_VALUE"""),"TLPG MEM GRESIK")</f>
        <v>TLPG MEM GRESIK</v>
      </c>
      <c r="J97" s="17">
        <f>IFERROR(__xludf.DUMMYFUNCTION("""COMPUTED_VALUE"""),4.0)</f>
        <v>4</v>
      </c>
    </row>
    <row r="98">
      <c r="A98" s="13" t="str">
        <f>IFERROR(__xludf.DUMMYFUNCTION("""COMPUTED_VALUE"""),"DK 8170 UB")</f>
        <v>DK 8170 UB</v>
      </c>
      <c r="B98" s="9" t="str">
        <f>IFERROR(__xludf.DUMMYFUNCTION("""COMPUTED_VALUE"""),"TLPG MANGGIS")</f>
        <v>TLPG MANGGIS</v>
      </c>
      <c r="C98" s="11">
        <f>IFERROR(__xludf.DUMMYFUNCTION("""COMPUTED_VALUE"""),4.0)</f>
        <v>4</v>
      </c>
      <c r="D98" s="12">
        <v>5.0</v>
      </c>
      <c r="E98" s="34" t="s">
        <v>206</v>
      </c>
      <c r="F98" s="17"/>
      <c r="G98" s="14">
        <v>97.0</v>
      </c>
      <c r="H98" s="17" t="str">
        <f>IFERROR(__xludf.DUMMYFUNCTION("""COMPUTED_VALUE"""),"L 8537 UD")</f>
        <v>L 8537 UD</v>
      </c>
      <c r="I98" s="17" t="str">
        <f>IFERROR(__xludf.DUMMYFUNCTION("""COMPUTED_VALUE"""),"TLPG TJ PERAK")</f>
        <v>TLPG TJ PERAK</v>
      </c>
      <c r="J98" s="17">
        <f>IFERROR(__xludf.DUMMYFUNCTION("""COMPUTED_VALUE"""),4.0)</f>
        <v>4</v>
      </c>
    </row>
    <row r="99">
      <c r="A99" s="13" t="str">
        <f>IFERROR(__xludf.DUMMYFUNCTION("""COMPUTED_VALUE"""),"DK 8197 BK")</f>
        <v>DK 8197 BK</v>
      </c>
      <c r="B99" s="9" t="str">
        <f>IFERROR(__xludf.DUMMYFUNCTION("""COMPUTED_VALUE"""),"TLPG MANGGIS")</f>
        <v>TLPG MANGGIS</v>
      </c>
      <c r="C99" s="11">
        <f>IFERROR(__xludf.DUMMYFUNCTION("""COMPUTED_VALUE"""),4.0)</f>
        <v>4</v>
      </c>
      <c r="D99" s="12">
        <v>1.0</v>
      </c>
      <c r="E99" s="34" t="s">
        <v>310</v>
      </c>
      <c r="F99" s="17"/>
      <c r="G99" s="14">
        <v>98.0</v>
      </c>
      <c r="H99" s="17" t="str">
        <f>IFERROR(__xludf.DUMMYFUNCTION("""COMPUTED_VALUE"""),"AE 8527 UJ")</f>
        <v>AE 8527 UJ</v>
      </c>
      <c r="I99" s="17" t="str">
        <f>IFERROR(__xludf.DUMMYFUNCTION("""COMPUTED_VALUE"""),"TLPG TJ PERAK")</f>
        <v>TLPG TJ PERAK</v>
      </c>
      <c r="J99" s="17">
        <f>IFERROR(__xludf.DUMMYFUNCTION("""COMPUTED_VALUE"""),4.0)</f>
        <v>4</v>
      </c>
    </row>
    <row r="100">
      <c r="A100" s="13" t="str">
        <f>IFERROR(__xludf.DUMMYFUNCTION("""COMPUTED_VALUE"""),"DK 8773 MG")</f>
        <v>DK 8773 MG</v>
      </c>
      <c r="B100" s="9" t="str">
        <f>IFERROR(__xludf.DUMMYFUNCTION("""COMPUTED_VALUE"""),"TLPG LOMBOK")</f>
        <v>TLPG LOMBOK</v>
      </c>
      <c r="C100" s="11">
        <f>IFERROR(__xludf.DUMMYFUNCTION("""COMPUTED_VALUE"""),4.0)</f>
        <v>4</v>
      </c>
      <c r="D100" s="12">
        <v>5.0</v>
      </c>
      <c r="E100" s="34" t="s">
        <v>223</v>
      </c>
      <c r="F100" s="17"/>
      <c r="G100" s="14">
        <v>99.0</v>
      </c>
      <c r="H100" s="17" t="str">
        <f>IFERROR(__xludf.DUMMYFUNCTION("""COMPUTED_VALUE"""),"AE 8858 UT")</f>
        <v>AE 8858 UT</v>
      </c>
      <c r="I100" s="17" t="str">
        <f>IFERROR(__xludf.DUMMYFUNCTION("""COMPUTED_VALUE"""),"TLPG TJ PERAK")</f>
        <v>TLPG TJ PERAK</v>
      </c>
      <c r="J100" s="17">
        <f>IFERROR(__xludf.DUMMYFUNCTION("""COMPUTED_VALUE"""),4.0)</f>
        <v>4</v>
      </c>
    </row>
    <row r="101">
      <c r="A101" s="13" t="str">
        <f>IFERROR(__xludf.DUMMYFUNCTION("""COMPUTED_VALUE"""),"DK 8837 HC")</f>
        <v>DK 8837 HC</v>
      </c>
      <c r="B101" s="9" t="str">
        <f>IFERROR(__xludf.DUMMYFUNCTION("""COMPUTED_VALUE"""),"TLPG MANGGIS")</f>
        <v>TLPG MANGGIS</v>
      </c>
      <c r="C101" s="11">
        <f>IFERROR(__xludf.DUMMYFUNCTION("""COMPUTED_VALUE"""),4.0)</f>
        <v>4</v>
      </c>
      <c r="D101" s="12">
        <v>6.0</v>
      </c>
      <c r="E101" s="34" t="s">
        <v>127</v>
      </c>
      <c r="F101" s="17"/>
      <c r="G101" s="14">
        <v>100.0</v>
      </c>
      <c r="H101" s="17" t="str">
        <f>IFERROR(__xludf.DUMMYFUNCTION("""COMPUTED_VALUE"""),"AG 8115 UC")</f>
        <v>AG 8115 UC</v>
      </c>
      <c r="I101" s="17" t="str">
        <f>IFERROR(__xludf.DUMMYFUNCTION("""COMPUTED_VALUE"""),"TLPG TJ PERAK")</f>
        <v>TLPG TJ PERAK</v>
      </c>
      <c r="J101" s="17">
        <f>IFERROR(__xludf.DUMMYFUNCTION("""COMPUTED_VALUE"""),4.0)</f>
        <v>4</v>
      </c>
    </row>
    <row r="102">
      <c r="A102" s="13" t="str">
        <f>IFERROR(__xludf.DUMMYFUNCTION("""COMPUTED_VALUE"""),"DR 8105 LJ")</f>
        <v>DR 8105 LJ</v>
      </c>
      <c r="B102" s="9" t="str">
        <f>IFERROR(__xludf.DUMMYFUNCTION("""COMPUTED_VALUE"""),"TLPG LOMBOK")</f>
        <v>TLPG LOMBOK</v>
      </c>
      <c r="C102" s="11">
        <f>IFERROR(__xludf.DUMMYFUNCTION("""COMPUTED_VALUE"""),4.0)</f>
        <v>4</v>
      </c>
      <c r="D102" s="12">
        <v>6.0</v>
      </c>
      <c r="E102" s="34" t="s">
        <v>142</v>
      </c>
      <c r="F102" s="17"/>
      <c r="G102" s="14">
        <v>101.0</v>
      </c>
      <c r="H102" s="17" t="str">
        <f>IFERROR(__xludf.DUMMYFUNCTION("""COMPUTED_VALUE"""),"AG 8893 YK")</f>
        <v>AG 8893 YK</v>
      </c>
      <c r="I102" s="17" t="str">
        <f>IFERROR(__xludf.DUMMYFUNCTION("""COMPUTED_VALUE"""),"TLPG TJ PERAK")</f>
        <v>TLPG TJ PERAK</v>
      </c>
      <c r="J102" s="17">
        <f>IFERROR(__xludf.DUMMYFUNCTION("""COMPUTED_VALUE"""),4.0)</f>
        <v>4</v>
      </c>
    </row>
    <row r="103">
      <c r="A103" s="13" t="str">
        <f>IFERROR(__xludf.DUMMYFUNCTION("""COMPUTED_VALUE"""),"DR 8772 DC")</f>
        <v>DR 8772 DC</v>
      </c>
      <c r="B103" s="9" t="str">
        <f>IFERROR(__xludf.DUMMYFUNCTION("""COMPUTED_VALUE"""),"TLPG LOMBOK")</f>
        <v>TLPG LOMBOK</v>
      </c>
      <c r="C103" s="11">
        <f>IFERROR(__xludf.DUMMYFUNCTION("""COMPUTED_VALUE"""),4.0)</f>
        <v>4</v>
      </c>
      <c r="D103" s="12">
        <v>1.0</v>
      </c>
      <c r="E103" s="34" t="s">
        <v>430</v>
      </c>
      <c r="F103" s="17"/>
      <c r="G103" s="14">
        <v>102.0</v>
      </c>
      <c r="H103" s="17" t="str">
        <f>IFERROR(__xludf.DUMMYFUNCTION("""COMPUTED_VALUE"""),"AG 9753 UB")</f>
        <v>AG 9753 UB</v>
      </c>
      <c r="I103" s="17" t="str">
        <f>IFERROR(__xludf.DUMMYFUNCTION("""COMPUTED_VALUE"""),"TLPG TJ PERAK")</f>
        <v>TLPG TJ PERAK</v>
      </c>
      <c r="J103" s="17">
        <f>IFERROR(__xludf.DUMMYFUNCTION("""COMPUTED_VALUE"""),4.0)</f>
        <v>4</v>
      </c>
    </row>
    <row r="104">
      <c r="A104" s="13" t="str">
        <f>IFERROR(__xludf.DUMMYFUNCTION("""COMPUTED_VALUE"""),"L 8013 UX")</f>
        <v>L 8013 UX</v>
      </c>
      <c r="B104" s="9" t="str">
        <f>IFERROR(__xludf.DUMMYFUNCTION("""COMPUTED_VALUE"""),"TLPG MEM GRESIK")</f>
        <v>TLPG MEM GRESIK</v>
      </c>
      <c r="C104" s="11">
        <f>IFERROR(__xludf.DUMMYFUNCTION("""COMPUTED_VALUE"""),4.0)</f>
        <v>4</v>
      </c>
      <c r="D104" s="12">
        <v>4.0</v>
      </c>
      <c r="E104" s="34" t="s">
        <v>307</v>
      </c>
      <c r="F104" s="17"/>
      <c r="G104" s="14">
        <v>103.0</v>
      </c>
      <c r="H104" s="17" t="str">
        <f>IFERROR(__xludf.DUMMYFUNCTION("""COMPUTED_VALUE"""),"L 8036 UUB")</f>
        <v>L 8036 UUB</v>
      </c>
      <c r="I104" s="17" t="str">
        <f>IFERROR(__xludf.DUMMYFUNCTION("""COMPUTED_VALUE"""),"TLPG MEM GRESIK")</f>
        <v>TLPG MEM GRESIK</v>
      </c>
      <c r="J104" s="17">
        <f>IFERROR(__xludf.DUMMYFUNCTION("""COMPUTED_VALUE"""),4.0)</f>
        <v>4</v>
      </c>
    </row>
    <row r="105">
      <c r="A105" s="13" t="str">
        <f>IFERROR(__xludf.DUMMYFUNCTION("""COMPUTED_VALUE"""),"L 8440 UD")</f>
        <v>L 8440 UD</v>
      </c>
      <c r="B105" s="9" t="str">
        <f>IFERROR(__xludf.DUMMYFUNCTION("""COMPUTED_VALUE"""),"TLPG MEM GRESIK")</f>
        <v>TLPG MEM GRESIK</v>
      </c>
      <c r="C105" s="11">
        <f>IFERROR(__xludf.DUMMYFUNCTION("""COMPUTED_VALUE"""),4.0)</f>
        <v>4</v>
      </c>
      <c r="D105" s="12">
        <v>4.0</v>
      </c>
      <c r="E105" s="34" t="s">
        <v>329</v>
      </c>
      <c r="F105" s="17"/>
      <c r="G105" s="14">
        <v>104.0</v>
      </c>
      <c r="H105" s="17" t="str">
        <f>IFERROR(__xludf.DUMMYFUNCTION("""COMPUTED_VALUE"""),"L 8063 BL")</f>
        <v>L 8063 BL</v>
      </c>
      <c r="I105" s="17" t="str">
        <f>IFERROR(__xludf.DUMMYFUNCTION("""COMPUTED_VALUE"""),"TLPG TJ PERAK")</f>
        <v>TLPG TJ PERAK</v>
      </c>
      <c r="J105" s="17">
        <f>IFERROR(__xludf.DUMMYFUNCTION("""COMPUTED_VALUE"""),4.0)</f>
        <v>4</v>
      </c>
    </row>
    <row r="106">
      <c r="A106" s="13" t="str">
        <f>IFERROR(__xludf.DUMMYFUNCTION("""COMPUTED_VALUE"""),"L 8537 UD")</f>
        <v>L 8537 UD</v>
      </c>
      <c r="B106" s="9" t="str">
        <f>IFERROR(__xludf.DUMMYFUNCTION("""COMPUTED_VALUE"""),"TLPG TJ PERAK")</f>
        <v>TLPG TJ PERAK</v>
      </c>
      <c r="C106" s="11">
        <f>IFERROR(__xludf.DUMMYFUNCTION("""COMPUTED_VALUE"""),4.0)</f>
        <v>4</v>
      </c>
      <c r="D106" s="12">
        <v>4.0</v>
      </c>
      <c r="E106" s="39" t="s">
        <v>260</v>
      </c>
      <c r="F106" s="17"/>
      <c r="G106" s="14">
        <v>105.0</v>
      </c>
      <c r="H106" s="17" t="str">
        <f>IFERROR(__xludf.DUMMYFUNCTION("""COMPUTED_VALUE"""),"L 8454 N")</f>
        <v>L 8454 N</v>
      </c>
      <c r="I106" s="17" t="str">
        <f>IFERROR(__xludf.DUMMYFUNCTION("""COMPUTED_VALUE"""),"TLPG TJ PERAK")</f>
        <v>TLPG TJ PERAK</v>
      </c>
      <c r="J106" s="17">
        <f>IFERROR(__xludf.DUMMYFUNCTION("""COMPUTED_VALUE"""),4.0)</f>
        <v>4</v>
      </c>
    </row>
    <row r="107">
      <c r="A107" s="13" t="str">
        <f>IFERROR(__xludf.DUMMYFUNCTION("""COMPUTED_VALUE"""),"N 8857 UR")</f>
        <v>N 8857 UR</v>
      </c>
      <c r="B107" s="9" t="str">
        <f>IFERROR(__xludf.DUMMYFUNCTION("""COMPUTED_VALUE"""),"TLPG TJ WANGI")</f>
        <v>TLPG TJ WANGI</v>
      </c>
      <c r="C107" s="11">
        <f>IFERROR(__xludf.DUMMYFUNCTION("""COMPUTED_VALUE"""),4.0)</f>
        <v>4</v>
      </c>
      <c r="D107" s="12">
        <v>5.0</v>
      </c>
      <c r="E107" s="34" t="s">
        <v>475</v>
      </c>
      <c r="F107" s="17"/>
      <c r="G107" s="14">
        <v>106.0</v>
      </c>
      <c r="H107" s="17" t="str">
        <f>IFERROR(__xludf.DUMMYFUNCTION("""COMPUTED_VALUE"""),"L 8547 UI")</f>
        <v>L 8547 UI</v>
      </c>
      <c r="I107" s="17" t="str">
        <f>IFERROR(__xludf.DUMMYFUNCTION("""COMPUTED_VALUE"""),"TLPG TJ PERAK")</f>
        <v>TLPG TJ PERAK</v>
      </c>
      <c r="J107" s="17">
        <f>IFERROR(__xludf.DUMMYFUNCTION("""COMPUTED_VALUE"""),4.0)</f>
        <v>4</v>
      </c>
    </row>
    <row r="108">
      <c r="A108" s="13" t="str">
        <f>IFERROR(__xludf.DUMMYFUNCTION("""COMPUTED_VALUE"""),"N 9287 UN")</f>
        <v>N 9287 UN</v>
      </c>
      <c r="B108" s="9" t="str">
        <f>IFERROR(__xludf.DUMMYFUNCTION("""COMPUTED_VALUE"""),"TLPG TJ WANGI")</f>
        <v>TLPG TJ WANGI</v>
      </c>
      <c r="C108" s="11">
        <f>IFERROR(__xludf.DUMMYFUNCTION("""COMPUTED_VALUE"""),4.0)</f>
        <v>4</v>
      </c>
      <c r="D108" s="12">
        <v>5.0</v>
      </c>
      <c r="E108" s="34" t="s">
        <v>257</v>
      </c>
      <c r="F108" s="17"/>
      <c r="G108" s="14">
        <v>107.0</v>
      </c>
      <c r="H108" s="17" t="str">
        <f>IFERROR(__xludf.DUMMYFUNCTION("""COMPUTED_VALUE"""),"AE 8850 UT")</f>
        <v>AE 8850 UT</v>
      </c>
      <c r="I108" s="17" t="str">
        <f>IFERROR(__xludf.DUMMYFUNCTION("""COMPUTED_VALUE"""),"TLPG TJ PERAK")</f>
        <v>TLPG TJ PERAK</v>
      </c>
      <c r="J108" s="17">
        <f>IFERROR(__xludf.DUMMYFUNCTION("""COMPUTED_VALUE"""),4.0)</f>
        <v>4</v>
      </c>
    </row>
    <row r="109">
      <c r="A109" s="13" t="str">
        <f>IFERROR(__xludf.DUMMYFUNCTION("""COMPUTED_VALUE"""),"N 9307 WD")</f>
        <v>N 9307 WD</v>
      </c>
      <c r="B109" s="9" t="str">
        <f>IFERROR(__xludf.DUMMYFUNCTION("""COMPUTED_VALUE"""),"TLPG TJ PERAK")</f>
        <v>TLPG TJ PERAK</v>
      </c>
      <c r="C109" s="11">
        <f>IFERROR(__xludf.DUMMYFUNCTION("""COMPUTED_VALUE"""),4.0)</f>
        <v>4</v>
      </c>
      <c r="D109" s="12">
        <v>3.0</v>
      </c>
      <c r="E109" s="39" t="s">
        <v>419</v>
      </c>
      <c r="F109" s="17"/>
      <c r="G109" s="14">
        <v>108.0</v>
      </c>
      <c r="H109" s="17" t="str">
        <f>IFERROR(__xludf.DUMMYFUNCTION("""COMPUTED_VALUE"""),"AG 8828 UW")</f>
        <v>AG 8828 UW</v>
      </c>
      <c r="I109" s="17" t="str">
        <f>IFERROR(__xludf.DUMMYFUNCTION("""COMPUTED_VALUE"""),"TLPG TJ PERAK")</f>
        <v>TLPG TJ PERAK</v>
      </c>
      <c r="J109" s="17">
        <f>IFERROR(__xludf.DUMMYFUNCTION("""COMPUTED_VALUE"""),4.0)</f>
        <v>4</v>
      </c>
    </row>
    <row r="110">
      <c r="A110" s="13" t="str">
        <f>IFERROR(__xludf.DUMMYFUNCTION("""COMPUTED_VALUE"""),"N 9579 US")</f>
        <v>N 9579 US</v>
      </c>
      <c r="B110" s="9" t="str">
        <f>IFERROR(__xludf.DUMMYFUNCTION("""COMPUTED_VALUE"""),"TLPG TJ PERAK")</f>
        <v>TLPG TJ PERAK</v>
      </c>
      <c r="C110" s="11">
        <f>IFERROR(__xludf.DUMMYFUNCTION("""COMPUTED_VALUE"""),4.0)</f>
        <v>4</v>
      </c>
      <c r="D110" s="12">
        <v>5.0</v>
      </c>
      <c r="E110" s="39" t="s">
        <v>271</v>
      </c>
      <c r="F110" s="17"/>
      <c r="G110" s="14">
        <v>109.0</v>
      </c>
      <c r="H110" s="17" t="str">
        <f>IFERROR(__xludf.DUMMYFUNCTION("""COMPUTED_VALUE"""),"B 9123 SEI")</f>
        <v>B 9123 SEI</v>
      </c>
      <c r="I110" s="17" t="str">
        <f>IFERROR(__xludf.DUMMYFUNCTION("""COMPUTED_VALUE"""),"TLPG MEM GRESIK")</f>
        <v>TLPG MEM GRESIK</v>
      </c>
      <c r="J110" s="17">
        <f>IFERROR(__xludf.DUMMYFUNCTION("""COMPUTED_VALUE"""),4.0)</f>
        <v>4</v>
      </c>
    </row>
    <row r="111">
      <c r="A111" s="13" t="str">
        <f>IFERROR(__xludf.DUMMYFUNCTION("""COMPUTED_VALUE"""),"P 8176 UW")</f>
        <v>P 8176 UW</v>
      </c>
      <c r="B111" s="9" t="str">
        <f>IFERROR(__xludf.DUMMYFUNCTION("""COMPUTED_VALUE"""),"TLPG TJ WANGI")</f>
        <v>TLPG TJ WANGI</v>
      </c>
      <c r="C111" s="11">
        <f>IFERROR(__xludf.DUMMYFUNCTION("""COMPUTED_VALUE"""),4.0)</f>
        <v>4</v>
      </c>
      <c r="D111" s="12">
        <v>6.0</v>
      </c>
      <c r="E111" s="34" t="s">
        <v>161</v>
      </c>
      <c r="F111" s="17"/>
      <c r="G111" s="14">
        <v>110.0</v>
      </c>
      <c r="H111" s="17" t="str">
        <f>IFERROR(__xludf.DUMMYFUNCTION("""COMPUTED_VALUE"""),"L 9155 UB")</f>
        <v>L 9155 UB</v>
      </c>
      <c r="I111" s="17" t="str">
        <f>IFERROR(__xludf.DUMMYFUNCTION("""COMPUTED_VALUE"""),"TLPG TJ PERAK")</f>
        <v>TLPG TJ PERAK</v>
      </c>
      <c r="J111" s="17">
        <f>IFERROR(__xludf.DUMMYFUNCTION("""COMPUTED_VALUE"""),5.0)</f>
        <v>5</v>
      </c>
    </row>
    <row r="112">
      <c r="A112" s="13" t="str">
        <f>IFERROR(__xludf.DUMMYFUNCTION("""COMPUTED_VALUE"""),"W 9170 PD")</f>
        <v>W 9170 PD</v>
      </c>
      <c r="B112" s="9" t="str">
        <f>IFERROR(__xludf.DUMMYFUNCTION("""COMPUTED_VALUE"""),"TLPG TJ PERAK")</f>
        <v>TLPG TJ PERAK</v>
      </c>
      <c r="C112" s="11">
        <f>IFERROR(__xludf.DUMMYFUNCTION("""COMPUTED_VALUE"""),4.0)</f>
        <v>4</v>
      </c>
      <c r="D112" s="12">
        <v>6.0</v>
      </c>
      <c r="E112" s="34" t="s">
        <v>175</v>
      </c>
      <c r="F112" s="17"/>
      <c r="G112" s="14">
        <v>111.0</v>
      </c>
      <c r="H112" s="17" t="str">
        <f>IFERROR(__xludf.DUMMYFUNCTION("""COMPUTED_VALUE"""),"AG 8817 UT")</f>
        <v>AG 8817 UT</v>
      </c>
      <c r="I112" s="17" t="str">
        <f>IFERROR(__xludf.DUMMYFUNCTION("""COMPUTED_VALUE"""),"TLPG TJ PERAK")</f>
        <v>TLPG TJ PERAK</v>
      </c>
      <c r="J112" s="17">
        <f>IFERROR(__xludf.DUMMYFUNCTION("""COMPUTED_VALUE"""),5.0)</f>
        <v>5</v>
      </c>
    </row>
    <row r="113">
      <c r="A113" s="13" t="str">
        <f>IFERROR(__xludf.DUMMYFUNCTION("""COMPUTED_VALUE"""),"AE 8527 UJ")</f>
        <v>AE 8527 UJ</v>
      </c>
      <c r="B113" s="9" t="str">
        <f>IFERROR(__xludf.DUMMYFUNCTION("""COMPUTED_VALUE"""),"TLPG TJ PERAK")</f>
        <v>TLPG TJ PERAK</v>
      </c>
      <c r="C113" s="11">
        <f>IFERROR(__xludf.DUMMYFUNCTION("""COMPUTED_VALUE"""),5.0)</f>
        <v>5</v>
      </c>
      <c r="D113" s="12">
        <v>4.0</v>
      </c>
      <c r="E113" s="34" t="s">
        <v>204</v>
      </c>
      <c r="F113" s="17"/>
      <c r="G113" s="14">
        <v>112.0</v>
      </c>
      <c r="H113" s="17" t="str">
        <f>IFERROR(__xludf.DUMMYFUNCTION("""COMPUTED_VALUE"""),"AG 8818 UT")</f>
        <v>AG 8818 UT</v>
      </c>
      <c r="I113" s="17" t="str">
        <f>IFERROR(__xludf.DUMMYFUNCTION("""COMPUTED_VALUE"""),"TLPG TJ PERAK")</f>
        <v>TLPG TJ PERAK</v>
      </c>
      <c r="J113" s="17">
        <f>IFERROR(__xludf.DUMMYFUNCTION("""COMPUTED_VALUE"""),5.0)</f>
        <v>5</v>
      </c>
    </row>
    <row r="114">
      <c r="A114" s="13" t="str">
        <f>IFERROR(__xludf.DUMMYFUNCTION("""COMPUTED_VALUE"""),"AE 8858 UT")</f>
        <v>AE 8858 UT</v>
      </c>
      <c r="B114" s="9" t="str">
        <f>IFERROR(__xludf.DUMMYFUNCTION("""COMPUTED_VALUE"""),"TLPG TJ PERAK")</f>
        <v>TLPG TJ PERAK</v>
      </c>
      <c r="C114" s="11">
        <f>IFERROR(__xludf.DUMMYFUNCTION("""COMPUTED_VALUE"""),5.0)</f>
        <v>5</v>
      </c>
      <c r="D114" s="12">
        <v>4.0</v>
      </c>
      <c r="E114" s="34" t="s">
        <v>124</v>
      </c>
      <c r="F114" s="17"/>
      <c r="G114" s="14">
        <v>113.0</v>
      </c>
      <c r="H114" s="17" t="str">
        <f>IFERROR(__xludf.DUMMYFUNCTION("""COMPUTED_VALUE"""),"B 9088 SEI")</f>
        <v>B 9088 SEI</v>
      </c>
      <c r="I114" s="17" t="str">
        <f>IFERROR(__xludf.DUMMYFUNCTION("""COMPUTED_VALUE"""),"TLPG MEM GRESIK")</f>
        <v>TLPG MEM GRESIK</v>
      </c>
      <c r="J114" s="17">
        <f>IFERROR(__xludf.DUMMYFUNCTION("""COMPUTED_VALUE"""),5.0)</f>
        <v>5</v>
      </c>
    </row>
    <row r="115">
      <c r="A115" s="13" t="str">
        <f>IFERROR(__xludf.DUMMYFUNCTION("""COMPUTED_VALUE"""),"AG 8115 UC")</f>
        <v>AG 8115 UC</v>
      </c>
      <c r="B115" s="9" t="str">
        <f>IFERROR(__xludf.DUMMYFUNCTION("""COMPUTED_VALUE"""),"TLPG TJ PERAK")</f>
        <v>TLPG TJ PERAK</v>
      </c>
      <c r="C115" s="11">
        <f>IFERROR(__xludf.DUMMYFUNCTION("""COMPUTED_VALUE"""),5.0)</f>
        <v>5</v>
      </c>
      <c r="D115" s="12">
        <v>4.0</v>
      </c>
      <c r="E115" s="39" t="s">
        <v>383</v>
      </c>
      <c r="F115" s="17"/>
      <c r="G115" s="14">
        <v>114.0</v>
      </c>
      <c r="H115" s="17" t="str">
        <f>IFERROR(__xludf.DUMMYFUNCTION("""COMPUTED_VALUE"""),"B 9882 SFU")</f>
        <v>B 9882 SFU</v>
      </c>
      <c r="I115" s="17" t="str">
        <f>IFERROR(__xludf.DUMMYFUNCTION("""COMPUTED_VALUE"""),"TLPG MEM GRESIK")</f>
        <v>TLPG MEM GRESIK</v>
      </c>
      <c r="J115" s="17">
        <f>IFERROR(__xludf.DUMMYFUNCTION("""COMPUTED_VALUE"""),5.0)</f>
        <v>5</v>
      </c>
    </row>
    <row r="116">
      <c r="A116" s="13" t="str">
        <f>IFERROR(__xludf.DUMMYFUNCTION("""COMPUTED_VALUE"""),"AG 8893 YK")</f>
        <v>AG 8893 YK</v>
      </c>
      <c r="B116" s="9" t="str">
        <f>IFERROR(__xludf.DUMMYFUNCTION("""COMPUTED_VALUE"""),"TLPG TJ PERAK")</f>
        <v>TLPG TJ PERAK</v>
      </c>
      <c r="C116" s="11">
        <f>IFERROR(__xludf.DUMMYFUNCTION("""COMPUTED_VALUE"""),5.0)</f>
        <v>5</v>
      </c>
      <c r="D116" s="12">
        <v>4.0</v>
      </c>
      <c r="E116" s="34" t="s">
        <v>168</v>
      </c>
      <c r="F116" s="17"/>
      <c r="G116" s="14">
        <v>115.0</v>
      </c>
      <c r="H116" s="17" t="str">
        <f>IFERROR(__xludf.DUMMYFUNCTION("""COMPUTED_VALUE"""),"B 9883 SFU")</f>
        <v>B 9883 SFU</v>
      </c>
      <c r="I116" s="17" t="str">
        <f>IFERROR(__xludf.DUMMYFUNCTION("""COMPUTED_VALUE"""),"TLPG MEM GRESIK")</f>
        <v>TLPG MEM GRESIK</v>
      </c>
      <c r="J116" s="17">
        <f>IFERROR(__xludf.DUMMYFUNCTION("""COMPUTED_VALUE"""),5.0)</f>
        <v>5</v>
      </c>
    </row>
    <row r="117">
      <c r="A117" s="13" t="str">
        <f>IFERROR(__xludf.DUMMYFUNCTION("""COMPUTED_VALUE"""),"AG 9151 UL")</f>
        <v>AG 9151 UL</v>
      </c>
      <c r="B117" s="9" t="str">
        <f>IFERROR(__xludf.DUMMYFUNCTION("""COMPUTED_VALUE"""),"TLPG TJ PERAK")</f>
        <v>TLPG TJ PERAK</v>
      </c>
      <c r="C117" s="11">
        <f>IFERROR(__xludf.DUMMYFUNCTION("""COMPUTED_VALUE"""),5.0)</f>
        <v>5</v>
      </c>
      <c r="D117" s="12">
        <v>5.0</v>
      </c>
      <c r="E117" s="34" t="s">
        <v>266</v>
      </c>
      <c r="F117" s="17"/>
      <c r="G117" s="14">
        <v>116.0</v>
      </c>
      <c r="H117" s="17" t="str">
        <f>IFERROR(__xludf.DUMMYFUNCTION("""COMPUTED_VALUE"""),"DK 8170 UB")</f>
        <v>DK 8170 UB</v>
      </c>
      <c r="I117" s="17" t="str">
        <f>IFERROR(__xludf.DUMMYFUNCTION("""COMPUTED_VALUE"""),"TLPG MANGGIS")</f>
        <v>TLPG MANGGIS</v>
      </c>
      <c r="J117" s="17">
        <f>IFERROR(__xludf.DUMMYFUNCTION("""COMPUTED_VALUE"""),5.0)</f>
        <v>5</v>
      </c>
    </row>
    <row r="118">
      <c r="A118" s="13" t="str">
        <f>IFERROR(__xludf.DUMMYFUNCTION("""COMPUTED_VALUE"""),"AG 9153 UR")</f>
        <v>AG 9153 UR</v>
      </c>
      <c r="B118" s="9" t="str">
        <f>IFERROR(__xludf.DUMMYFUNCTION("""COMPUTED_VALUE"""),"TLPG TJ PERAK")</f>
        <v>TLPG TJ PERAK</v>
      </c>
      <c r="C118" s="11">
        <f>IFERROR(__xludf.DUMMYFUNCTION("""COMPUTED_VALUE"""),5.0)</f>
        <v>5</v>
      </c>
      <c r="D118" s="12">
        <v>3.0</v>
      </c>
      <c r="E118" s="39" t="s">
        <v>124</v>
      </c>
      <c r="F118" s="17"/>
      <c r="G118" s="14">
        <v>117.0</v>
      </c>
      <c r="H118" s="17" t="str">
        <f>IFERROR(__xludf.DUMMYFUNCTION("""COMPUTED_VALUE"""),"DK 8773 MG")</f>
        <v>DK 8773 MG</v>
      </c>
      <c r="I118" s="17" t="str">
        <f>IFERROR(__xludf.DUMMYFUNCTION("""COMPUTED_VALUE"""),"TLPG LOMBOK")</f>
        <v>TLPG LOMBOK</v>
      </c>
      <c r="J118" s="17">
        <f>IFERROR(__xludf.DUMMYFUNCTION("""COMPUTED_VALUE"""),5.0)</f>
        <v>5</v>
      </c>
    </row>
    <row r="119">
      <c r="A119" s="13" t="str">
        <f>IFERROR(__xludf.DUMMYFUNCTION("""COMPUTED_VALUE"""),"AG 9753 UB")</f>
        <v>AG 9753 UB</v>
      </c>
      <c r="B119" s="9" t="str">
        <f>IFERROR(__xludf.DUMMYFUNCTION("""COMPUTED_VALUE"""),"TLPG TJ PERAK")</f>
        <v>TLPG TJ PERAK</v>
      </c>
      <c r="C119" s="11">
        <f>IFERROR(__xludf.DUMMYFUNCTION("""COMPUTED_VALUE"""),5.0)</f>
        <v>5</v>
      </c>
      <c r="D119" s="12">
        <v>4.0</v>
      </c>
      <c r="E119" s="39" t="s">
        <v>343</v>
      </c>
      <c r="F119" s="17"/>
      <c r="G119" s="14">
        <v>118.0</v>
      </c>
      <c r="H119" s="17" t="str">
        <f>IFERROR(__xludf.DUMMYFUNCTION("""COMPUTED_VALUE"""),"N 8857 UR")</f>
        <v>N 8857 UR</v>
      </c>
      <c r="I119" s="17" t="str">
        <f>IFERROR(__xludf.DUMMYFUNCTION("""COMPUTED_VALUE"""),"TLPG TJ WANGI")</f>
        <v>TLPG TJ WANGI</v>
      </c>
      <c r="J119" s="17">
        <f>IFERROR(__xludf.DUMMYFUNCTION("""COMPUTED_VALUE"""),5.0)</f>
        <v>5</v>
      </c>
    </row>
    <row r="120">
      <c r="A120" s="13" t="str">
        <f>IFERROR(__xludf.DUMMYFUNCTION("""COMPUTED_VALUE"""),"B 9717 SFU")</f>
        <v>B 9717 SFU</v>
      </c>
      <c r="B120" s="9" t="str">
        <f>IFERROR(__xludf.DUMMYFUNCTION("""COMPUTED_VALUE"""),"TLPG MEM GRESIK")</f>
        <v>TLPG MEM GRESIK</v>
      </c>
      <c r="C120" s="11">
        <f>IFERROR(__xludf.DUMMYFUNCTION("""COMPUTED_VALUE"""),5.0)</f>
        <v>5</v>
      </c>
      <c r="D120" s="12">
        <v>6.0</v>
      </c>
      <c r="E120" s="34" t="s">
        <v>83</v>
      </c>
      <c r="F120" s="17"/>
      <c r="G120" s="14">
        <v>119.0</v>
      </c>
      <c r="H120" s="17" t="str">
        <f>IFERROR(__xludf.DUMMYFUNCTION("""COMPUTED_VALUE"""),"N 9287 UN")</f>
        <v>N 9287 UN</v>
      </c>
      <c r="I120" s="17" t="str">
        <f>IFERROR(__xludf.DUMMYFUNCTION("""COMPUTED_VALUE"""),"TLPG TJ WANGI")</f>
        <v>TLPG TJ WANGI</v>
      </c>
      <c r="J120" s="17">
        <f>IFERROR(__xludf.DUMMYFUNCTION("""COMPUTED_VALUE"""),5.0)</f>
        <v>5</v>
      </c>
    </row>
    <row r="121">
      <c r="A121" s="13" t="str">
        <f>IFERROR(__xludf.DUMMYFUNCTION("""COMPUTED_VALUE"""),"B 9881 SFU")</f>
        <v>B 9881 SFU</v>
      </c>
      <c r="B121" s="9" t="str">
        <f>IFERROR(__xludf.DUMMYFUNCTION("""COMPUTED_VALUE"""),"TLPG MEM GRESIK")</f>
        <v>TLPG MEM GRESIK</v>
      </c>
      <c r="C121" s="11">
        <f>IFERROR(__xludf.DUMMYFUNCTION("""COMPUTED_VALUE"""),5.0)</f>
        <v>5</v>
      </c>
      <c r="D121" s="12">
        <v>6.0</v>
      </c>
      <c r="E121" s="34" t="s">
        <v>83</v>
      </c>
      <c r="F121" s="17"/>
      <c r="G121" s="14">
        <v>120.0</v>
      </c>
      <c r="H121" s="17" t="str">
        <f>IFERROR(__xludf.DUMMYFUNCTION("""COMPUTED_VALUE"""),"N 9579 US")</f>
        <v>N 9579 US</v>
      </c>
      <c r="I121" s="17" t="str">
        <f>IFERROR(__xludf.DUMMYFUNCTION("""COMPUTED_VALUE"""),"TLPG TJ PERAK")</f>
        <v>TLPG TJ PERAK</v>
      </c>
      <c r="J121" s="17">
        <f>IFERROR(__xludf.DUMMYFUNCTION("""COMPUTED_VALUE"""),5.0)</f>
        <v>5</v>
      </c>
    </row>
    <row r="122">
      <c r="A122" s="13" t="str">
        <f>IFERROR(__xludf.DUMMYFUNCTION("""COMPUTED_VALUE"""),"DK 8198 BK")</f>
        <v>DK 8198 BK</v>
      </c>
      <c r="B122" s="9" t="str">
        <f>IFERROR(__xludf.DUMMYFUNCTION("""COMPUTED_VALUE"""),"TLPG MANGGIS")</f>
        <v>TLPG MANGGIS</v>
      </c>
      <c r="C122" s="11">
        <f>IFERROR(__xludf.DUMMYFUNCTION("""COMPUTED_VALUE"""),5.0)</f>
        <v>5</v>
      </c>
      <c r="D122" s="12">
        <v>5.0</v>
      </c>
      <c r="E122" s="34" t="s">
        <v>310</v>
      </c>
      <c r="F122" s="17"/>
      <c r="G122" s="14">
        <v>121.0</v>
      </c>
      <c r="H122" s="17" t="str">
        <f>IFERROR(__xludf.DUMMYFUNCTION("""COMPUTED_VALUE"""),"AG 9151 UL")</f>
        <v>AG 9151 UL</v>
      </c>
      <c r="I122" s="17" t="str">
        <f>IFERROR(__xludf.DUMMYFUNCTION("""COMPUTED_VALUE"""),"TLPG TJ PERAK")</f>
        <v>TLPG TJ PERAK</v>
      </c>
      <c r="J122" s="17">
        <f>IFERROR(__xludf.DUMMYFUNCTION("""COMPUTED_VALUE"""),5.0)</f>
        <v>5</v>
      </c>
    </row>
    <row r="123">
      <c r="A123" s="13" t="str">
        <f>IFERROR(__xludf.DUMMYFUNCTION("""COMPUTED_VALUE"""),"DK 8203 KO")</f>
        <v>DK 8203 KO</v>
      </c>
      <c r="B123" s="9" t="str">
        <f>IFERROR(__xludf.DUMMYFUNCTION("""COMPUTED_VALUE"""),"TLPG MANGGIS")</f>
        <v>TLPG MANGGIS</v>
      </c>
      <c r="C123" s="11">
        <f>IFERROR(__xludf.DUMMYFUNCTION("""COMPUTED_VALUE"""),5.0)</f>
        <v>5</v>
      </c>
      <c r="D123" s="12">
        <v>5.0</v>
      </c>
      <c r="E123" s="34" t="s">
        <v>332</v>
      </c>
      <c r="F123" s="17"/>
      <c r="G123" s="14">
        <v>122.0</v>
      </c>
      <c r="H123" s="17" t="str">
        <f>IFERROR(__xludf.DUMMYFUNCTION("""COMPUTED_VALUE"""),"DK 8198 BK")</f>
        <v>DK 8198 BK</v>
      </c>
      <c r="I123" s="17" t="str">
        <f>IFERROR(__xludf.DUMMYFUNCTION("""COMPUTED_VALUE"""),"TLPG MANGGIS")</f>
        <v>TLPG MANGGIS</v>
      </c>
      <c r="J123" s="17">
        <f>IFERROR(__xludf.DUMMYFUNCTION("""COMPUTED_VALUE"""),5.0)</f>
        <v>5</v>
      </c>
    </row>
    <row r="124">
      <c r="A124" s="13" t="str">
        <f>IFERROR(__xludf.DUMMYFUNCTION("""COMPUTED_VALUE"""),"DK 8204 KO")</f>
        <v>DK 8204 KO</v>
      </c>
      <c r="B124" s="9" t="str">
        <f>IFERROR(__xludf.DUMMYFUNCTION("""COMPUTED_VALUE"""),"TLPG MANGGIS")</f>
        <v>TLPG MANGGIS</v>
      </c>
      <c r="C124" s="11">
        <f>IFERROR(__xludf.DUMMYFUNCTION("""COMPUTED_VALUE"""),5.0)</f>
        <v>5</v>
      </c>
      <c r="D124" s="12">
        <v>5.0</v>
      </c>
      <c r="E124" s="34" t="s">
        <v>332</v>
      </c>
      <c r="F124" s="17"/>
      <c r="G124" s="14">
        <v>123.0</v>
      </c>
      <c r="H124" s="17" t="str">
        <f>IFERROR(__xludf.DUMMYFUNCTION("""COMPUTED_VALUE"""),"DK 8203 KO")</f>
        <v>DK 8203 KO</v>
      </c>
      <c r="I124" s="17" t="str">
        <f>IFERROR(__xludf.DUMMYFUNCTION("""COMPUTED_VALUE"""),"TLPG MANGGIS")</f>
        <v>TLPG MANGGIS</v>
      </c>
      <c r="J124" s="17">
        <f>IFERROR(__xludf.DUMMYFUNCTION("""COMPUTED_VALUE"""),5.0)</f>
        <v>5</v>
      </c>
    </row>
    <row r="125">
      <c r="A125" s="13" t="str">
        <f>IFERROR(__xludf.DUMMYFUNCTION("""COMPUTED_VALUE"""),"DK 8859 CK")</f>
        <v>DK 8859 CK</v>
      </c>
      <c r="B125" s="9" t="str">
        <f>IFERROR(__xludf.DUMMYFUNCTION("""COMPUTED_VALUE"""),"TLPG MANGGIS")</f>
        <v>TLPG MANGGIS</v>
      </c>
      <c r="C125" s="11">
        <f>IFERROR(__xludf.DUMMYFUNCTION("""COMPUTED_VALUE"""),5.0)</f>
        <v>5</v>
      </c>
      <c r="D125" s="12">
        <v>5.0</v>
      </c>
      <c r="E125" s="34" t="s">
        <v>157</v>
      </c>
      <c r="F125" s="17"/>
      <c r="G125" s="14">
        <v>124.0</v>
      </c>
      <c r="H125" s="17" t="str">
        <f>IFERROR(__xludf.DUMMYFUNCTION("""COMPUTED_VALUE"""),"DK 8204 KO")</f>
        <v>DK 8204 KO</v>
      </c>
      <c r="I125" s="17" t="str">
        <f>IFERROR(__xludf.DUMMYFUNCTION("""COMPUTED_VALUE"""),"TLPG MANGGIS")</f>
        <v>TLPG MANGGIS</v>
      </c>
      <c r="J125" s="17">
        <f>IFERROR(__xludf.DUMMYFUNCTION("""COMPUTED_VALUE"""),5.0)</f>
        <v>5</v>
      </c>
    </row>
    <row r="126">
      <c r="A126" s="13" t="str">
        <f>IFERROR(__xludf.DUMMYFUNCTION("""COMPUTED_VALUE"""),"DR 8129 AH")</f>
        <v>DR 8129 AH</v>
      </c>
      <c r="B126" s="9" t="str">
        <f>IFERROR(__xludf.DUMMYFUNCTION("""COMPUTED_VALUE"""),"TLPG LOMBOK")</f>
        <v>TLPG LOMBOK</v>
      </c>
      <c r="C126" s="11">
        <f>IFERROR(__xludf.DUMMYFUNCTION("""COMPUTED_VALUE"""),5.0)</f>
        <v>5</v>
      </c>
      <c r="D126" s="12">
        <v>5.0</v>
      </c>
      <c r="E126" s="34" t="s">
        <v>375</v>
      </c>
      <c r="F126" s="17"/>
      <c r="G126" s="14">
        <v>125.0</v>
      </c>
      <c r="H126" s="17" t="str">
        <f>IFERROR(__xludf.DUMMYFUNCTION("""COMPUTED_VALUE"""),"DK 8859 CK")</f>
        <v>DK 8859 CK</v>
      </c>
      <c r="I126" s="17" t="str">
        <f>IFERROR(__xludf.DUMMYFUNCTION("""COMPUTED_VALUE"""),"TLPG MANGGIS")</f>
        <v>TLPG MANGGIS</v>
      </c>
      <c r="J126" s="17">
        <f>IFERROR(__xludf.DUMMYFUNCTION("""COMPUTED_VALUE"""),5.0)</f>
        <v>5</v>
      </c>
    </row>
    <row r="127">
      <c r="A127" s="13" t="str">
        <f>IFERROR(__xludf.DUMMYFUNCTION("""COMPUTED_VALUE"""),"DR 8309 LH")</f>
        <v>DR 8309 LH</v>
      </c>
      <c r="B127" s="9" t="str">
        <f>IFERROR(__xludf.DUMMYFUNCTION("""COMPUTED_VALUE"""),"TLPG LOMBOK")</f>
        <v>TLPG LOMBOK</v>
      </c>
      <c r="C127" s="11">
        <f>IFERROR(__xludf.DUMMYFUNCTION("""COMPUTED_VALUE"""),5.0)</f>
        <v>5</v>
      </c>
      <c r="D127" s="12">
        <v>5.0</v>
      </c>
      <c r="E127" s="34" t="s">
        <v>385</v>
      </c>
      <c r="F127" s="17"/>
      <c r="G127" s="14">
        <v>126.0</v>
      </c>
      <c r="H127" s="17" t="str">
        <f>IFERROR(__xludf.DUMMYFUNCTION("""COMPUTED_VALUE"""),"DR 8129 AH")</f>
        <v>DR 8129 AH</v>
      </c>
      <c r="I127" s="17" t="str">
        <f>IFERROR(__xludf.DUMMYFUNCTION("""COMPUTED_VALUE"""),"TLPG LOMBOK")</f>
        <v>TLPG LOMBOK</v>
      </c>
      <c r="J127" s="17">
        <f>IFERROR(__xludf.DUMMYFUNCTION("""COMPUTED_VALUE"""),5.0)</f>
        <v>5</v>
      </c>
    </row>
    <row r="128">
      <c r="A128" s="13" t="str">
        <f>IFERROR(__xludf.DUMMYFUNCTION("""COMPUTED_VALUE"""),"L 8035 BL")</f>
        <v>L 8035 BL</v>
      </c>
      <c r="B128" s="9" t="str">
        <f>IFERROR(__xludf.DUMMYFUNCTION("""COMPUTED_VALUE"""),"TLPG TJ PERAK")</f>
        <v>TLPG TJ PERAK</v>
      </c>
      <c r="C128" s="11">
        <f>IFERROR(__xludf.DUMMYFUNCTION("""COMPUTED_VALUE"""),5.0)</f>
        <v>5</v>
      </c>
      <c r="D128" s="12">
        <v>5.0</v>
      </c>
      <c r="E128" s="34" t="s">
        <v>396</v>
      </c>
      <c r="F128" s="17"/>
      <c r="G128" s="14">
        <v>127.0</v>
      </c>
      <c r="H128" s="17" t="str">
        <f>IFERROR(__xludf.DUMMYFUNCTION("""COMPUTED_VALUE"""),"DR 8309 LH")</f>
        <v>DR 8309 LH</v>
      </c>
      <c r="I128" s="17" t="str">
        <f>IFERROR(__xludf.DUMMYFUNCTION("""COMPUTED_VALUE"""),"TLPG LOMBOK")</f>
        <v>TLPG LOMBOK</v>
      </c>
      <c r="J128" s="17">
        <f>IFERROR(__xludf.DUMMYFUNCTION("""COMPUTED_VALUE"""),5.0)</f>
        <v>5</v>
      </c>
    </row>
    <row r="129">
      <c r="A129" s="13" t="str">
        <f>IFERROR(__xludf.DUMMYFUNCTION("""COMPUTED_VALUE"""),"L 8036 UUB")</f>
        <v>L 8036 UUB</v>
      </c>
      <c r="B129" s="9" t="str">
        <f>IFERROR(__xludf.DUMMYFUNCTION("""COMPUTED_VALUE"""),"TLPG MEM GRESIK")</f>
        <v>TLPG MEM GRESIK</v>
      </c>
      <c r="C129" s="11">
        <f>IFERROR(__xludf.DUMMYFUNCTION("""COMPUTED_VALUE"""),5.0)</f>
        <v>5</v>
      </c>
      <c r="D129" s="12">
        <v>4.0</v>
      </c>
      <c r="E129" s="34" t="s">
        <v>414</v>
      </c>
      <c r="F129" s="17"/>
      <c r="G129" s="14">
        <v>128.0</v>
      </c>
      <c r="H129" s="17" t="str">
        <f>IFERROR(__xludf.DUMMYFUNCTION("""COMPUTED_VALUE"""),"L 8035 BL")</f>
        <v>L 8035 BL</v>
      </c>
      <c r="I129" s="17" t="str">
        <f>IFERROR(__xludf.DUMMYFUNCTION("""COMPUTED_VALUE"""),"TLPG TJ PERAK")</f>
        <v>TLPG TJ PERAK</v>
      </c>
      <c r="J129" s="17">
        <f>IFERROR(__xludf.DUMMYFUNCTION("""COMPUTED_VALUE"""),5.0)</f>
        <v>5</v>
      </c>
    </row>
    <row r="130">
      <c r="A130" s="13" t="str">
        <f>IFERROR(__xludf.DUMMYFUNCTION("""COMPUTED_VALUE"""),"L 8063 BL")</f>
        <v>L 8063 BL</v>
      </c>
      <c r="B130" s="9" t="str">
        <f>IFERROR(__xludf.DUMMYFUNCTION("""COMPUTED_VALUE"""),"TLPG TJ PERAK")</f>
        <v>TLPG TJ PERAK</v>
      </c>
      <c r="C130" s="11">
        <f>IFERROR(__xludf.DUMMYFUNCTION("""COMPUTED_VALUE"""),5.0)</f>
        <v>5</v>
      </c>
      <c r="D130" s="12">
        <v>4.0</v>
      </c>
      <c r="E130" s="34" t="s">
        <v>376</v>
      </c>
      <c r="F130" s="17"/>
      <c r="G130" s="14">
        <v>129.0</v>
      </c>
      <c r="H130" s="17" t="str">
        <f>IFERROR(__xludf.DUMMYFUNCTION("""COMPUTED_VALUE"""),"L 8079 UQ")</f>
        <v>L 8079 UQ</v>
      </c>
      <c r="I130" s="17" t="str">
        <f>IFERROR(__xludf.DUMMYFUNCTION("""COMPUTED_VALUE"""),"TLPG MEM GRESIK")</f>
        <v>TLPG MEM GRESIK</v>
      </c>
      <c r="J130" s="17">
        <f>IFERROR(__xludf.DUMMYFUNCTION("""COMPUTED_VALUE"""),5.0)</f>
        <v>5</v>
      </c>
    </row>
    <row r="131">
      <c r="A131" s="13" t="str">
        <f>IFERROR(__xludf.DUMMYFUNCTION("""COMPUTED_VALUE"""),"L 8079 UQ")</f>
        <v>L 8079 UQ</v>
      </c>
      <c r="B131" s="9" t="str">
        <f>IFERROR(__xludf.DUMMYFUNCTION("""COMPUTED_VALUE"""),"TLPG MEM GRESIK")</f>
        <v>TLPG MEM GRESIK</v>
      </c>
      <c r="C131" s="11">
        <f>IFERROR(__xludf.DUMMYFUNCTION("""COMPUTED_VALUE"""),5.0)</f>
        <v>5</v>
      </c>
      <c r="D131" s="12">
        <v>5.0</v>
      </c>
      <c r="E131" s="34" t="s">
        <v>83</v>
      </c>
      <c r="F131" s="17"/>
      <c r="G131" s="14">
        <v>130.0</v>
      </c>
      <c r="H131" s="17" t="str">
        <f>IFERROR(__xludf.DUMMYFUNCTION("""COMPUTED_VALUE"""),"L 8107 UUA")</f>
        <v>L 8107 UUA</v>
      </c>
      <c r="I131" s="17" t="str">
        <f>IFERROR(__xludf.DUMMYFUNCTION("""COMPUTED_VALUE"""),"TLPG TJ PERAK")</f>
        <v>TLPG TJ PERAK</v>
      </c>
      <c r="J131" s="17">
        <f>IFERROR(__xludf.DUMMYFUNCTION("""COMPUTED_VALUE"""),5.0)</f>
        <v>5</v>
      </c>
    </row>
    <row r="132">
      <c r="A132" s="13" t="str">
        <f>IFERROR(__xludf.DUMMYFUNCTION("""COMPUTED_VALUE"""),"L 8088 UR")</f>
        <v>L 8088 UR</v>
      </c>
      <c r="B132" s="9" t="str">
        <f>IFERROR(__xludf.DUMMYFUNCTION("""COMPUTED_VALUE"""),"TLPG MEM GRESIK")</f>
        <v>TLPG MEM GRESIK</v>
      </c>
      <c r="C132" s="11">
        <f>IFERROR(__xludf.DUMMYFUNCTION("""COMPUTED_VALUE"""),5.0)</f>
        <v>5</v>
      </c>
      <c r="D132" s="12">
        <v>9.0</v>
      </c>
      <c r="E132" s="34" t="s">
        <v>83</v>
      </c>
      <c r="F132" s="17"/>
      <c r="G132" s="14">
        <v>131.0</v>
      </c>
      <c r="H132" s="17" t="str">
        <f>IFERROR(__xludf.DUMMYFUNCTION("""COMPUTED_VALUE"""),"L 8418 AG")</f>
        <v>L 8418 AG</v>
      </c>
      <c r="I132" s="17" t="str">
        <f>IFERROR(__xludf.DUMMYFUNCTION("""COMPUTED_VALUE"""),"TLPG TJ PERAK")</f>
        <v>TLPG TJ PERAK</v>
      </c>
      <c r="J132" s="17">
        <f>IFERROR(__xludf.DUMMYFUNCTION("""COMPUTED_VALUE"""),5.0)</f>
        <v>5</v>
      </c>
    </row>
    <row r="133">
      <c r="A133" s="13" t="str">
        <f>IFERROR(__xludf.DUMMYFUNCTION("""COMPUTED_VALUE"""),"L 8107 UUA")</f>
        <v>L 8107 UUA</v>
      </c>
      <c r="B133" s="9" t="str">
        <f>IFERROR(__xludf.DUMMYFUNCTION("""COMPUTED_VALUE"""),"TLPG TJ PERAK")</f>
        <v>TLPG TJ PERAK</v>
      </c>
      <c r="C133" s="11">
        <f>IFERROR(__xludf.DUMMYFUNCTION("""COMPUTED_VALUE"""),5.0)</f>
        <v>5</v>
      </c>
      <c r="D133" s="12">
        <v>5.0</v>
      </c>
      <c r="E133" s="34" t="s">
        <v>415</v>
      </c>
      <c r="F133" s="17"/>
      <c r="G133" s="14">
        <v>132.0</v>
      </c>
      <c r="H133" s="17" t="str">
        <f>IFERROR(__xludf.DUMMYFUNCTION("""COMPUTED_VALUE"""),"L 8684 AG")</f>
        <v>L 8684 AG</v>
      </c>
      <c r="I133" s="17" t="str">
        <f>IFERROR(__xludf.DUMMYFUNCTION("""COMPUTED_VALUE"""),"TLPG TJ PERAK")</f>
        <v>TLPG TJ PERAK</v>
      </c>
      <c r="J133" s="17">
        <f>IFERROR(__xludf.DUMMYFUNCTION("""COMPUTED_VALUE"""),5.0)</f>
        <v>5</v>
      </c>
    </row>
    <row r="134">
      <c r="A134" s="13" t="str">
        <f>IFERROR(__xludf.DUMMYFUNCTION("""COMPUTED_VALUE"""),"L 8418 AG")</f>
        <v>L 8418 AG</v>
      </c>
      <c r="B134" s="9" t="str">
        <f>IFERROR(__xludf.DUMMYFUNCTION("""COMPUTED_VALUE"""),"TLPG TJ PERAK")</f>
        <v>TLPG TJ PERAK</v>
      </c>
      <c r="C134" s="11">
        <f>IFERROR(__xludf.DUMMYFUNCTION("""COMPUTED_VALUE"""),5.0)</f>
        <v>5</v>
      </c>
      <c r="D134" s="12">
        <v>5.0</v>
      </c>
      <c r="E134" s="34" t="s">
        <v>401</v>
      </c>
      <c r="F134" s="17"/>
      <c r="G134" s="14">
        <v>133.0</v>
      </c>
      <c r="H134" s="17" t="str">
        <f>IFERROR(__xludf.DUMMYFUNCTION("""COMPUTED_VALUE"""),"N 9910 UN")</f>
        <v>N 9910 UN</v>
      </c>
      <c r="I134" s="17" t="str">
        <f>IFERROR(__xludf.DUMMYFUNCTION("""COMPUTED_VALUE"""),"TLPG TJ WANGI")</f>
        <v>TLPG TJ WANGI</v>
      </c>
      <c r="J134" s="17">
        <f>IFERROR(__xludf.DUMMYFUNCTION("""COMPUTED_VALUE"""),5.0)</f>
        <v>5</v>
      </c>
    </row>
    <row r="135">
      <c r="A135" s="13" t="str">
        <f>IFERROR(__xludf.DUMMYFUNCTION("""COMPUTED_VALUE"""),"L 8454 N")</f>
        <v>L 8454 N</v>
      </c>
      <c r="B135" s="9" t="str">
        <f>IFERROR(__xludf.DUMMYFUNCTION("""COMPUTED_VALUE"""),"TLPG TJ PERAK")</f>
        <v>TLPG TJ PERAK</v>
      </c>
      <c r="C135" s="11">
        <f>IFERROR(__xludf.DUMMYFUNCTION("""COMPUTED_VALUE"""),5.0)</f>
        <v>5</v>
      </c>
      <c r="D135" s="12">
        <v>4.0</v>
      </c>
      <c r="E135" s="34" t="s">
        <v>420</v>
      </c>
      <c r="F135" s="17"/>
      <c r="G135" s="14">
        <v>134.0</v>
      </c>
      <c r="H135" s="17" t="str">
        <f>IFERROR(__xludf.DUMMYFUNCTION("""COMPUTED_VALUE"""),"P 8016 UW")</f>
        <v>P 8016 UW</v>
      </c>
      <c r="I135" s="17" t="str">
        <f>IFERROR(__xludf.DUMMYFUNCTION("""COMPUTED_VALUE"""),"TLPG TJ WANGI")</f>
        <v>TLPG TJ WANGI</v>
      </c>
      <c r="J135" s="17">
        <f>IFERROR(__xludf.DUMMYFUNCTION("""COMPUTED_VALUE"""),5.0)</f>
        <v>5</v>
      </c>
    </row>
    <row r="136">
      <c r="A136" s="13" t="str">
        <f>IFERROR(__xludf.DUMMYFUNCTION("""COMPUTED_VALUE"""),"L 8547 UI")</f>
        <v>L 8547 UI</v>
      </c>
      <c r="B136" s="9" t="str">
        <f>IFERROR(__xludf.DUMMYFUNCTION("""COMPUTED_VALUE"""),"TLPG TJ PERAK")</f>
        <v>TLPG TJ PERAK</v>
      </c>
      <c r="C136" s="11">
        <f>IFERROR(__xludf.DUMMYFUNCTION("""COMPUTED_VALUE"""),5.0)</f>
        <v>5</v>
      </c>
      <c r="D136" s="12">
        <v>4.0</v>
      </c>
      <c r="E136" s="34" t="s">
        <v>422</v>
      </c>
      <c r="F136" s="17"/>
      <c r="G136" s="14">
        <v>135.0</v>
      </c>
      <c r="H136" s="17" t="str">
        <f>IFERROR(__xludf.DUMMYFUNCTION("""COMPUTED_VALUE"""),"L 9521 UL")</f>
        <v>L 9521 UL</v>
      </c>
      <c r="I136" s="17" t="str">
        <f>IFERROR(__xludf.DUMMYFUNCTION("""COMPUTED_VALUE"""),"TLPG TJ PERAK")</f>
        <v>TLPG TJ PERAK</v>
      </c>
      <c r="J136" s="17">
        <f>IFERROR(__xludf.DUMMYFUNCTION("""COMPUTED_VALUE"""),5.0)</f>
        <v>5</v>
      </c>
    </row>
    <row r="137">
      <c r="A137" s="13" t="str">
        <f>IFERROR(__xludf.DUMMYFUNCTION("""COMPUTED_VALUE"""),"L 8684 AG")</f>
        <v>L 8684 AG</v>
      </c>
      <c r="B137" s="9" t="str">
        <f>IFERROR(__xludf.DUMMYFUNCTION("""COMPUTED_VALUE"""),"TLPG TJ PERAK")</f>
        <v>TLPG TJ PERAK</v>
      </c>
      <c r="C137" s="11">
        <f>IFERROR(__xludf.DUMMYFUNCTION("""COMPUTED_VALUE"""),5.0)</f>
        <v>5</v>
      </c>
      <c r="D137" s="12">
        <v>5.0</v>
      </c>
      <c r="E137" s="34" t="s">
        <v>359</v>
      </c>
      <c r="F137" s="17"/>
      <c r="G137" s="14">
        <v>136.0</v>
      </c>
      <c r="H137" s="17" t="str">
        <f>IFERROR(__xludf.DUMMYFUNCTION("""COMPUTED_VALUE"""),"L 9532 UL")</f>
        <v>L 9532 UL</v>
      </c>
      <c r="I137" s="17" t="str">
        <f>IFERROR(__xludf.DUMMYFUNCTION("""COMPUTED_VALUE"""),"TLPG TJ PERAK")</f>
        <v>TLPG TJ PERAK</v>
      </c>
      <c r="J137" s="17">
        <f>IFERROR(__xludf.DUMMYFUNCTION("""COMPUTED_VALUE"""),5.0)</f>
        <v>5</v>
      </c>
    </row>
    <row r="138">
      <c r="A138" s="13" t="str">
        <f>IFERROR(__xludf.DUMMYFUNCTION("""COMPUTED_VALUE"""),"N 9910 UN")</f>
        <v>N 9910 UN</v>
      </c>
      <c r="B138" s="9" t="str">
        <f>IFERROR(__xludf.DUMMYFUNCTION("""COMPUTED_VALUE"""),"TLPG TJ WANGI")</f>
        <v>TLPG TJ WANGI</v>
      </c>
      <c r="C138" s="11">
        <f>IFERROR(__xludf.DUMMYFUNCTION("""COMPUTED_VALUE"""),5.0)</f>
        <v>5</v>
      </c>
      <c r="D138" s="12">
        <v>5.0</v>
      </c>
      <c r="E138" s="34" t="s">
        <v>423</v>
      </c>
      <c r="F138" s="17"/>
      <c r="G138" s="14">
        <v>137.0</v>
      </c>
      <c r="H138" s="17" t="str">
        <f>IFERROR(__xludf.DUMMYFUNCTION("""COMPUTED_VALUE"""),"AE 8086 UT")</f>
        <v>AE 8086 UT</v>
      </c>
      <c r="I138" s="17" t="str">
        <f>IFERROR(__xludf.DUMMYFUNCTION("""COMPUTED_VALUE"""),"TLPG TJ PERAK")</f>
        <v>TLPG TJ PERAK</v>
      </c>
      <c r="J138" s="17">
        <f>IFERROR(__xludf.DUMMYFUNCTION("""COMPUTED_VALUE"""),5.0)</f>
        <v>5</v>
      </c>
    </row>
    <row r="139">
      <c r="A139" s="13" t="str">
        <f>IFERROR(__xludf.DUMMYFUNCTION("""COMPUTED_VALUE"""),"P 8016 UW")</f>
        <v>P 8016 UW</v>
      </c>
      <c r="B139" s="9" t="str">
        <f>IFERROR(__xludf.DUMMYFUNCTION("""COMPUTED_VALUE"""),"TLPG TJ WANGI")</f>
        <v>TLPG TJ WANGI</v>
      </c>
      <c r="C139" s="11">
        <f>IFERROR(__xludf.DUMMYFUNCTION("""COMPUTED_VALUE"""),5.0)</f>
        <v>5</v>
      </c>
      <c r="D139" s="12">
        <v>5.0</v>
      </c>
      <c r="E139" s="34" t="s">
        <v>184</v>
      </c>
      <c r="F139" s="17"/>
      <c r="G139" s="14">
        <v>138.0</v>
      </c>
      <c r="H139" s="17" t="str">
        <f>IFERROR(__xludf.DUMMYFUNCTION("""COMPUTED_VALUE"""),"N 8782 UR")</f>
        <v>N 8782 UR</v>
      </c>
      <c r="I139" s="17" t="str">
        <f>IFERROR(__xludf.DUMMYFUNCTION("""COMPUTED_VALUE"""),"TLPG TJ WANGI")</f>
        <v>TLPG TJ WANGI</v>
      </c>
      <c r="J139" s="17">
        <f>IFERROR(__xludf.DUMMYFUNCTION("""COMPUTED_VALUE"""),6.0)</f>
        <v>6</v>
      </c>
    </row>
    <row r="140">
      <c r="A140" s="13" t="str">
        <f>IFERROR(__xludf.DUMMYFUNCTION("""COMPUTED_VALUE"""),"AE 8850 UT")</f>
        <v>AE 8850 UT</v>
      </c>
      <c r="B140" s="9" t="str">
        <f>IFERROR(__xludf.DUMMYFUNCTION("""COMPUTED_VALUE"""),"TLPG TJ PERAK")</f>
        <v>TLPG TJ PERAK</v>
      </c>
      <c r="C140" s="11">
        <f>IFERROR(__xludf.DUMMYFUNCTION("""COMPUTED_VALUE"""),6.0)</f>
        <v>6</v>
      </c>
      <c r="D140" s="12">
        <v>4.0</v>
      </c>
      <c r="E140" s="34" t="s">
        <v>426</v>
      </c>
      <c r="F140" s="17"/>
      <c r="G140" s="14">
        <v>139.0</v>
      </c>
      <c r="H140" s="17" t="str">
        <f>IFERROR(__xludf.DUMMYFUNCTION("""COMPUTED_VALUE"""),"DK 8837 HC")</f>
        <v>DK 8837 HC</v>
      </c>
      <c r="I140" s="17" t="str">
        <f>IFERROR(__xludf.DUMMYFUNCTION("""COMPUTED_VALUE"""),"TLPG MANGGIS")</f>
        <v>TLPG MANGGIS</v>
      </c>
      <c r="J140" s="17">
        <f>IFERROR(__xludf.DUMMYFUNCTION("""COMPUTED_VALUE"""),6.0)</f>
        <v>6</v>
      </c>
    </row>
    <row r="141">
      <c r="A141" s="13" t="str">
        <f>IFERROR(__xludf.DUMMYFUNCTION("""COMPUTED_VALUE"""),"AG 8828 UW")</f>
        <v>AG 8828 UW</v>
      </c>
      <c r="B141" s="9" t="str">
        <f>IFERROR(__xludf.DUMMYFUNCTION("""COMPUTED_VALUE"""),"TLPG TJ PERAK")</f>
        <v>TLPG TJ PERAK</v>
      </c>
      <c r="C141" s="11">
        <f>IFERROR(__xludf.DUMMYFUNCTION("""COMPUTED_VALUE"""),6.0)</f>
        <v>6</v>
      </c>
      <c r="D141" s="12">
        <v>4.0</v>
      </c>
      <c r="E141" s="34" t="s">
        <v>426</v>
      </c>
      <c r="F141" s="17"/>
      <c r="G141" s="14">
        <v>140.0</v>
      </c>
      <c r="H141" s="17" t="str">
        <f>IFERROR(__xludf.DUMMYFUNCTION("""COMPUTED_VALUE"""),"DR 8105 LJ")</f>
        <v>DR 8105 LJ</v>
      </c>
      <c r="I141" s="17" t="str">
        <f>IFERROR(__xludf.DUMMYFUNCTION("""COMPUTED_VALUE"""),"TLPG LOMBOK")</f>
        <v>TLPG LOMBOK</v>
      </c>
      <c r="J141" s="17">
        <f>IFERROR(__xludf.DUMMYFUNCTION("""COMPUTED_VALUE"""),6.0)</f>
        <v>6</v>
      </c>
    </row>
    <row r="142">
      <c r="A142" s="13" t="str">
        <f>IFERROR(__xludf.DUMMYFUNCTION("""COMPUTED_VALUE"""),"B 9123 SEI")</f>
        <v>B 9123 SEI</v>
      </c>
      <c r="B142" s="9" t="str">
        <f>IFERROR(__xludf.DUMMYFUNCTION("""COMPUTED_VALUE"""),"TLPG MEM GRESIK")</f>
        <v>TLPG MEM GRESIK</v>
      </c>
      <c r="C142" s="11">
        <f>IFERROR(__xludf.DUMMYFUNCTION("""COMPUTED_VALUE"""),6.0)</f>
        <v>6</v>
      </c>
      <c r="D142" s="12">
        <v>4.0</v>
      </c>
      <c r="E142" s="34" t="s">
        <v>83</v>
      </c>
      <c r="F142" s="17"/>
      <c r="G142" s="14">
        <v>141.0</v>
      </c>
      <c r="H142" s="17" t="str">
        <f>IFERROR(__xludf.DUMMYFUNCTION("""COMPUTED_VALUE"""),"P 8176 UW")</f>
        <v>P 8176 UW</v>
      </c>
      <c r="I142" s="17" t="str">
        <f>IFERROR(__xludf.DUMMYFUNCTION("""COMPUTED_VALUE"""),"TLPG TJ WANGI")</f>
        <v>TLPG TJ WANGI</v>
      </c>
      <c r="J142" s="17">
        <f>IFERROR(__xludf.DUMMYFUNCTION("""COMPUTED_VALUE"""),6.0)</f>
        <v>6</v>
      </c>
    </row>
    <row r="143">
      <c r="A143" s="13" t="str">
        <f>IFERROR(__xludf.DUMMYFUNCTION("""COMPUTED_VALUE"""),"DK 8236 GH")</f>
        <v>DK 8236 GH</v>
      </c>
      <c r="B143" s="9" t="str">
        <f>IFERROR(__xludf.DUMMYFUNCTION("""COMPUTED_VALUE"""),"TLPG MANGGIS")</f>
        <v>TLPG MANGGIS</v>
      </c>
      <c r="C143" s="11">
        <f>IFERROR(__xludf.DUMMYFUNCTION("""COMPUTED_VALUE"""),6.0)</f>
        <v>6</v>
      </c>
      <c r="D143" s="12">
        <v>3.0</v>
      </c>
      <c r="E143" s="34" t="s">
        <v>421</v>
      </c>
      <c r="F143" s="17"/>
      <c r="G143" s="14">
        <v>142.0</v>
      </c>
      <c r="H143" s="17" t="str">
        <f>IFERROR(__xludf.DUMMYFUNCTION("""COMPUTED_VALUE"""),"W 9170 PD")</f>
        <v>W 9170 PD</v>
      </c>
      <c r="I143" s="17" t="str">
        <f>IFERROR(__xludf.DUMMYFUNCTION("""COMPUTED_VALUE"""),"TLPG TJ PERAK")</f>
        <v>TLPG TJ PERAK</v>
      </c>
      <c r="J143" s="17">
        <f>IFERROR(__xludf.DUMMYFUNCTION("""COMPUTED_VALUE"""),6.0)</f>
        <v>6</v>
      </c>
    </row>
    <row r="144">
      <c r="A144" s="13" t="str">
        <f>IFERROR(__xludf.DUMMYFUNCTION("""COMPUTED_VALUE"""),"DK 8268 HH")</f>
        <v>DK 8268 HH</v>
      </c>
      <c r="B144" s="9" t="str">
        <f>IFERROR(__xludf.DUMMYFUNCTION("""COMPUTED_VALUE"""),"TLPG MANGGIS")</f>
        <v>TLPG MANGGIS</v>
      </c>
      <c r="C144" s="11">
        <f>IFERROR(__xludf.DUMMYFUNCTION("""COMPUTED_VALUE"""),6.0)</f>
        <v>6</v>
      </c>
      <c r="D144" s="12">
        <v>3.0</v>
      </c>
      <c r="E144" s="34" t="s">
        <v>421</v>
      </c>
      <c r="F144" s="17"/>
      <c r="G144" s="14">
        <v>143.0</v>
      </c>
      <c r="H144" s="17" t="str">
        <f>IFERROR(__xludf.DUMMYFUNCTION("""COMPUTED_VALUE"""),"B 9717 SFU")</f>
        <v>B 9717 SFU</v>
      </c>
      <c r="I144" s="17" t="str">
        <f>IFERROR(__xludf.DUMMYFUNCTION("""COMPUTED_VALUE"""),"TLPG MEM GRESIK")</f>
        <v>TLPG MEM GRESIK</v>
      </c>
      <c r="J144" s="17">
        <f>IFERROR(__xludf.DUMMYFUNCTION("""COMPUTED_VALUE"""),6.0)</f>
        <v>6</v>
      </c>
    </row>
    <row r="145">
      <c r="A145" s="13" t="str">
        <f>IFERROR(__xludf.DUMMYFUNCTION("""COMPUTED_VALUE"""),"DK 8285 DT")</f>
        <v>DK 8285 DT</v>
      </c>
      <c r="B145" s="9" t="str">
        <f>IFERROR(__xludf.DUMMYFUNCTION("""COMPUTED_VALUE"""),"TLPG MANGGIS")</f>
        <v>TLPG MANGGIS</v>
      </c>
      <c r="C145" s="11">
        <f>IFERROR(__xludf.DUMMYFUNCTION("""COMPUTED_VALUE"""),6.0)</f>
        <v>6</v>
      </c>
      <c r="D145" s="12">
        <v>3.0</v>
      </c>
      <c r="E145" s="34" t="s">
        <v>417</v>
      </c>
      <c r="F145" s="17"/>
      <c r="G145" s="14">
        <v>144.0</v>
      </c>
      <c r="H145" s="17" t="str">
        <f>IFERROR(__xludf.DUMMYFUNCTION("""COMPUTED_VALUE"""),"B 9881 SFU")</f>
        <v>B 9881 SFU</v>
      </c>
      <c r="I145" s="17" t="str">
        <f>IFERROR(__xludf.DUMMYFUNCTION("""COMPUTED_VALUE"""),"TLPG MEM GRESIK")</f>
        <v>TLPG MEM GRESIK</v>
      </c>
      <c r="J145" s="17">
        <f>IFERROR(__xludf.DUMMYFUNCTION("""COMPUTED_VALUE"""),6.0)</f>
        <v>6</v>
      </c>
    </row>
    <row r="146">
      <c r="A146" s="13" t="str">
        <f>IFERROR(__xludf.DUMMYFUNCTION("""COMPUTED_VALUE"""),"DR 8481 KO")</f>
        <v>DR 8481 KO</v>
      </c>
      <c r="B146" s="9" t="str">
        <f>IFERROR(__xludf.DUMMYFUNCTION("""COMPUTED_VALUE"""),"TLPG LOMBOK")</f>
        <v>TLPG LOMBOK</v>
      </c>
      <c r="C146" s="11">
        <f>IFERROR(__xludf.DUMMYFUNCTION("""COMPUTED_VALUE"""),6.0)</f>
        <v>6</v>
      </c>
      <c r="D146" s="12">
        <v>12.0</v>
      </c>
      <c r="E146" s="34" t="s">
        <v>184</v>
      </c>
      <c r="F146" s="17"/>
      <c r="G146" s="14">
        <v>145.0</v>
      </c>
      <c r="H146" s="17" t="str">
        <f>IFERROR(__xludf.DUMMYFUNCTION("""COMPUTED_VALUE"""),"L 8121 UUA")</f>
        <v>L 8121 UUA</v>
      </c>
      <c r="I146" s="17" t="str">
        <f>IFERROR(__xludf.DUMMYFUNCTION("""COMPUTED_VALUE"""),"TLPG MEM GRESIK")</f>
        <v>TLPG MEM GRESIK</v>
      </c>
      <c r="J146" s="17">
        <f>IFERROR(__xludf.DUMMYFUNCTION("""COMPUTED_VALUE"""),6.0)</f>
        <v>6</v>
      </c>
    </row>
    <row r="147">
      <c r="A147" s="13" t="str">
        <f>IFERROR(__xludf.DUMMYFUNCTION("""COMPUTED_VALUE"""),"DR 8527 KC")</f>
        <v>DR 8527 KC</v>
      </c>
      <c r="B147" s="9" t="str">
        <f>IFERROR(__xludf.DUMMYFUNCTION("""COMPUTED_VALUE"""),"TLPG LOMBOK")</f>
        <v>TLPG LOMBOK</v>
      </c>
      <c r="C147" s="11">
        <f>IFERROR(__xludf.DUMMYFUNCTION("""COMPUTED_VALUE"""),6.0)</f>
        <v>6</v>
      </c>
      <c r="D147" s="12">
        <v>7.0</v>
      </c>
      <c r="E147" s="34" t="s">
        <v>385</v>
      </c>
      <c r="F147" s="17"/>
      <c r="G147" s="14">
        <v>146.0</v>
      </c>
      <c r="H147" s="17" t="str">
        <f>IFERROR(__xludf.DUMMYFUNCTION("""COMPUTED_VALUE"""),"L 8892 UU")</f>
        <v>L 8892 UU</v>
      </c>
      <c r="I147" s="17" t="str">
        <f>IFERROR(__xludf.DUMMYFUNCTION("""COMPUTED_VALUE"""),"TLPG TJ PERAK")</f>
        <v>TLPG TJ PERAK</v>
      </c>
      <c r="J147" s="17">
        <f>IFERROR(__xludf.DUMMYFUNCTION("""COMPUTED_VALUE"""),6.0)</f>
        <v>6</v>
      </c>
    </row>
    <row r="148">
      <c r="A148" s="13" t="str">
        <f>IFERROR(__xludf.DUMMYFUNCTION("""COMPUTED_VALUE"""),"L 8088 UO")</f>
        <v>L 8088 UO</v>
      </c>
      <c r="B148" s="9" t="str">
        <f>IFERROR(__xludf.DUMMYFUNCTION("""COMPUTED_VALUE"""),"TLPG MEM GRESIK")</f>
        <v>TLPG MEM GRESIK</v>
      </c>
      <c r="C148" s="11">
        <f>IFERROR(__xludf.DUMMYFUNCTION("""COMPUTED_VALUE"""),6.0)</f>
        <v>6</v>
      </c>
      <c r="D148" s="12">
        <v>8.0</v>
      </c>
      <c r="E148" s="34" t="s">
        <v>83</v>
      </c>
      <c r="F148" s="17"/>
      <c r="G148" s="14">
        <v>147.0</v>
      </c>
      <c r="H148" s="17" t="str">
        <f>IFERROR(__xludf.DUMMYFUNCTION("""COMPUTED_VALUE"""),"L 8973 UU")</f>
        <v>L 8973 UU</v>
      </c>
      <c r="I148" s="17" t="str">
        <f>IFERROR(__xludf.DUMMYFUNCTION("""COMPUTED_VALUE"""),"TLPG TJ PERAK")</f>
        <v>TLPG TJ PERAK</v>
      </c>
      <c r="J148" s="17">
        <f>IFERROR(__xludf.DUMMYFUNCTION("""COMPUTED_VALUE"""),6.0)</f>
        <v>6</v>
      </c>
    </row>
    <row r="149">
      <c r="A149" s="13" t="str">
        <f>IFERROR(__xludf.DUMMYFUNCTION("""COMPUTED_VALUE"""),"L 8088 UZ")</f>
        <v>L 8088 UZ</v>
      </c>
      <c r="B149" s="9" t="str">
        <f>IFERROR(__xludf.DUMMYFUNCTION("""COMPUTED_VALUE"""),"TLPG MEM GRESIK")</f>
        <v>TLPG MEM GRESIK</v>
      </c>
      <c r="C149" s="11">
        <f>IFERROR(__xludf.DUMMYFUNCTION("""COMPUTED_VALUE"""),6.0)</f>
        <v>6</v>
      </c>
      <c r="D149" s="12">
        <v>7.0</v>
      </c>
      <c r="E149" s="34" t="s">
        <v>83</v>
      </c>
      <c r="F149" s="17"/>
      <c r="G149" s="14">
        <v>148.0</v>
      </c>
      <c r="H149" s="17" t="str">
        <f>IFERROR(__xludf.DUMMYFUNCTION("""COMPUTED_VALUE"""),"L 9161 UB")</f>
        <v>L 9161 UB</v>
      </c>
      <c r="I149" s="17" t="str">
        <f>IFERROR(__xludf.DUMMYFUNCTION("""COMPUTED_VALUE"""),"TLPG TJ PERAK")</f>
        <v>TLPG TJ PERAK</v>
      </c>
      <c r="J149" s="17">
        <f>IFERROR(__xludf.DUMMYFUNCTION("""COMPUTED_VALUE"""),6.0)</f>
        <v>6</v>
      </c>
    </row>
    <row r="150">
      <c r="A150" s="13" t="str">
        <f>IFERROR(__xludf.DUMMYFUNCTION("""COMPUTED_VALUE"""),"L 8099 UR")</f>
        <v>L 8099 UR</v>
      </c>
      <c r="B150" s="9" t="str">
        <f>IFERROR(__xludf.DUMMYFUNCTION("""COMPUTED_VALUE"""),"TLPG MEM GRESIK")</f>
        <v>TLPG MEM GRESIK</v>
      </c>
      <c r="C150" s="11">
        <f>IFERROR(__xludf.DUMMYFUNCTION("""COMPUTED_VALUE"""),6.0)</f>
        <v>6</v>
      </c>
      <c r="D150" s="12">
        <v>7.0</v>
      </c>
      <c r="E150" s="34" t="s">
        <v>83</v>
      </c>
      <c r="F150" s="17"/>
      <c r="G150" s="14">
        <v>149.0</v>
      </c>
      <c r="H150" s="17" t="str">
        <f>IFERROR(__xludf.DUMMYFUNCTION("""COMPUTED_VALUE"""),"L 9290 UQ")</f>
        <v>L 9290 UQ</v>
      </c>
      <c r="I150" s="17" t="str">
        <f>IFERROR(__xludf.DUMMYFUNCTION("""COMPUTED_VALUE"""),"TLPG TJ PERAK")</f>
        <v>TLPG TJ PERAK</v>
      </c>
      <c r="J150" s="17">
        <f>IFERROR(__xludf.DUMMYFUNCTION("""COMPUTED_VALUE"""),6.0)</f>
        <v>6</v>
      </c>
    </row>
    <row r="151">
      <c r="A151" s="13" t="str">
        <f>IFERROR(__xludf.DUMMYFUNCTION("""COMPUTED_VALUE"""),"L 8121 UUA")</f>
        <v>L 8121 UUA</v>
      </c>
      <c r="B151" s="9" t="str">
        <f>IFERROR(__xludf.DUMMYFUNCTION("""COMPUTED_VALUE"""),"TLPG MEM GRESIK")</f>
        <v>TLPG MEM GRESIK</v>
      </c>
      <c r="C151" s="11">
        <f>IFERROR(__xludf.DUMMYFUNCTION("""COMPUTED_VALUE"""),6.0)</f>
        <v>6</v>
      </c>
      <c r="D151" s="12">
        <v>6.0</v>
      </c>
      <c r="E151" s="34" t="s">
        <v>226</v>
      </c>
      <c r="F151" s="17"/>
      <c r="G151" s="14">
        <v>150.0</v>
      </c>
      <c r="H151" s="17" t="str">
        <f>IFERROR(__xludf.DUMMYFUNCTION("""COMPUTED_VALUE"""),"L 9476 UL")</f>
        <v>L 9476 UL</v>
      </c>
      <c r="I151" s="17" t="str">
        <f>IFERROR(__xludf.DUMMYFUNCTION("""COMPUTED_VALUE"""),"TLPG TJ PERAK")</f>
        <v>TLPG TJ PERAK</v>
      </c>
      <c r="J151" s="17">
        <f>IFERROR(__xludf.DUMMYFUNCTION("""COMPUTED_VALUE"""),6.0)</f>
        <v>6</v>
      </c>
    </row>
    <row r="152">
      <c r="A152" s="13" t="str">
        <f>IFERROR(__xludf.DUMMYFUNCTION("""COMPUTED_VALUE"""),"L 8892 UU")</f>
        <v>L 8892 UU</v>
      </c>
      <c r="B152" s="9" t="str">
        <f>IFERROR(__xludf.DUMMYFUNCTION("""COMPUTED_VALUE"""),"TLPG TJ PERAK")</f>
        <v>TLPG TJ PERAK</v>
      </c>
      <c r="C152" s="11">
        <f>IFERROR(__xludf.DUMMYFUNCTION("""COMPUTED_VALUE"""),6.0)</f>
        <v>6</v>
      </c>
      <c r="D152" s="12">
        <v>6.0</v>
      </c>
      <c r="E152" s="34" t="s">
        <v>246</v>
      </c>
      <c r="F152" s="17"/>
      <c r="G152" s="14">
        <v>151.0</v>
      </c>
      <c r="H152" s="17" t="str">
        <f>IFERROR(__xludf.DUMMYFUNCTION("""COMPUTED_VALUE"""),"L 9489 UL")</f>
        <v>L 9489 UL</v>
      </c>
      <c r="I152" s="17" t="str">
        <f>IFERROR(__xludf.DUMMYFUNCTION("""COMPUTED_VALUE"""),"TLPG TJ PERAK")</f>
        <v>TLPG TJ PERAK</v>
      </c>
      <c r="J152" s="17">
        <f>IFERROR(__xludf.DUMMYFUNCTION("""COMPUTED_VALUE"""),6.0)</f>
        <v>6</v>
      </c>
    </row>
    <row r="153">
      <c r="A153" s="13" t="str">
        <f>IFERROR(__xludf.DUMMYFUNCTION("""COMPUTED_VALUE"""),"L 8973 UU")</f>
        <v>L 8973 UU</v>
      </c>
      <c r="B153" s="9" t="str">
        <f>IFERROR(__xludf.DUMMYFUNCTION("""COMPUTED_VALUE"""),"TLPG TJ PERAK")</f>
        <v>TLPG TJ PERAK</v>
      </c>
      <c r="C153" s="11">
        <f>IFERROR(__xludf.DUMMYFUNCTION("""COMPUTED_VALUE"""),6.0)</f>
        <v>6</v>
      </c>
      <c r="D153" s="12">
        <v>6.0</v>
      </c>
      <c r="E153" s="34" t="s">
        <v>260</v>
      </c>
      <c r="F153" s="17"/>
      <c r="G153" s="14">
        <v>152.0</v>
      </c>
      <c r="H153" s="17" t="str">
        <f>IFERROR(__xludf.DUMMYFUNCTION("""COMPUTED_VALUE"""),"L 9507 UL")</f>
        <v>L 9507 UL</v>
      </c>
      <c r="I153" s="17" t="str">
        <f>IFERROR(__xludf.DUMMYFUNCTION("""COMPUTED_VALUE"""),"TLPG TJ PERAK")</f>
        <v>TLPG TJ PERAK</v>
      </c>
      <c r="J153" s="17">
        <f>IFERROR(__xludf.DUMMYFUNCTION("""COMPUTED_VALUE"""),6.0)</f>
        <v>6</v>
      </c>
    </row>
    <row r="154">
      <c r="A154" s="13" t="str">
        <f>IFERROR(__xludf.DUMMYFUNCTION("""COMPUTED_VALUE"""),"L 9161 UB")</f>
        <v>L 9161 UB</v>
      </c>
      <c r="B154" s="9" t="str">
        <f>IFERROR(__xludf.DUMMYFUNCTION("""COMPUTED_VALUE"""),"TLPG TJ PERAK")</f>
        <v>TLPG TJ PERAK</v>
      </c>
      <c r="C154" s="11">
        <f>IFERROR(__xludf.DUMMYFUNCTION("""COMPUTED_VALUE"""),6.0)</f>
        <v>6</v>
      </c>
      <c r="D154" s="12">
        <v>6.0</v>
      </c>
      <c r="E154" s="34" t="s">
        <v>273</v>
      </c>
      <c r="F154" s="17"/>
      <c r="G154" s="14">
        <v>153.0</v>
      </c>
      <c r="H154" s="17" t="str">
        <f>IFERROR(__xludf.DUMMYFUNCTION("""COMPUTED_VALUE"""),"L 9644 BB")</f>
        <v>L 9644 BB</v>
      </c>
      <c r="I154" s="17" t="str">
        <f>IFERROR(__xludf.DUMMYFUNCTION("""COMPUTED_VALUE"""),"TLPG TJ PERAK")</f>
        <v>TLPG TJ PERAK</v>
      </c>
      <c r="J154" s="17">
        <f>IFERROR(__xludf.DUMMYFUNCTION("""COMPUTED_VALUE"""),6.0)</f>
        <v>6</v>
      </c>
    </row>
    <row r="155">
      <c r="A155" s="13" t="str">
        <f>IFERROR(__xludf.DUMMYFUNCTION("""COMPUTED_VALUE"""),"L 9290 UQ")</f>
        <v>L 9290 UQ</v>
      </c>
      <c r="B155" s="9" t="str">
        <f>IFERROR(__xludf.DUMMYFUNCTION("""COMPUTED_VALUE"""),"TLPG TJ PERAK")</f>
        <v>TLPG TJ PERAK</v>
      </c>
      <c r="C155" s="11">
        <f>IFERROR(__xludf.DUMMYFUNCTION("""COMPUTED_VALUE"""),6.0)</f>
        <v>6</v>
      </c>
      <c r="D155" s="12">
        <v>6.0</v>
      </c>
      <c r="E155" s="34" t="s">
        <v>273</v>
      </c>
      <c r="F155" s="17"/>
      <c r="G155" s="14">
        <v>154.0</v>
      </c>
      <c r="H155" s="17" t="str">
        <f>IFERROR(__xludf.DUMMYFUNCTION("""COMPUTED_VALUE"""),"L 9822 UE")</f>
        <v>L 9822 UE</v>
      </c>
      <c r="I155" s="17" t="str">
        <f>IFERROR(__xludf.DUMMYFUNCTION("""COMPUTED_VALUE"""),"TLPG TJ PERAK")</f>
        <v>TLPG TJ PERAK</v>
      </c>
      <c r="J155" s="17">
        <f>IFERROR(__xludf.DUMMYFUNCTION("""COMPUTED_VALUE"""),6.0)</f>
        <v>6</v>
      </c>
    </row>
    <row r="156">
      <c r="A156" s="13" t="str">
        <f>IFERROR(__xludf.DUMMYFUNCTION("""COMPUTED_VALUE"""),"L 9476 UL")</f>
        <v>L 9476 UL</v>
      </c>
      <c r="B156" s="9" t="str">
        <f>IFERROR(__xludf.DUMMYFUNCTION("""COMPUTED_VALUE"""),"TLPG TJ PERAK")</f>
        <v>TLPG TJ PERAK</v>
      </c>
      <c r="C156" s="11">
        <f>IFERROR(__xludf.DUMMYFUNCTION("""COMPUTED_VALUE"""),6.0)</f>
        <v>6</v>
      </c>
      <c r="D156" s="12">
        <v>6.0</v>
      </c>
      <c r="E156" s="34" t="s">
        <v>313</v>
      </c>
      <c r="F156" s="17"/>
      <c r="G156" s="14">
        <v>155.0</v>
      </c>
      <c r="H156" s="17" t="str">
        <f>IFERROR(__xludf.DUMMYFUNCTION("""COMPUTED_VALUE"""),"P 8018 UF")</f>
        <v>P 8018 UF</v>
      </c>
      <c r="I156" s="17" t="str">
        <f>IFERROR(__xludf.DUMMYFUNCTION("""COMPUTED_VALUE"""),"TLPG TJ WANGI")</f>
        <v>TLPG TJ WANGI</v>
      </c>
      <c r="J156" s="17">
        <f>IFERROR(__xludf.DUMMYFUNCTION("""COMPUTED_VALUE"""),6.0)</f>
        <v>6</v>
      </c>
    </row>
    <row r="157">
      <c r="A157" s="13" t="str">
        <f>IFERROR(__xludf.DUMMYFUNCTION("""COMPUTED_VALUE"""),"L 9489 UL")</f>
        <v>L 9489 UL</v>
      </c>
      <c r="B157" s="9" t="str">
        <f>IFERROR(__xludf.DUMMYFUNCTION("""COMPUTED_VALUE"""),"TLPG TJ PERAK")</f>
        <v>TLPG TJ PERAK</v>
      </c>
      <c r="C157" s="11">
        <f>IFERROR(__xludf.DUMMYFUNCTION("""COMPUTED_VALUE"""),6.0)</f>
        <v>6</v>
      </c>
      <c r="D157" s="12">
        <v>6.0</v>
      </c>
      <c r="E157" s="34" t="s">
        <v>313</v>
      </c>
      <c r="F157" s="17"/>
      <c r="G157" s="14">
        <v>156.0</v>
      </c>
      <c r="H157" s="17" t="str">
        <f>IFERROR(__xludf.DUMMYFUNCTION("""COMPUTED_VALUE"""),"P 8046 Uf")</f>
        <v>P 8046 Uf</v>
      </c>
      <c r="I157" s="17" t="str">
        <f>IFERROR(__xludf.DUMMYFUNCTION("""COMPUTED_VALUE"""),"TLPG TJ WANGI")</f>
        <v>TLPG TJ WANGI</v>
      </c>
      <c r="J157" s="17">
        <f>IFERROR(__xludf.DUMMYFUNCTION("""COMPUTED_VALUE"""),6.0)</f>
        <v>6</v>
      </c>
    </row>
    <row r="158">
      <c r="A158" s="13" t="str">
        <f>IFERROR(__xludf.DUMMYFUNCTION("""COMPUTED_VALUE"""),"L 9507 UL")</f>
        <v>L 9507 UL</v>
      </c>
      <c r="B158" s="9" t="str">
        <f>IFERROR(__xludf.DUMMYFUNCTION("""COMPUTED_VALUE"""),"TLPG TJ PERAK")</f>
        <v>TLPG TJ PERAK</v>
      </c>
      <c r="C158" s="11">
        <f>IFERROR(__xludf.DUMMYFUNCTION("""COMPUTED_VALUE"""),6.0)</f>
        <v>6</v>
      </c>
      <c r="D158" s="12">
        <v>6.0</v>
      </c>
      <c r="E158" s="34" t="s">
        <v>313</v>
      </c>
      <c r="F158" s="17"/>
      <c r="G158" s="14">
        <v>157.0</v>
      </c>
      <c r="H158" s="17" t="str">
        <f>IFERROR(__xludf.DUMMYFUNCTION("""COMPUTED_VALUE"""),"P 8312 UG")</f>
        <v>P 8312 UG</v>
      </c>
      <c r="I158" s="17" t="str">
        <f>IFERROR(__xludf.DUMMYFUNCTION("""COMPUTED_VALUE"""),"TLPG TJ WANGI")</f>
        <v>TLPG TJ WANGI</v>
      </c>
      <c r="J158" s="17">
        <f>IFERROR(__xludf.DUMMYFUNCTION("""COMPUTED_VALUE"""),6.0)</f>
        <v>6</v>
      </c>
    </row>
    <row r="159">
      <c r="A159" s="13" t="str">
        <f>IFERROR(__xludf.DUMMYFUNCTION("""COMPUTED_VALUE"""),"L 9521 UL")</f>
        <v>L 9521 UL</v>
      </c>
      <c r="B159" s="9" t="str">
        <f>IFERROR(__xludf.DUMMYFUNCTION("""COMPUTED_VALUE"""),"TLPG TJ PERAK")</f>
        <v>TLPG TJ PERAK</v>
      </c>
      <c r="C159" s="11">
        <f>IFERROR(__xludf.DUMMYFUNCTION("""COMPUTED_VALUE"""),6.0)</f>
        <v>6</v>
      </c>
      <c r="D159" s="12">
        <v>5.0</v>
      </c>
      <c r="E159" s="34" t="s">
        <v>313</v>
      </c>
      <c r="F159" s="17"/>
      <c r="G159" s="14">
        <v>158.0</v>
      </c>
      <c r="H159" s="17" t="str">
        <f>IFERROR(__xludf.DUMMYFUNCTION("""COMPUTED_VALUE"""),"W 8729 QD")</f>
        <v>W 8729 QD</v>
      </c>
      <c r="I159" s="17" t="str">
        <f>IFERROR(__xludf.DUMMYFUNCTION("""COMPUTED_VALUE"""),"TLPG TJ PERAK")</f>
        <v>TLPG TJ PERAK</v>
      </c>
      <c r="J159" s="17">
        <f>IFERROR(__xludf.DUMMYFUNCTION("""COMPUTED_VALUE"""),6.0)</f>
        <v>6</v>
      </c>
    </row>
    <row r="160">
      <c r="A160" s="13" t="str">
        <f>IFERROR(__xludf.DUMMYFUNCTION("""COMPUTED_VALUE"""),"L 9532 UL")</f>
        <v>L 9532 UL</v>
      </c>
      <c r="B160" s="9" t="str">
        <f>IFERROR(__xludf.DUMMYFUNCTION("""COMPUTED_VALUE"""),"TLPG TJ PERAK")</f>
        <v>TLPG TJ PERAK</v>
      </c>
      <c r="C160" s="11">
        <f>IFERROR(__xludf.DUMMYFUNCTION("""COMPUTED_VALUE"""),6.0)</f>
        <v>6</v>
      </c>
      <c r="D160" s="12">
        <v>5.0</v>
      </c>
      <c r="E160" s="34" t="s">
        <v>313</v>
      </c>
      <c r="F160" s="17"/>
      <c r="G160" s="14">
        <v>159.0</v>
      </c>
      <c r="H160" s="17" t="str">
        <f>IFERROR(__xludf.DUMMYFUNCTION("""COMPUTED_VALUE"""),"DK 8117 FS")</f>
        <v>DK 8117 FS</v>
      </c>
      <c r="I160" s="17" t="str">
        <f>IFERROR(__xludf.DUMMYFUNCTION("""COMPUTED_VALUE"""),"TLPG MANGGIS")</f>
        <v>TLPG MANGGIS</v>
      </c>
      <c r="J160" s="17">
        <f>IFERROR(__xludf.DUMMYFUNCTION("""COMPUTED_VALUE"""),6.0)</f>
        <v>6</v>
      </c>
    </row>
    <row r="161">
      <c r="A161" s="13" t="str">
        <f>IFERROR(__xludf.DUMMYFUNCTION("""COMPUTED_VALUE"""),"L 9644 BB")</f>
        <v>L 9644 BB</v>
      </c>
      <c r="B161" s="9" t="str">
        <f>IFERROR(__xludf.DUMMYFUNCTION("""COMPUTED_VALUE"""),"TLPG TJ PERAK")</f>
        <v>TLPG TJ PERAK</v>
      </c>
      <c r="C161" s="11">
        <f>IFERROR(__xludf.DUMMYFUNCTION("""COMPUTED_VALUE"""),6.0)</f>
        <v>6</v>
      </c>
      <c r="D161" s="12">
        <v>6.0</v>
      </c>
      <c r="E161" s="34" t="s">
        <v>359</v>
      </c>
      <c r="F161" s="17"/>
      <c r="G161" s="14">
        <v>160.0</v>
      </c>
      <c r="H161" s="17" t="str">
        <f>IFERROR(__xludf.DUMMYFUNCTION("""COMPUTED_VALUE"""),"DK 8302 HF")</f>
        <v>DK 8302 HF</v>
      </c>
      <c r="I161" s="17" t="str">
        <f>IFERROR(__xludf.DUMMYFUNCTION("""COMPUTED_VALUE"""),"TLPG MANGGIS")</f>
        <v>TLPG MANGGIS</v>
      </c>
      <c r="J161" s="17">
        <f>IFERROR(__xludf.DUMMYFUNCTION("""COMPUTED_VALUE"""),6.0)</f>
        <v>6</v>
      </c>
    </row>
    <row r="162">
      <c r="A162" s="13" t="str">
        <f>IFERROR(__xludf.DUMMYFUNCTION("""COMPUTED_VALUE"""),"L 9822 UE")</f>
        <v>L 9822 UE</v>
      </c>
      <c r="B162" s="9" t="str">
        <f>IFERROR(__xludf.DUMMYFUNCTION("""COMPUTED_VALUE"""),"TLPG TJ PERAK")</f>
        <v>TLPG TJ PERAK</v>
      </c>
      <c r="C162" s="11">
        <f>IFERROR(__xludf.DUMMYFUNCTION("""COMPUTED_VALUE"""),6.0)</f>
        <v>6</v>
      </c>
      <c r="D162" s="12">
        <v>6.0</v>
      </c>
      <c r="E162" s="34" t="s">
        <v>376</v>
      </c>
      <c r="F162" s="17"/>
      <c r="G162" s="14">
        <v>161.0</v>
      </c>
      <c r="H162" s="17" t="str">
        <f>IFERROR(__xludf.DUMMYFUNCTION("""COMPUTED_VALUE"""),"DK 8352 GZ")</f>
        <v>DK 8352 GZ</v>
      </c>
      <c r="I162" s="17" t="str">
        <f>IFERROR(__xludf.DUMMYFUNCTION("""COMPUTED_VALUE"""),"TLPG MANGGIS")</f>
        <v>TLPG MANGGIS</v>
      </c>
      <c r="J162" s="17">
        <f>IFERROR(__xludf.DUMMYFUNCTION("""COMPUTED_VALUE"""),6.0)</f>
        <v>6</v>
      </c>
    </row>
    <row r="163">
      <c r="A163" s="13" t="str">
        <f>IFERROR(__xludf.DUMMYFUNCTION("""COMPUTED_VALUE"""),"P 8018 UF")</f>
        <v>P 8018 UF</v>
      </c>
      <c r="B163" s="9" t="str">
        <f>IFERROR(__xludf.DUMMYFUNCTION("""COMPUTED_VALUE"""),"TLPG TJ WANGI")</f>
        <v>TLPG TJ WANGI</v>
      </c>
      <c r="C163" s="11">
        <f>IFERROR(__xludf.DUMMYFUNCTION("""COMPUTED_VALUE"""),6.0)</f>
        <v>6</v>
      </c>
      <c r="D163" s="12">
        <v>6.0</v>
      </c>
      <c r="E163" s="34" t="s">
        <v>184</v>
      </c>
      <c r="F163" s="17"/>
      <c r="G163" s="14">
        <v>162.0</v>
      </c>
      <c r="H163" s="17" t="str">
        <f>IFERROR(__xludf.DUMMYFUNCTION("""COMPUTED_VALUE"""),"L 8192 UX")</f>
        <v>L 8192 UX</v>
      </c>
      <c r="I163" s="17" t="str">
        <f>IFERROR(__xludf.DUMMYFUNCTION("""COMPUTED_VALUE"""),"TLPG MEM GRESIK")</f>
        <v>TLPG MEM GRESIK</v>
      </c>
      <c r="J163" s="17">
        <f>IFERROR(__xludf.DUMMYFUNCTION("""COMPUTED_VALUE"""),6.0)</f>
        <v>6</v>
      </c>
    </row>
    <row r="164">
      <c r="A164" s="13" t="str">
        <f>IFERROR(__xludf.DUMMYFUNCTION("""COMPUTED_VALUE"""),"P 8046 Uf")</f>
        <v>P 8046 Uf</v>
      </c>
      <c r="B164" s="9" t="str">
        <f>IFERROR(__xludf.DUMMYFUNCTION("""COMPUTED_VALUE"""),"TLPG TJ WANGI")</f>
        <v>TLPG TJ WANGI</v>
      </c>
      <c r="C164" s="11">
        <f>IFERROR(__xludf.DUMMYFUNCTION("""COMPUTED_VALUE"""),6.0)</f>
        <v>6</v>
      </c>
      <c r="D164" s="12">
        <v>6.0</v>
      </c>
      <c r="E164" s="34" t="s">
        <v>184</v>
      </c>
      <c r="F164" s="17"/>
      <c r="G164" s="14">
        <v>163.0</v>
      </c>
      <c r="H164" s="17" t="str">
        <f>IFERROR(__xludf.DUMMYFUNCTION("""COMPUTED_VALUE"""),"M 8068 UH")</f>
        <v>M 8068 UH</v>
      </c>
      <c r="I164" s="17" t="str">
        <f>IFERROR(__xludf.DUMMYFUNCTION("""COMPUTED_VALUE"""),"TLPG TJ PERAK")</f>
        <v>TLPG TJ PERAK</v>
      </c>
      <c r="J164" s="17">
        <f>IFERROR(__xludf.DUMMYFUNCTION("""COMPUTED_VALUE"""),6.0)</f>
        <v>6</v>
      </c>
    </row>
    <row r="165">
      <c r="A165" s="13" t="str">
        <f>IFERROR(__xludf.DUMMYFUNCTION("""COMPUTED_VALUE"""),"P 8312 UG")</f>
        <v>P 8312 UG</v>
      </c>
      <c r="B165" s="9" t="str">
        <f>IFERROR(__xludf.DUMMYFUNCTION("""COMPUTED_VALUE"""),"TLPG TJ WANGI")</f>
        <v>TLPG TJ WANGI</v>
      </c>
      <c r="C165" s="11">
        <f>IFERROR(__xludf.DUMMYFUNCTION("""COMPUTED_VALUE"""),6.0)</f>
        <v>6</v>
      </c>
      <c r="D165" s="12">
        <v>6.0</v>
      </c>
      <c r="E165" s="34" t="s">
        <v>408</v>
      </c>
      <c r="F165" s="17"/>
      <c r="G165" s="14">
        <v>164.0</v>
      </c>
      <c r="H165" s="17" t="str">
        <f>IFERROR(__xludf.DUMMYFUNCTION("""COMPUTED_VALUE"""),"M 8366 UG")</f>
        <v>M 8366 UG</v>
      </c>
      <c r="I165" s="17" t="str">
        <f>IFERROR(__xludf.DUMMYFUNCTION("""COMPUTED_VALUE"""),"TLPG TJ PERAK")</f>
        <v>TLPG TJ PERAK</v>
      </c>
      <c r="J165" s="17">
        <f>IFERROR(__xludf.DUMMYFUNCTION("""COMPUTED_VALUE"""),6.0)</f>
        <v>6</v>
      </c>
    </row>
    <row r="166">
      <c r="A166" s="13" t="str">
        <f>IFERROR(__xludf.DUMMYFUNCTION("""COMPUTED_VALUE"""),"W 8729 QD")</f>
        <v>W 8729 QD</v>
      </c>
      <c r="B166" s="9" t="str">
        <f>IFERROR(__xludf.DUMMYFUNCTION("""COMPUTED_VALUE"""),"TLPG TJ PERAK")</f>
        <v>TLPG TJ PERAK</v>
      </c>
      <c r="C166" s="11">
        <f>IFERROR(__xludf.DUMMYFUNCTION("""COMPUTED_VALUE"""),6.0)</f>
        <v>6</v>
      </c>
      <c r="D166" s="12">
        <v>6.0</v>
      </c>
      <c r="E166" s="34" t="s">
        <v>416</v>
      </c>
      <c r="F166" s="17"/>
      <c r="G166" s="14">
        <v>165.0</v>
      </c>
      <c r="H166" s="17" t="str">
        <f>IFERROR(__xludf.DUMMYFUNCTION("""COMPUTED_VALUE"""),"N 8083 UQ")</f>
        <v>N 8083 UQ</v>
      </c>
      <c r="I166" s="17" t="str">
        <f>IFERROR(__xludf.DUMMYFUNCTION("""COMPUTED_VALUE"""),"TLPG TJ PERAK")</f>
        <v>TLPG TJ PERAK</v>
      </c>
      <c r="J166" s="17">
        <f>IFERROR(__xludf.DUMMYFUNCTION("""COMPUTED_VALUE"""),7.0)</f>
        <v>7</v>
      </c>
    </row>
    <row r="167">
      <c r="A167" s="13" t="str">
        <f>IFERROR(__xludf.DUMMYFUNCTION("""COMPUTED_VALUE"""),"AE 8086 UT")</f>
        <v>AE 8086 UT</v>
      </c>
      <c r="B167" s="9" t="str">
        <f>IFERROR(__xludf.DUMMYFUNCTION("""COMPUTED_VALUE"""),"TLPG TJ PERAK")</f>
        <v>TLPG TJ PERAK</v>
      </c>
      <c r="C167" s="11">
        <f>IFERROR(__xludf.DUMMYFUNCTION("""COMPUTED_VALUE"""),7.0)</f>
        <v>7</v>
      </c>
      <c r="D167" s="12">
        <v>5.0</v>
      </c>
      <c r="E167" s="34" t="s">
        <v>215</v>
      </c>
      <c r="F167" s="17"/>
      <c r="G167" s="14">
        <v>166.0</v>
      </c>
      <c r="H167" s="17" t="str">
        <f>IFERROR(__xludf.DUMMYFUNCTION("""COMPUTED_VALUE"""),"DR 8527 KC")</f>
        <v>DR 8527 KC</v>
      </c>
      <c r="I167" s="17" t="str">
        <f>IFERROR(__xludf.DUMMYFUNCTION("""COMPUTED_VALUE"""),"TLPG LOMBOK")</f>
        <v>TLPG LOMBOK</v>
      </c>
      <c r="J167" s="17">
        <f>IFERROR(__xludf.DUMMYFUNCTION("""COMPUTED_VALUE"""),7.0)</f>
        <v>7</v>
      </c>
    </row>
    <row r="168">
      <c r="A168" s="13" t="str">
        <f>IFERROR(__xludf.DUMMYFUNCTION("""COMPUTED_VALUE"""),"DK 8117 FS")</f>
        <v>DK 8117 FS</v>
      </c>
      <c r="B168" s="9" t="str">
        <f>IFERROR(__xludf.DUMMYFUNCTION("""COMPUTED_VALUE"""),"TLPG MANGGIS")</f>
        <v>TLPG MANGGIS</v>
      </c>
      <c r="C168" s="11">
        <f>IFERROR(__xludf.DUMMYFUNCTION("""COMPUTED_VALUE"""),7.0)</f>
        <v>7</v>
      </c>
      <c r="D168" s="12">
        <v>6.0</v>
      </c>
      <c r="E168" s="34" t="s">
        <v>417</v>
      </c>
      <c r="F168" s="17"/>
      <c r="G168" s="14">
        <v>167.0</v>
      </c>
      <c r="H168" s="17" t="str">
        <f>IFERROR(__xludf.DUMMYFUNCTION("""COMPUTED_VALUE"""),"L 8088 UZ")</f>
        <v>L 8088 UZ</v>
      </c>
      <c r="I168" s="17" t="str">
        <f>IFERROR(__xludf.DUMMYFUNCTION("""COMPUTED_VALUE"""),"TLPG MEM GRESIK")</f>
        <v>TLPG MEM GRESIK</v>
      </c>
      <c r="J168" s="17">
        <f>IFERROR(__xludf.DUMMYFUNCTION("""COMPUTED_VALUE"""),7.0)</f>
        <v>7</v>
      </c>
    </row>
    <row r="169">
      <c r="A169" s="13" t="str">
        <f>IFERROR(__xludf.DUMMYFUNCTION("""COMPUTED_VALUE"""),"DK 8302 HF")</f>
        <v>DK 8302 HF</v>
      </c>
      <c r="B169" s="9" t="str">
        <f>IFERROR(__xludf.DUMMYFUNCTION("""COMPUTED_VALUE"""),"TLPG MANGGIS")</f>
        <v>TLPG MANGGIS</v>
      </c>
      <c r="C169" s="11">
        <f>IFERROR(__xludf.DUMMYFUNCTION("""COMPUTED_VALUE"""),7.0)</f>
        <v>7</v>
      </c>
      <c r="D169" s="12">
        <v>6.0</v>
      </c>
      <c r="E169" s="34" t="s">
        <v>421</v>
      </c>
      <c r="F169" s="17"/>
      <c r="G169" s="14">
        <v>168.0</v>
      </c>
      <c r="H169" s="17" t="str">
        <f>IFERROR(__xludf.DUMMYFUNCTION("""COMPUTED_VALUE"""),"L 8099 UR")</f>
        <v>L 8099 UR</v>
      </c>
      <c r="I169" s="17" t="str">
        <f>IFERROR(__xludf.DUMMYFUNCTION("""COMPUTED_VALUE"""),"TLPG MEM GRESIK")</f>
        <v>TLPG MEM GRESIK</v>
      </c>
      <c r="J169" s="17">
        <f>IFERROR(__xludf.DUMMYFUNCTION("""COMPUTED_VALUE"""),7.0)</f>
        <v>7</v>
      </c>
    </row>
    <row r="170">
      <c r="A170" s="13" t="str">
        <f>IFERROR(__xludf.DUMMYFUNCTION("""COMPUTED_VALUE"""),"DK 8352 GZ")</f>
        <v>DK 8352 GZ</v>
      </c>
      <c r="B170" s="9" t="str">
        <f>IFERROR(__xludf.DUMMYFUNCTION("""COMPUTED_VALUE"""),"TLPG MANGGIS")</f>
        <v>TLPG MANGGIS</v>
      </c>
      <c r="C170" s="11">
        <f>IFERROR(__xludf.DUMMYFUNCTION("""COMPUTED_VALUE"""),7.0)</f>
        <v>7</v>
      </c>
      <c r="D170" s="12">
        <v>6.0</v>
      </c>
      <c r="E170" s="34" t="s">
        <v>127</v>
      </c>
      <c r="F170" s="17"/>
      <c r="G170" s="14">
        <v>169.0</v>
      </c>
      <c r="H170" s="17" t="str">
        <f>IFERROR(__xludf.DUMMYFUNCTION("""COMPUTED_VALUE"""),"DR 8304 WZ")</f>
        <v>DR 8304 WZ</v>
      </c>
      <c r="I170" s="17" t="str">
        <f>IFERROR(__xludf.DUMMYFUNCTION("""COMPUTED_VALUE"""),"TLPG BIMA")</f>
        <v>TLPG BIMA</v>
      </c>
      <c r="J170" s="17">
        <f>IFERROR(__xludf.DUMMYFUNCTION("""COMPUTED_VALUE"""),7.0)</f>
        <v>7</v>
      </c>
    </row>
    <row r="171">
      <c r="A171" s="13" t="str">
        <f>IFERROR(__xludf.DUMMYFUNCTION("""COMPUTED_VALUE"""),"DR 8304 WZ")</f>
        <v>DR 8304 WZ</v>
      </c>
      <c r="B171" s="9" t="str">
        <f>IFERROR(__xludf.DUMMYFUNCTION("""COMPUTED_VALUE"""),"TLPG BIMA")</f>
        <v>TLPG BIMA</v>
      </c>
      <c r="C171" s="11">
        <f>IFERROR(__xludf.DUMMYFUNCTION("""COMPUTED_VALUE"""),7.0)</f>
        <v>7</v>
      </c>
      <c r="D171" s="12">
        <v>7.0</v>
      </c>
      <c r="E171" s="34" t="s">
        <v>184</v>
      </c>
      <c r="F171" s="17"/>
      <c r="G171" s="14">
        <v>170.0</v>
      </c>
      <c r="H171" s="17" t="str">
        <f>IFERROR(__xludf.DUMMYFUNCTION("""COMPUTED_VALUE"""),"DR 8528 KC")</f>
        <v>DR 8528 KC</v>
      </c>
      <c r="I171" s="17" t="str">
        <f>IFERROR(__xludf.DUMMYFUNCTION("""COMPUTED_VALUE"""),"TLPG LOMBOK")</f>
        <v>TLPG LOMBOK</v>
      </c>
      <c r="J171" s="17">
        <f>IFERROR(__xludf.DUMMYFUNCTION("""COMPUTED_VALUE"""),7.0)</f>
        <v>7</v>
      </c>
    </row>
    <row r="172">
      <c r="A172" s="13" t="str">
        <f>IFERROR(__xludf.DUMMYFUNCTION("""COMPUTED_VALUE"""),"DR 8528 KC")</f>
        <v>DR 8528 KC</v>
      </c>
      <c r="B172" s="9" t="str">
        <f>IFERROR(__xludf.DUMMYFUNCTION("""COMPUTED_VALUE"""),"TLPG LOMBOK")</f>
        <v>TLPG LOMBOK</v>
      </c>
      <c r="C172" s="11">
        <f>IFERROR(__xludf.DUMMYFUNCTION("""COMPUTED_VALUE"""),7.0)</f>
        <v>7</v>
      </c>
      <c r="D172" s="12">
        <v>7.0</v>
      </c>
      <c r="E172" s="34" t="s">
        <v>385</v>
      </c>
      <c r="F172" s="17"/>
      <c r="G172" s="14">
        <v>171.0</v>
      </c>
      <c r="H172" s="17" t="str">
        <f>IFERROR(__xludf.DUMMYFUNCTION("""COMPUTED_VALUE"""),"DR 8542 AG")</f>
        <v>DR 8542 AG</v>
      </c>
      <c r="I172" s="17" t="str">
        <f>IFERROR(__xludf.DUMMYFUNCTION("""COMPUTED_VALUE"""),"TLPG LOMBOK")</f>
        <v>TLPG LOMBOK</v>
      </c>
      <c r="J172" s="17">
        <f>IFERROR(__xludf.DUMMYFUNCTION("""COMPUTED_VALUE"""),7.0)</f>
        <v>7</v>
      </c>
    </row>
    <row r="173">
      <c r="A173" s="13" t="str">
        <f>IFERROR(__xludf.DUMMYFUNCTION("""COMPUTED_VALUE"""),"DR 8542 AG")</f>
        <v>DR 8542 AG</v>
      </c>
      <c r="B173" s="9" t="str">
        <f>IFERROR(__xludf.DUMMYFUNCTION("""COMPUTED_VALUE"""),"TLPG LOMBOK")</f>
        <v>TLPG LOMBOK</v>
      </c>
      <c r="C173" s="11">
        <f>IFERROR(__xludf.DUMMYFUNCTION("""COMPUTED_VALUE"""),7.0)</f>
        <v>7</v>
      </c>
      <c r="D173" s="12">
        <v>7.0</v>
      </c>
      <c r="E173" s="34" t="s">
        <v>456</v>
      </c>
      <c r="F173" s="17"/>
      <c r="G173" s="14">
        <v>172.0</v>
      </c>
      <c r="H173" s="17" t="str">
        <f>IFERROR(__xludf.DUMMYFUNCTION("""COMPUTED_VALUE"""),"M 8016 UV")</f>
        <v>M 8016 UV</v>
      </c>
      <c r="I173" s="17" t="str">
        <f>IFERROR(__xludf.DUMMYFUNCTION("""COMPUTED_VALUE"""),"TLPG TJ PERAK")</f>
        <v>TLPG TJ PERAK</v>
      </c>
      <c r="J173" s="17">
        <f>IFERROR(__xludf.DUMMYFUNCTION("""COMPUTED_VALUE"""),7.0)</f>
        <v>7</v>
      </c>
    </row>
    <row r="174">
      <c r="A174" s="13" t="str">
        <f>IFERROR(__xludf.DUMMYFUNCTION("""COMPUTED_VALUE"""),"L 8192 UX")</f>
        <v>L 8192 UX</v>
      </c>
      <c r="B174" s="9" t="str">
        <f>IFERROR(__xludf.DUMMYFUNCTION("""COMPUTED_VALUE"""),"TLPG MEM GRESIK")</f>
        <v>TLPG MEM GRESIK</v>
      </c>
      <c r="C174" s="11">
        <f>IFERROR(__xludf.DUMMYFUNCTION("""COMPUTED_VALUE"""),7.0)</f>
        <v>7</v>
      </c>
      <c r="D174" s="12">
        <v>6.0</v>
      </c>
      <c r="E174" s="34" t="s">
        <v>307</v>
      </c>
      <c r="F174" s="17"/>
      <c r="G174" s="14">
        <v>173.0</v>
      </c>
      <c r="H174" s="17" t="str">
        <f>IFERROR(__xludf.DUMMYFUNCTION("""COMPUTED_VALUE"""),"M 8025 UN")</f>
        <v>M 8025 UN</v>
      </c>
      <c r="I174" s="17" t="str">
        <f>IFERROR(__xludf.DUMMYFUNCTION("""COMPUTED_VALUE"""),"TLPG TJ PERAK")</f>
        <v>TLPG TJ PERAK</v>
      </c>
      <c r="J174" s="17">
        <f>IFERROR(__xludf.DUMMYFUNCTION("""COMPUTED_VALUE"""),7.0)</f>
        <v>7</v>
      </c>
    </row>
    <row r="175">
      <c r="A175" s="13" t="str">
        <f>IFERROR(__xludf.DUMMYFUNCTION("""COMPUTED_VALUE"""),"L 8303 UDD")</f>
        <v>L 8303 UDD</v>
      </c>
      <c r="B175" s="9" t="str">
        <f>IFERROR(__xludf.DUMMYFUNCTION("""COMPUTED_VALUE"""),"TLPG MEM GRESIK")</f>
        <v>TLPG MEM GRESIK</v>
      </c>
      <c r="C175" s="11">
        <f>IFERROR(__xludf.DUMMYFUNCTION("""COMPUTED_VALUE"""),7.0)</f>
        <v>7</v>
      </c>
      <c r="D175" s="12">
        <v>8.0</v>
      </c>
      <c r="E175" s="34" t="s">
        <v>442</v>
      </c>
      <c r="F175" s="17"/>
      <c r="G175" s="14">
        <v>174.0</v>
      </c>
      <c r="H175" s="17" t="str">
        <f>IFERROR(__xludf.DUMMYFUNCTION("""COMPUTED_VALUE"""),"M 8978 UV")</f>
        <v>M 8978 UV</v>
      </c>
      <c r="I175" s="17" t="str">
        <f>IFERROR(__xludf.DUMMYFUNCTION("""COMPUTED_VALUE"""),"TLPG TJ PERAK")</f>
        <v>TLPG TJ PERAK</v>
      </c>
      <c r="J175" s="17">
        <f>IFERROR(__xludf.DUMMYFUNCTION("""COMPUTED_VALUE"""),7.0)</f>
        <v>7</v>
      </c>
    </row>
    <row r="176">
      <c r="A176" s="13" t="str">
        <f>IFERROR(__xludf.DUMMYFUNCTION("""COMPUTED_VALUE"""),"L 9552 UW")</f>
        <v>L 9552 UW</v>
      </c>
      <c r="B176" s="9" t="str">
        <f>IFERROR(__xludf.DUMMYFUNCTION("""COMPUTED_VALUE"""),"TLPG MEM GRESIK")</f>
        <v>TLPG MEM GRESIK</v>
      </c>
      <c r="C176" s="11">
        <f>IFERROR(__xludf.DUMMYFUNCTION("""COMPUTED_VALUE"""),7.0)</f>
        <v>7</v>
      </c>
      <c r="D176" s="12">
        <v>8.0</v>
      </c>
      <c r="E176" s="34" t="s">
        <v>226</v>
      </c>
      <c r="F176" s="17"/>
      <c r="G176" s="14">
        <v>175.0</v>
      </c>
      <c r="H176" s="17" t="str">
        <f>IFERROR(__xludf.DUMMYFUNCTION("""COMPUTED_VALUE"""),"M 9026 UV")</f>
        <v>M 9026 UV</v>
      </c>
      <c r="I176" s="17" t="str">
        <f>IFERROR(__xludf.DUMMYFUNCTION("""COMPUTED_VALUE"""),"TLPG TJ PERAK")</f>
        <v>TLPG TJ PERAK</v>
      </c>
      <c r="J176" s="17">
        <f>IFERROR(__xludf.DUMMYFUNCTION("""COMPUTED_VALUE"""),7.0)</f>
        <v>7</v>
      </c>
    </row>
    <row r="177">
      <c r="A177" s="13" t="str">
        <f>IFERROR(__xludf.DUMMYFUNCTION("""COMPUTED_VALUE"""),"M 8010 UB")</f>
        <v>M 8010 UB</v>
      </c>
      <c r="B177" s="9" t="str">
        <f>IFERROR(__xludf.DUMMYFUNCTION("""COMPUTED_VALUE"""),"TLPG TJ PERAK")</f>
        <v>TLPG TJ PERAK</v>
      </c>
      <c r="C177" s="11">
        <f>IFERROR(__xludf.DUMMYFUNCTION("""COMPUTED_VALUE"""),7.0)</f>
        <v>7</v>
      </c>
      <c r="D177" s="12">
        <v>8.0</v>
      </c>
      <c r="E177" s="34" t="s">
        <v>448</v>
      </c>
      <c r="F177" s="17"/>
      <c r="G177" s="14">
        <v>176.0</v>
      </c>
      <c r="H177" s="17" t="str">
        <f>IFERROR(__xludf.DUMMYFUNCTION("""COMPUTED_VALUE"""),"M 9028 UV")</f>
        <v>M 9028 UV</v>
      </c>
      <c r="I177" s="17" t="str">
        <f>IFERROR(__xludf.DUMMYFUNCTION("""COMPUTED_VALUE"""),"TLPG TJ PERAK")</f>
        <v>TLPG TJ PERAK</v>
      </c>
      <c r="J177" s="17">
        <f>IFERROR(__xludf.DUMMYFUNCTION("""COMPUTED_VALUE"""),7.0)</f>
        <v>7</v>
      </c>
    </row>
    <row r="178">
      <c r="A178" s="13" t="str">
        <f>IFERROR(__xludf.DUMMYFUNCTION("""COMPUTED_VALUE"""),"M 8016 UV")</f>
        <v>M 8016 UV</v>
      </c>
      <c r="B178" s="9" t="str">
        <f>IFERROR(__xludf.DUMMYFUNCTION("""COMPUTED_VALUE"""),"TLPG TJ PERAK")</f>
        <v>TLPG TJ PERAK</v>
      </c>
      <c r="C178" s="11">
        <f>IFERROR(__xludf.DUMMYFUNCTION("""COMPUTED_VALUE"""),7.0)</f>
        <v>7</v>
      </c>
      <c r="D178" s="12">
        <v>7.0</v>
      </c>
      <c r="E178" s="34" t="s">
        <v>458</v>
      </c>
      <c r="F178" s="17"/>
      <c r="G178" s="14">
        <v>177.0</v>
      </c>
      <c r="H178" s="17" t="str">
        <f>IFERROR(__xludf.DUMMYFUNCTION("""COMPUTED_VALUE"""),"M 9352 UV")</f>
        <v>M 9352 UV</v>
      </c>
      <c r="I178" s="17" t="str">
        <f>IFERROR(__xludf.DUMMYFUNCTION("""COMPUTED_VALUE"""),"TLPG TJ PERAK")</f>
        <v>TLPG TJ PERAK</v>
      </c>
      <c r="J178" s="17">
        <f>IFERROR(__xludf.DUMMYFUNCTION("""COMPUTED_VALUE"""),7.0)</f>
        <v>7</v>
      </c>
    </row>
    <row r="179">
      <c r="A179" s="13" t="str">
        <f>IFERROR(__xludf.DUMMYFUNCTION("""COMPUTED_VALUE"""),"M 8025 UN")</f>
        <v>M 8025 UN</v>
      </c>
      <c r="B179" s="9" t="str">
        <f>IFERROR(__xludf.DUMMYFUNCTION("""COMPUTED_VALUE"""),"TLPG TJ PERAK")</f>
        <v>TLPG TJ PERAK</v>
      </c>
      <c r="C179" s="11">
        <f>IFERROR(__xludf.DUMMYFUNCTION("""COMPUTED_VALUE"""),7.0)</f>
        <v>7</v>
      </c>
      <c r="D179" s="12">
        <v>7.0</v>
      </c>
      <c r="E179" s="34" t="s">
        <v>443</v>
      </c>
      <c r="F179" s="17"/>
      <c r="G179" s="14">
        <v>178.0</v>
      </c>
      <c r="H179" s="17" t="str">
        <f>IFERROR(__xludf.DUMMYFUNCTION("""COMPUTED_VALUE"""),"P 8087 GG")</f>
        <v>P 8087 GG</v>
      </c>
      <c r="I179" s="17" t="str">
        <f>IFERROR(__xludf.DUMMYFUNCTION("""COMPUTED_VALUE"""),"TLPG TJ WANGI")</f>
        <v>TLPG TJ WANGI</v>
      </c>
      <c r="J179" s="17">
        <f>IFERROR(__xludf.DUMMYFUNCTION("""COMPUTED_VALUE"""),7.0)</f>
        <v>7</v>
      </c>
    </row>
    <row r="180">
      <c r="A180" s="13" t="str">
        <f>IFERROR(__xludf.DUMMYFUNCTION("""COMPUTED_VALUE"""),"M 8068 UH")</f>
        <v>M 8068 UH</v>
      </c>
      <c r="B180" s="9" t="str">
        <f>IFERROR(__xludf.DUMMYFUNCTION("""COMPUTED_VALUE"""),"TLPG TJ PERAK")</f>
        <v>TLPG TJ PERAK</v>
      </c>
      <c r="C180" s="11">
        <f>IFERROR(__xludf.DUMMYFUNCTION("""COMPUTED_VALUE"""),7.0)</f>
        <v>7</v>
      </c>
      <c r="D180" s="12">
        <v>6.0</v>
      </c>
      <c r="E180" s="34" t="s">
        <v>427</v>
      </c>
      <c r="F180" s="17"/>
      <c r="G180" s="14">
        <v>179.0</v>
      </c>
      <c r="H180" s="17" t="str">
        <f>IFERROR(__xludf.DUMMYFUNCTION("""COMPUTED_VALUE"""),"P 8150 UF")</f>
        <v>P 8150 UF</v>
      </c>
      <c r="I180" s="17" t="str">
        <f>IFERROR(__xludf.DUMMYFUNCTION("""COMPUTED_VALUE"""),"TLPG TJ WANGI")</f>
        <v>TLPG TJ WANGI</v>
      </c>
      <c r="J180" s="17">
        <f>IFERROR(__xludf.DUMMYFUNCTION("""COMPUTED_VALUE"""),7.0)</f>
        <v>7</v>
      </c>
    </row>
    <row r="181">
      <c r="A181" s="13" t="str">
        <f>IFERROR(__xludf.DUMMYFUNCTION("""COMPUTED_VALUE"""),"M 8366 UG")</f>
        <v>M 8366 UG</v>
      </c>
      <c r="B181" s="9" t="str">
        <f>IFERROR(__xludf.DUMMYFUNCTION("""COMPUTED_VALUE"""),"TLPG TJ PERAK")</f>
        <v>TLPG TJ PERAK</v>
      </c>
      <c r="C181" s="11">
        <f>IFERROR(__xludf.DUMMYFUNCTION("""COMPUTED_VALUE"""),7.0)</f>
        <v>7</v>
      </c>
      <c r="D181" s="12">
        <v>6.0</v>
      </c>
      <c r="E181" s="34" t="s">
        <v>427</v>
      </c>
      <c r="F181" s="17"/>
      <c r="G181" s="14">
        <v>180.0</v>
      </c>
      <c r="H181" s="17" t="str">
        <f>IFERROR(__xludf.DUMMYFUNCTION("""COMPUTED_VALUE"""),"P 8257 UH")</f>
        <v>P 8257 UH</v>
      </c>
      <c r="I181" s="17" t="str">
        <f>IFERROR(__xludf.DUMMYFUNCTION("""COMPUTED_VALUE"""),"TLPG TJ WANGI")</f>
        <v>TLPG TJ WANGI</v>
      </c>
      <c r="J181" s="17">
        <f>IFERROR(__xludf.DUMMYFUNCTION("""COMPUTED_VALUE"""),7.0)</f>
        <v>7</v>
      </c>
    </row>
    <row r="182">
      <c r="A182" s="13" t="str">
        <f>IFERROR(__xludf.DUMMYFUNCTION("""COMPUTED_VALUE"""),"M 8978 UV")</f>
        <v>M 8978 UV</v>
      </c>
      <c r="B182" s="9" t="str">
        <f>IFERROR(__xludf.DUMMYFUNCTION("""COMPUTED_VALUE"""),"TLPG TJ PERAK")</f>
        <v>TLPG TJ PERAK</v>
      </c>
      <c r="C182" s="11">
        <f>IFERROR(__xludf.DUMMYFUNCTION("""COMPUTED_VALUE"""),7.0)</f>
        <v>7</v>
      </c>
      <c r="D182" s="12">
        <v>7.0</v>
      </c>
      <c r="E182" s="34" t="s">
        <v>453</v>
      </c>
      <c r="F182" s="17"/>
      <c r="G182" s="14">
        <v>181.0</v>
      </c>
      <c r="H182" s="17" t="str">
        <f>IFERROR(__xludf.DUMMYFUNCTION("""COMPUTED_VALUE"""),"B 9070 SEJ")</f>
        <v>B 9070 SEJ</v>
      </c>
      <c r="I182" s="17" t="str">
        <f>IFERROR(__xludf.DUMMYFUNCTION("""COMPUTED_VALUE"""),"TLPG TJ WANGI")</f>
        <v>TLPG TJ WANGI</v>
      </c>
      <c r="J182" s="17">
        <f>IFERROR(__xludf.DUMMYFUNCTION("""COMPUTED_VALUE"""),7.0)</f>
        <v>7</v>
      </c>
    </row>
    <row r="183">
      <c r="A183" s="13" t="str">
        <f>IFERROR(__xludf.DUMMYFUNCTION("""COMPUTED_VALUE"""),"M 9006 UV")</f>
        <v>M 9006 UV</v>
      </c>
      <c r="B183" s="9" t="str">
        <f>IFERROR(__xludf.DUMMYFUNCTION("""COMPUTED_VALUE"""),"TLPG TJ PERAK")</f>
        <v>TLPG TJ PERAK</v>
      </c>
      <c r="C183" s="11">
        <f>IFERROR(__xludf.DUMMYFUNCTION("""COMPUTED_VALUE"""),7.0)</f>
        <v>7</v>
      </c>
      <c r="D183" s="12">
        <v>8.0</v>
      </c>
      <c r="E183" s="34" t="s">
        <v>453</v>
      </c>
      <c r="F183" s="17"/>
      <c r="G183" s="14">
        <v>182.0</v>
      </c>
      <c r="H183" s="17" t="str">
        <f>IFERROR(__xludf.DUMMYFUNCTION("""COMPUTED_VALUE"""),"DK 8368 PA")</f>
        <v>DK 8368 PA</v>
      </c>
      <c r="I183" s="17" t="str">
        <f>IFERROR(__xludf.DUMMYFUNCTION("""COMPUTED_VALUE"""),"TLPG MANGGIS")</f>
        <v>TLPG MANGGIS</v>
      </c>
      <c r="J183" s="17">
        <f>IFERROR(__xludf.DUMMYFUNCTION("""COMPUTED_VALUE"""),7.0)</f>
        <v>7</v>
      </c>
    </row>
    <row r="184">
      <c r="A184" s="13" t="str">
        <f>IFERROR(__xludf.DUMMYFUNCTION("""COMPUTED_VALUE"""),"M 9026 UV")</f>
        <v>M 9026 UV</v>
      </c>
      <c r="B184" s="9" t="str">
        <f>IFERROR(__xludf.DUMMYFUNCTION("""COMPUTED_VALUE"""),"TLPG TJ PERAK")</f>
        <v>TLPG TJ PERAK</v>
      </c>
      <c r="C184" s="11">
        <f>IFERROR(__xludf.DUMMYFUNCTION("""COMPUTED_VALUE"""),7.0)</f>
        <v>7</v>
      </c>
      <c r="D184" s="12">
        <v>7.0</v>
      </c>
      <c r="E184" s="34" t="s">
        <v>458</v>
      </c>
      <c r="F184" s="17"/>
      <c r="G184" s="14">
        <v>183.0</v>
      </c>
      <c r="H184" s="17" t="str">
        <f>IFERROR(__xludf.DUMMYFUNCTION("""COMPUTED_VALUE"""),"DK 8369 PA")</f>
        <v>DK 8369 PA</v>
      </c>
      <c r="I184" s="17" t="str">
        <f>IFERROR(__xludf.DUMMYFUNCTION("""COMPUTED_VALUE"""),"TLPG MANGGIS")</f>
        <v>TLPG MANGGIS</v>
      </c>
      <c r="J184" s="17">
        <f>IFERROR(__xludf.DUMMYFUNCTION("""COMPUTED_VALUE"""),7.0)</f>
        <v>7</v>
      </c>
    </row>
    <row r="185">
      <c r="A185" s="13" t="str">
        <f>IFERROR(__xludf.DUMMYFUNCTION("""COMPUTED_VALUE"""),"M 9028 UV")</f>
        <v>M 9028 UV</v>
      </c>
      <c r="B185" s="9" t="str">
        <f>IFERROR(__xludf.DUMMYFUNCTION("""COMPUTED_VALUE"""),"TLPG TJ PERAK")</f>
        <v>TLPG TJ PERAK</v>
      </c>
      <c r="C185" s="11">
        <f>IFERROR(__xludf.DUMMYFUNCTION("""COMPUTED_VALUE"""),7.0)</f>
        <v>7</v>
      </c>
      <c r="D185" s="12">
        <v>7.0</v>
      </c>
      <c r="E185" s="34" t="s">
        <v>458</v>
      </c>
      <c r="F185" s="17"/>
      <c r="G185" s="14">
        <v>184.0</v>
      </c>
      <c r="H185" s="17" t="str">
        <f>IFERROR(__xludf.DUMMYFUNCTION("""COMPUTED_VALUE"""),"DK 8902 UW")</f>
        <v>DK 8902 UW</v>
      </c>
      <c r="I185" s="17" t="str">
        <f>IFERROR(__xludf.DUMMYFUNCTION("""COMPUTED_VALUE"""),"TLPG MANGGIS")</f>
        <v>TLPG MANGGIS</v>
      </c>
      <c r="J185" s="17">
        <f>IFERROR(__xludf.DUMMYFUNCTION("""COMPUTED_VALUE"""),7.0)</f>
        <v>7</v>
      </c>
    </row>
    <row r="186">
      <c r="A186" s="13" t="str">
        <f>IFERROR(__xludf.DUMMYFUNCTION("""COMPUTED_VALUE"""),"M 9321 UV")</f>
        <v>M 9321 UV</v>
      </c>
      <c r="B186" s="9" t="str">
        <f>IFERROR(__xludf.DUMMYFUNCTION("""COMPUTED_VALUE"""),"TLPG TJ PERAK")</f>
        <v>TLPG TJ PERAK</v>
      </c>
      <c r="C186" s="11">
        <f>IFERROR(__xludf.DUMMYFUNCTION("""COMPUTED_VALUE"""),7.0)</f>
        <v>7</v>
      </c>
      <c r="D186" s="12">
        <v>8.0</v>
      </c>
      <c r="E186" s="34" t="s">
        <v>453</v>
      </c>
      <c r="F186" s="17"/>
      <c r="G186" s="14">
        <v>185.0</v>
      </c>
      <c r="H186" s="17" t="str">
        <f>IFERROR(__xludf.DUMMYFUNCTION("""COMPUTED_VALUE"""),"DR 8653 AG")</f>
        <v>DR 8653 AG</v>
      </c>
      <c r="I186" s="17" t="str">
        <f>IFERROR(__xludf.DUMMYFUNCTION("""COMPUTED_VALUE"""),"TLPG LOMBOK")</f>
        <v>TLPG LOMBOK</v>
      </c>
      <c r="J186" s="17">
        <f>IFERROR(__xludf.DUMMYFUNCTION("""COMPUTED_VALUE"""),7.0)</f>
        <v>7</v>
      </c>
    </row>
    <row r="187">
      <c r="A187" s="13" t="str">
        <f>IFERROR(__xludf.DUMMYFUNCTION("""COMPUTED_VALUE"""),"M 9352 UV")</f>
        <v>M 9352 UV</v>
      </c>
      <c r="B187" s="9" t="str">
        <f>IFERROR(__xludf.DUMMYFUNCTION("""COMPUTED_VALUE"""),"TLPG TJ PERAK")</f>
        <v>TLPG TJ PERAK</v>
      </c>
      <c r="C187" s="11">
        <f>IFERROR(__xludf.DUMMYFUNCTION("""COMPUTED_VALUE"""),7.0)</f>
        <v>7</v>
      </c>
      <c r="D187" s="12">
        <v>7.0</v>
      </c>
      <c r="E187" s="34" t="s">
        <v>458</v>
      </c>
      <c r="F187" s="17"/>
      <c r="G187" s="14">
        <v>186.0</v>
      </c>
      <c r="H187" s="17" t="str">
        <f>IFERROR(__xludf.DUMMYFUNCTION("""COMPUTED_VALUE"""),"L 9819 UJ")</f>
        <v>L 9819 UJ</v>
      </c>
      <c r="I187" s="17" t="str">
        <f>IFERROR(__xludf.DUMMYFUNCTION("""COMPUTED_VALUE"""),"TLPG MEM GRESIK")</f>
        <v>TLPG MEM GRESIK</v>
      </c>
      <c r="J187" s="17">
        <f>IFERROR(__xludf.DUMMYFUNCTION("""COMPUTED_VALUE"""),7.0)</f>
        <v>7</v>
      </c>
    </row>
    <row r="188">
      <c r="A188" s="13" t="str">
        <f>IFERROR(__xludf.DUMMYFUNCTION("""COMPUTED_VALUE"""),"M 9489 UN")</f>
        <v>M 9489 UN</v>
      </c>
      <c r="B188" s="9" t="str">
        <f>IFERROR(__xludf.DUMMYFUNCTION("""COMPUTED_VALUE"""),"TLPG TJ PERAK")</f>
        <v>TLPG TJ PERAK</v>
      </c>
      <c r="C188" s="11">
        <f>IFERROR(__xludf.DUMMYFUNCTION("""COMPUTED_VALUE"""),7.0)</f>
        <v>7</v>
      </c>
      <c r="D188" s="12">
        <v>9.0</v>
      </c>
      <c r="E188" s="34" t="s">
        <v>443</v>
      </c>
      <c r="F188" s="17"/>
      <c r="G188" s="14">
        <v>187.0</v>
      </c>
      <c r="H188" s="17" t="str">
        <f>IFERROR(__xludf.DUMMYFUNCTION("""COMPUTED_VALUE"""),"N 8006 UT")</f>
        <v>N 8006 UT</v>
      </c>
      <c r="I188" s="17" t="str">
        <f>IFERROR(__xludf.DUMMYFUNCTION("""COMPUTED_VALUE"""),"TLPG TJ PERAK")</f>
        <v>TLPG TJ PERAK</v>
      </c>
      <c r="J188" s="17">
        <f>IFERROR(__xludf.DUMMYFUNCTION("""COMPUTED_VALUE"""),7.0)</f>
        <v>7</v>
      </c>
    </row>
    <row r="189">
      <c r="A189" s="13" t="str">
        <f>IFERROR(__xludf.DUMMYFUNCTION("""COMPUTED_VALUE"""),"M 9715 UA")</f>
        <v>M 9715 UA</v>
      </c>
      <c r="B189" s="9" t="str">
        <f>IFERROR(__xludf.DUMMYFUNCTION("""COMPUTED_VALUE"""),"TLPG TJ PERAK")</f>
        <v>TLPG TJ PERAK</v>
      </c>
      <c r="C189" s="11">
        <f>IFERROR(__xludf.DUMMYFUNCTION("""COMPUTED_VALUE"""),7.0)</f>
        <v>7</v>
      </c>
      <c r="D189" s="12">
        <v>9.0</v>
      </c>
      <c r="E189" s="34" t="s">
        <v>448</v>
      </c>
      <c r="F189" s="17"/>
      <c r="G189" s="14">
        <v>188.0</v>
      </c>
      <c r="H189" s="17" t="str">
        <f>IFERROR(__xludf.DUMMYFUNCTION("""COMPUTED_VALUE"""),"N 8041 UZ")</f>
        <v>N 8041 UZ</v>
      </c>
      <c r="I189" s="17" t="str">
        <f>IFERROR(__xludf.DUMMYFUNCTION("""COMPUTED_VALUE"""),"TLPG MEM GRESIK")</f>
        <v>TLPG MEM GRESIK</v>
      </c>
      <c r="J189" s="17">
        <f>IFERROR(__xludf.DUMMYFUNCTION("""COMPUTED_VALUE"""),7.0)</f>
        <v>7</v>
      </c>
    </row>
    <row r="190">
      <c r="A190" s="13" t="str">
        <f>IFERROR(__xludf.DUMMYFUNCTION("""COMPUTED_VALUE"""),"P 8087 GG")</f>
        <v>P 8087 GG</v>
      </c>
      <c r="B190" s="9" t="str">
        <f>IFERROR(__xludf.DUMMYFUNCTION("""COMPUTED_VALUE"""),"TLPG TJ WANGI")</f>
        <v>TLPG TJ WANGI</v>
      </c>
      <c r="C190" s="11">
        <f>IFERROR(__xludf.DUMMYFUNCTION("""COMPUTED_VALUE"""),7.0)</f>
        <v>7</v>
      </c>
      <c r="D190" s="12">
        <v>7.0</v>
      </c>
      <c r="E190" s="34" t="s">
        <v>474</v>
      </c>
      <c r="F190" s="17"/>
      <c r="G190" s="14">
        <v>189.0</v>
      </c>
      <c r="H190" s="17" t="str">
        <f>IFERROR(__xludf.DUMMYFUNCTION("""COMPUTED_VALUE"""),"B 9069 SEJ")</f>
        <v>B 9069 SEJ</v>
      </c>
      <c r="I190" s="17" t="str">
        <f>IFERROR(__xludf.DUMMYFUNCTION("""COMPUTED_VALUE"""),"TLPG TJ WANGI")</f>
        <v>TLPG TJ WANGI</v>
      </c>
      <c r="J190" s="17">
        <f>IFERROR(__xludf.DUMMYFUNCTION("""COMPUTED_VALUE"""),7.0)</f>
        <v>7</v>
      </c>
    </row>
    <row r="191">
      <c r="A191" s="13" t="str">
        <f>IFERROR(__xludf.DUMMYFUNCTION("""COMPUTED_VALUE"""),"P 8150 UF")</f>
        <v>P 8150 UF</v>
      </c>
      <c r="B191" s="9" t="str">
        <f>IFERROR(__xludf.DUMMYFUNCTION("""COMPUTED_VALUE"""),"TLPG TJ WANGI")</f>
        <v>TLPG TJ WANGI</v>
      </c>
      <c r="C191" s="11">
        <f>IFERROR(__xludf.DUMMYFUNCTION("""COMPUTED_VALUE"""),7.0)</f>
        <v>7</v>
      </c>
      <c r="D191" s="12">
        <v>7.0</v>
      </c>
      <c r="E191" s="34" t="s">
        <v>184</v>
      </c>
      <c r="F191" s="17"/>
      <c r="G191" s="14">
        <v>190.0</v>
      </c>
      <c r="H191" s="17" t="str">
        <f>IFERROR(__xludf.DUMMYFUNCTION("""COMPUTED_VALUE"""),"AG 8063 UZ")</f>
        <v>AG 8063 UZ</v>
      </c>
      <c r="I191" s="17" t="str">
        <f>IFERROR(__xludf.DUMMYFUNCTION("""COMPUTED_VALUE"""),"TLPG TJ PERAK")</f>
        <v>TLPG TJ PERAK</v>
      </c>
      <c r="J191" s="17">
        <f>IFERROR(__xludf.DUMMYFUNCTION("""COMPUTED_VALUE"""),7.0)</f>
        <v>7</v>
      </c>
    </row>
    <row r="192">
      <c r="A192" s="13" t="str">
        <f>IFERROR(__xludf.DUMMYFUNCTION("""COMPUTED_VALUE"""),"W 8921 UR")</f>
        <v>W 8921 UR</v>
      </c>
      <c r="B192" s="9" t="str">
        <f>IFERROR(__xludf.DUMMYFUNCTION("""COMPUTED_VALUE"""),"TLPG TJ PERAK")</f>
        <v>TLPG TJ PERAK</v>
      </c>
      <c r="C192" s="11">
        <f>IFERROR(__xludf.DUMMYFUNCTION("""COMPUTED_VALUE"""),7.0)</f>
        <v>7</v>
      </c>
      <c r="D192" s="12">
        <v>9.0</v>
      </c>
      <c r="E192" s="34" t="s">
        <v>451</v>
      </c>
      <c r="F192" s="17"/>
      <c r="G192" s="14">
        <v>191.0</v>
      </c>
      <c r="H192" s="17" t="str">
        <f>IFERROR(__xludf.DUMMYFUNCTION("""COMPUTED_VALUE"""),"AG 8913 UK")</f>
        <v>AG 8913 UK</v>
      </c>
      <c r="I192" s="17" t="str">
        <f>IFERROR(__xludf.DUMMYFUNCTION("""COMPUTED_VALUE"""),"TLPG TJ PERAK")</f>
        <v>TLPG TJ PERAK</v>
      </c>
      <c r="J192" s="17">
        <f>IFERROR(__xludf.DUMMYFUNCTION("""COMPUTED_VALUE"""),7.0)</f>
        <v>7</v>
      </c>
    </row>
    <row r="193">
      <c r="A193" s="13" t="str">
        <f>IFERROR(__xludf.DUMMYFUNCTION("""COMPUTED_VALUE"""),"P 8257 UH")</f>
        <v>P 8257 UH</v>
      </c>
      <c r="B193" s="9" t="str">
        <f>IFERROR(__xludf.DUMMYFUNCTION("""COMPUTED_VALUE"""),"TLPG TJ WANGI")</f>
        <v>TLPG TJ WANGI</v>
      </c>
      <c r="C193" s="11">
        <f>IFERROR(__xludf.DUMMYFUNCTION("""COMPUTED_VALUE"""),7.0)</f>
        <v>7</v>
      </c>
      <c r="D193" s="12">
        <v>7.0</v>
      </c>
      <c r="E193" s="34" t="s">
        <v>184</v>
      </c>
      <c r="F193" s="17"/>
      <c r="G193" s="14">
        <v>192.0</v>
      </c>
      <c r="H193" s="17" t="str">
        <f>IFERROR(__xludf.DUMMYFUNCTION("""COMPUTED_VALUE"""),"B 9873 SFV")</f>
        <v>B 9873 SFV</v>
      </c>
      <c r="I193" s="17" t="str">
        <f>IFERROR(__xludf.DUMMYFUNCTION("""COMPUTED_VALUE"""),"TLPG MEM GRESIK")</f>
        <v>TLPG MEM GRESIK</v>
      </c>
      <c r="J193" s="17">
        <f>IFERROR(__xludf.DUMMYFUNCTION("""COMPUTED_VALUE"""),7.0)</f>
        <v>7</v>
      </c>
    </row>
    <row r="194">
      <c r="A194" s="13" t="str">
        <f>IFERROR(__xludf.DUMMYFUNCTION("""COMPUTED_VALUE"""),"B 9070 SEJ")</f>
        <v>B 9070 SEJ</v>
      </c>
      <c r="B194" s="9" t="str">
        <f>IFERROR(__xludf.DUMMYFUNCTION("""COMPUTED_VALUE"""),"TLPG TJ WANGI")</f>
        <v>TLPG TJ WANGI</v>
      </c>
      <c r="C194" s="11">
        <f>IFERROR(__xludf.DUMMYFUNCTION("""COMPUTED_VALUE"""),7.0)</f>
        <v>7</v>
      </c>
      <c r="D194" s="12">
        <v>7.0</v>
      </c>
      <c r="E194" s="34" t="s">
        <v>184</v>
      </c>
      <c r="F194" s="17"/>
      <c r="G194" s="14">
        <v>193.0</v>
      </c>
      <c r="H194" s="17" t="str">
        <f>IFERROR(__xludf.DUMMYFUNCTION("""COMPUTED_VALUE"""),"W 8180 UQ")</f>
        <v>W 8180 UQ</v>
      </c>
      <c r="I194" s="17" t="str">
        <f>IFERROR(__xludf.DUMMYFUNCTION("""COMPUTED_VALUE"""),"TLPG TJ PERAK")</f>
        <v>TLPG TJ PERAK</v>
      </c>
      <c r="J194" s="17">
        <f>IFERROR(__xludf.DUMMYFUNCTION("""COMPUTED_VALUE"""),7.0)</f>
        <v>7</v>
      </c>
    </row>
    <row r="195">
      <c r="A195" s="13" t="str">
        <f>IFERROR(__xludf.DUMMYFUNCTION("""COMPUTED_VALUE"""),"B 9158 SFW")</f>
        <v>B 9158 SFW</v>
      </c>
      <c r="B195" s="9" t="str">
        <f>IFERROR(__xludf.DUMMYFUNCTION("""COMPUTED_VALUE"""),"TLPG MEM GRESIK")</f>
        <v>TLPG MEM GRESIK</v>
      </c>
      <c r="C195" s="11">
        <f>IFERROR(__xludf.DUMMYFUNCTION("""COMPUTED_VALUE"""),8.0)</f>
        <v>8</v>
      </c>
      <c r="D195" s="12">
        <v>9.0</v>
      </c>
      <c r="E195" s="34" t="s">
        <v>121</v>
      </c>
      <c r="F195" s="17"/>
      <c r="G195" s="14">
        <v>194.0</v>
      </c>
      <c r="H195" s="17" t="str">
        <f>IFERROR(__xludf.DUMMYFUNCTION("""COMPUTED_VALUE"""),"L 8088 UO")</f>
        <v>L 8088 UO</v>
      </c>
      <c r="I195" s="17" t="str">
        <f>IFERROR(__xludf.DUMMYFUNCTION("""COMPUTED_VALUE"""),"TLPG MEM GRESIK")</f>
        <v>TLPG MEM GRESIK</v>
      </c>
      <c r="J195" s="17">
        <f>IFERROR(__xludf.DUMMYFUNCTION("""COMPUTED_VALUE"""),8.0)</f>
        <v>8</v>
      </c>
    </row>
    <row r="196">
      <c r="A196" s="13" t="str">
        <f>IFERROR(__xludf.DUMMYFUNCTION("""COMPUTED_VALUE"""),"DK 8368 PA")</f>
        <v>DK 8368 PA</v>
      </c>
      <c r="B196" s="9" t="str">
        <f>IFERROR(__xludf.DUMMYFUNCTION("""COMPUTED_VALUE"""),"TLPG MANGGIS")</f>
        <v>TLPG MANGGIS</v>
      </c>
      <c r="C196" s="11">
        <f>IFERROR(__xludf.DUMMYFUNCTION("""COMPUTED_VALUE"""),8.0)</f>
        <v>8</v>
      </c>
      <c r="D196" s="12">
        <v>7.0</v>
      </c>
      <c r="E196" s="34" t="s">
        <v>480</v>
      </c>
      <c r="F196" s="17"/>
      <c r="G196" s="14">
        <v>195.0</v>
      </c>
      <c r="H196" s="17" t="str">
        <f>IFERROR(__xludf.DUMMYFUNCTION("""COMPUTED_VALUE"""),"L 8303 UDD")</f>
        <v>L 8303 UDD</v>
      </c>
      <c r="I196" s="17" t="str">
        <f>IFERROR(__xludf.DUMMYFUNCTION("""COMPUTED_VALUE"""),"TLPG MEM GRESIK")</f>
        <v>TLPG MEM GRESIK</v>
      </c>
      <c r="J196" s="17">
        <f>IFERROR(__xludf.DUMMYFUNCTION("""COMPUTED_VALUE"""),8.0)</f>
        <v>8</v>
      </c>
    </row>
    <row r="197">
      <c r="A197" s="13" t="str">
        <f>IFERROR(__xludf.DUMMYFUNCTION("""COMPUTED_VALUE"""),"DK 8369 PA")</f>
        <v>DK 8369 PA</v>
      </c>
      <c r="B197" s="9" t="str">
        <f>IFERROR(__xludf.DUMMYFUNCTION("""COMPUTED_VALUE"""),"TLPG MANGGIS")</f>
        <v>TLPG MANGGIS</v>
      </c>
      <c r="C197" s="11">
        <f>IFERROR(__xludf.DUMMYFUNCTION("""COMPUTED_VALUE"""),8.0)</f>
        <v>8</v>
      </c>
      <c r="D197" s="12">
        <v>7.0</v>
      </c>
      <c r="E197" s="34" t="s">
        <v>480</v>
      </c>
      <c r="F197" s="17"/>
      <c r="G197" s="14">
        <v>196.0</v>
      </c>
      <c r="H197" s="17" t="str">
        <f>IFERROR(__xludf.DUMMYFUNCTION("""COMPUTED_VALUE"""),"L 9552 UW")</f>
        <v>L 9552 UW</v>
      </c>
      <c r="I197" s="17" t="str">
        <f>IFERROR(__xludf.DUMMYFUNCTION("""COMPUTED_VALUE"""),"TLPG MEM GRESIK")</f>
        <v>TLPG MEM GRESIK</v>
      </c>
      <c r="J197" s="17">
        <f>IFERROR(__xludf.DUMMYFUNCTION("""COMPUTED_VALUE"""),8.0)</f>
        <v>8</v>
      </c>
    </row>
    <row r="198">
      <c r="A198" s="13" t="str">
        <f>IFERROR(__xludf.DUMMYFUNCTION("""COMPUTED_VALUE"""),"DK 8394 CP")</f>
        <v>DK 8394 CP</v>
      </c>
      <c r="B198" s="9" t="str">
        <f>IFERROR(__xludf.DUMMYFUNCTION("""COMPUTED_VALUE"""),"TLPG MANGGIS")</f>
        <v>TLPG MANGGIS</v>
      </c>
      <c r="C198" s="11">
        <f>IFERROR(__xludf.DUMMYFUNCTION("""COMPUTED_VALUE"""),8.0)</f>
        <v>8</v>
      </c>
      <c r="D198" s="12">
        <v>9.0</v>
      </c>
      <c r="E198" s="34" t="s">
        <v>455</v>
      </c>
      <c r="F198" s="17"/>
      <c r="G198" s="14">
        <v>197.0</v>
      </c>
      <c r="H198" s="17" t="str">
        <f>IFERROR(__xludf.DUMMYFUNCTION("""COMPUTED_VALUE"""),"M 8010 UB")</f>
        <v>M 8010 UB</v>
      </c>
      <c r="I198" s="17" t="str">
        <f>IFERROR(__xludf.DUMMYFUNCTION("""COMPUTED_VALUE"""),"TLPG TJ PERAK")</f>
        <v>TLPG TJ PERAK</v>
      </c>
      <c r="J198" s="17">
        <f>IFERROR(__xludf.DUMMYFUNCTION("""COMPUTED_VALUE"""),8.0)</f>
        <v>8</v>
      </c>
    </row>
    <row r="199">
      <c r="A199" s="13" t="str">
        <f>IFERROR(__xludf.DUMMYFUNCTION("""COMPUTED_VALUE"""),"DK 8902 UW")</f>
        <v>DK 8902 UW</v>
      </c>
      <c r="B199" s="9" t="str">
        <f>IFERROR(__xludf.DUMMYFUNCTION("""COMPUTED_VALUE"""),"TLPG MANGGIS")</f>
        <v>TLPG MANGGIS</v>
      </c>
      <c r="C199" s="11">
        <f>IFERROR(__xludf.DUMMYFUNCTION("""COMPUTED_VALUE"""),8.0)</f>
        <v>8</v>
      </c>
      <c r="D199" s="12">
        <v>7.0</v>
      </c>
      <c r="E199" s="34" t="s">
        <v>486</v>
      </c>
      <c r="F199" s="17"/>
      <c r="G199" s="14">
        <v>198.0</v>
      </c>
      <c r="H199" s="17" t="str">
        <f>IFERROR(__xludf.DUMMYFUNCTION("""COMPUTED_VALUE"""),"M 9006 UV")</f>
        <v>M 9006 UV</v>
      </c>
      <c r="I199" s="17" t="str">
        <f>IFERROR(__xludf.DUMMYFUNCTION("""COMPUTED_VALUE"""),"TLPG TJ PERAK")</f>
        <v>TLPG TJ PERAK</v>
      </c>
      <c r="J199" s="17">
        <f>IFERROR(__xludf.DUMMYFUNCTION("""COMPUTED_VALUE"""),8.0)</f>
        <v>8</v>
      </c>
    </row>
    <row r="200">
      <c r="A200" s="13" t="str">
        <f>IFERROR(__xludf.DUMMYFUNCTION("""COMPUTED_VALUE"""),"DR 8543 AG")</f>
        <v>DR 8543 AG</v>
      </c>
      <c r="B200" s="9" t="str">
        <f>IFERROR(__xludf.DUMMYFUNCTION("""COMPUTED_VALUE"""),"TLPG LOMBOK")</f>
        <v>TLPG LOMBOK</v>
      </c>
      <c r="C200" s="11">
        <f>IFERROR(__xludf.DUMMYFUNCTION("""COMPUTED_VALUE"""),8.0)</f>
        <v>8</v>
      </c>
      <c r="D200" s="12">
        <v>8.0</v>
      </c>
      <c r="E200" s="34" t="s">
        <v>456</v>
      </c>
      <c r="F200" s="17"/>
      <c r="G200" s="14">
        <v>199.0</v>
      </c>
      <c r="H200" s="17" t="str">
        <f>IFERROR(__xludf.DUMMYFUNCTION("""COMPUTED_VALUE"""),"M 9321 UV")</f>
        <v>M 9321 UV</v>
      </c>
      <c r="I200" s="17" t="str">
        <f>IFERROR(__xludf.DUMMYFUNCTION("""COMPUTED_VALUE"""),"TLPG TJ PERAK")</f>
        <v>TLPG TJ PERAK</v>
      </c>
      <c r="J200" s="17">
        <f>IFERROR(__xludf.DUMMYFUNCTION("""COMPUTED_VALUE"""),8.0)</f>
        <v>8</v>
      </c>
    </row>
    <row r="201">
      <c r="A201" s="13" t="str">
        <f>IFERROR(__xludf.DUMMYFUNCTION("""COMPUTED_VALUE"""),"DR 8653 AG")</f>
        <v>DR 8653 AG</v>
      </c>
      <c r="B201" s="9" t="str">
        <f>IFERROR(__xludf.DUMMYFUNCTION("""COMPUTED_VALUE"""),"TLPG LOMBOK")</f>
        <v>TLPG LOMBOK</v>
      </c>
      <c r="C201" s="11">
        <f>IFERROR(__xludf.DUMMYFUNCTION("""COMPUTED_VALUE"""),8.0)</f>
        <v>8</v>
      </c>
      <c r="D201" s="12">
        <v>7.0</v>
      </c>
      <c r="E201" s="34" t="s">
        <v>445</v>
      </c>
      <c r="F201" s="17"/>
      <c r="G201" s="14">
        <v>200.0</v>
      </c>
      <c r="H201" s="17" t="str">
        <f>IFERROR(__xludf.DUMMYFUNCTION("""COMPUTED_VALUE"""),"DR 8543 AG")</f>
        <v>DR 8543 AG</v>
      </c>
      <c r="I201" s="17" t="str">
        <f>IFERROR(__xludf.DUMMYFUNCTION("""COMPUTED_VALUE"""),"TLPG LOMBOK")</f>
        <v>TLPG LOMBOK</v>
      </c>
      <c r="J201" s="17">
        <f>IFERROR(__xludf.DUMMYFUNCTION("""COMPUTED_VALUE"""),8.0)</f>
        <v>8</v>
      </c>
    </row>
    <row r="202">
      <c r="A202" s="13" t="str">
        <f>IFERROR(__xludf.DUMMYFUNCTION("""COMPUTED_VALUE"""),"EA 8677 SC")</f>
        <v>EA 8677 SC</v>
      </c>
      <c r="B202" s="9" t="str">
        <f>IFERROR(__xludf.DUMMYFUNCTION("""COMPUTED_VALUE"""),"TLPG BIMA")</f>
        <v>TLPG BIMA</v>
      </c>
      <c r="C202" s="11">
        <f>IFERROR(__xludf.DUMMYFUNCTION("""COMPUTED_VALUE"""),8.0)</f>
        <v>8</v>
      </c>
      <c r="D202" s="12">
        <v>8.0</v>
      </c>
      <c r="E202" s="34" t="s">
        <v>184</v>
      </c>
      <c r="F202" s="17"/>
      <c r="G202" s="14">
        <v>201.0</v>
      </c>
      <c r="H202" s="17" t="str">
        <f>IFERROR(__xludf.DUMMYFUNCTION("""COMPUTED_VALUE"""),"EA 8677 SC")</f>
        <v>EA 8677 SC</v>
      </c>
      <c r="I202" s="17" t="str">
        <f>IFERROR(__xludf.DUMMYFUNCTION("""COMPUTED_VALUE"""),"TLPG BIMA")</f>
        <v>TLPG BIMA</v>
      </c>
      <c r="J202" s="17">
        <f>IFERROR(__xludf.DUMMYFUNCTION("""COMPUTED_VALUE"""),8.0)</f>
        <v>8</v>
      </c>
    </row>
    <row r="203">
      <c r="A203" s="13" t="str">
        <f>IFERROR(__xludf.DUMMYFUNCTION("""COMPUTED_VALUE"""),"L 8333 UCA")</f>
        <v>L 8333 UCA</v>
      </c>
      <c r="B203" s="9" t="str">
        <f>IFERROR(__xludf.DUMMYFUNCTION("""COMPUTED_VALUE"""),"TLPG TJ PERAK")</f>
        <v>TLPG TJ PERAK</v>
      </c>
      <c r="C203" s="11">
        <f>IFERROR(__xludf.DUMMYFUNCTION("""COMPUTED_VALUE"""),8.0)</f>
        <v>8</v>
      </c>
      <c r="D203" s="12">
        <v>8.0</v>
      </c>
      <c r="E203" s="34" t="s">
        <v>273</v>
      </c>
      <c r="F203" s="17"/>
      <c r="G203" s="14">
        <v>202.0</v>
      </c>
      <c r="H203" s="17" t="str">
        <f>IFERROR(__xludf.DUMMYFUNCTION("""COMPUTED_VALUE"""),"L 8333 UCA")</f>
        <v>L 8333 UCA</v>
      </c>
      <c r="I203" s="17" t="str">
        <f>IFERROR(__xludf.DUMMYFUNCTION("""COMPUTED_VALUE"""),"TLPG TJ PERAK")</f>
        <v>TLPG TJ PERAK</v>
      </c>
      <c r="J203" s="17">
        <f>IFERROR(__xludf.DUMMYFUNCTION("""COMPUTED_VALUE"""),8.0)</f>
        <v>8</v>
      </c>
    </row>
    <row r="204">
      <c r="A204" s="13" t="str">
        <f>IFERROR(__xludf.DUMMYFUNCTION("""COMPUTED_VALUE"""),"L 9819 UJ")</f>
        <v>L 9819 UJ</v>
      </c>
      <c r="B204" s="9" t="str">
        <f>IFERROR(__xludf.DUMMYFUNCTION("""COMPUTED_VALUE"""),"TLPG MEM GRESIK")</f>
        <v>TLPG MEM GRESIK</v>
      </c>
      <c r="C204" s="11">
        <f>IFERROR(__xludf.DUMMYFUNCTION("""COMPUTED_VALUE"""),8.0)</f>
        <v>8</v>
      </c>
      <c r="D204" s="12">
        <v>7.0</v>
      </c>
      <c r="E204" s="34" t="s">
        <v>83</v>
      </c>
      <c r="F204" s="17"/>
      <c r="G204" s="14">
        <v>203.0</v>
      </c>
      <c r="H204" s="17" t="str">
        <f>IFERROR(__xludf.DUMMYFUNCTION("""COMPUTED_VALUE"""),"L 9820 UJ")</f>
        <v>L 9820 UJ</v>
      </c>
      <c r="I204" s="17" t="str">
        <f>IFERROR(__xludf.DUMMYFUNCTION("""COMPUTED_VALUE"""),"TLPG MEM GRESIK")</f>
        <v>TLPG MEM GRESIK</v>
      </c>
      <c r="J204" s="17">
        <f>IFERROR(__xludf.DUMMYFUNCTION("""COMPUTED_VALUE"""),8.0)</f>
        <v>8</v>
      </c>
    </row>
    <row r="205">
      <c r="A205" s="13" t="str">
        <f>IFERROR(__xludf.DUMMYFUNCTION("""COMPUTED_VALUE"""),"L 9820 UJ")</f>
        <v>L 9820 UJ</v>
      </c>
      <c r="B205" s="9" t="str">
        <f>IFERROR(__xludf.DUMMYFUNCTION("""COMPUTED_VALUE"""),"TLPG MEM GRESIK")</f>
        <v>TLPG MEM GRESIK</v>
      </c>
      <c r="C205" s="11">
        <f>IFERROR(__xludf.DUMMYFUNCTION("""COMPUTED_VALUE"""),8.0)</f>
        <v>8</v>
      </c>
      <c r="D205" s="12">
        <v>8.0</v>
      </c>
      <c r="E205" s="34" t="s">
        <v>83</v>
      </c>
      <c r="F205" s="17"/>
      <c r="G205" s="14">
        <v>204.0</v>
      </c>
      <c r="H205" s="17" t="str">
        <f>IFERROR(__xludf.DUMMYFUNCTION("""COMPUTED_VALUE"""),"M 9728 UA")</f>
        <v>M 9728 UA</v>
      </c>
      <c r="I205" s="17" t="str">
        <f>IFERROR(__xludf.DUMMYFUNCTION("""COMPUTED_VALUE"""),"TLPG TJ PERAK")</f>
        <v>TLPG TJ PERAK</v>
      </c>
      <c r="J205" s="17">
        <f>IFERROR(__xludf.DUMMYFUNCTION("""COMPUTED_VALUE"""),8.0)</f>
        <v>8</v>
      </c>
    </row>
    <row r="206">
      <c r="A206" s="13" t="str">
        <f>IFERROR(__xludf.DUMMYFUNCTION("""COMPUTED_VALUE"""),"M 9728 UA")</f>
        <v>M 9728 UA</v>
      </c>
      <c r="B206" s="9" t="str">
        <f>IFERROR(__xludf.DUMMYFUNCTION("""COMPUTED_VALUE"""),"TLPG TJ PERAK")</f>
        <v>TLPG TJ PERAK</v>
      </c>
      <c r="C206" s="11">
        <f>IFERROR(__xludf.DUMMYFUNCTION("""COMPUTED_VALUE"""),8.0)</f>
        <v>8</v>
      </c>
      <c r="D206" s="12">
        <v>8.0</v>
      </c>
      <c r="E206" s="34" t="s">
        <v>448</v>
      </c>
      <c r="F206" s="17"/>
      <c r="G206" s="14">
        <v>205.0</v>
      </c>
      <c r="H206" s="17" t="str">
        <f>IFERROR(__xludf.DUMMYFUNCTION("""COMPUTED_VALUE"""),"M 9757 UA")</f>
        <v>M 9757 UA</v>
      </c>
      <c r="I206" s="17" t="str">
        <f>IFERROR(__xludf.DUMMYFUNCTION("""COMPUTED_VALUE"""),"TLPG TJ PERAK")</f>
        <v>TLPG TJ PERAK</v>
      </c>
      <c r="J206" s="17">
        <f>IFERROR(__xludf.DUMMYFUNCTION("""COMPUTED_VALUE"""),8.0)</f>
        <v>8</v>
      </c>
    </row>
    <row r="207">
      <c r="A207" s="13" t="str">
        <f>IFERROR(__xludf.DUMMYFUNCTION("""COMPUTED_VALUE"""),"M 9757 UA")</f>
        <v>M 9757 UA</v>
      </c>
      <c r="B207" s="9" t="str">
        <f>IFERROR(__xludf.DUMMYFUNCTION("""COMPUTED_VALUE"""),"TLPG TJ PERAK")</f>
        <v>TLPG TJ PERAK</v>
      </c>
      <c r="C207" s="11">
        <f>IFERROR(__xludf.DUMMYFUNCTION("""COMPUTED_VALUE"""),8.0)</f>
        <v>8</v>
      </c>
      <c r="D207" s="12">
        <v>8.0</v>
      </c>
      <c r="E207" s="34" t="s">
        <v>448</v>
      </c>
      <c r="F207" s="17"/>
      <c r="G207" s="14">
        <v>206.0</v>
      </c>
      <c r="H207" s="17" t="str">
        <f>IFERROR(__xludf.DUMMYFUNCTION("""COMPUTED_VALUE"""),"N 8182 EB")</f>
        <v>N 8182 EB</v>
      </c>
      <c r="I207" s="17" t="str">
        <f>IFERROR(__xludf.DUMMYFUNCTION("""COMPUTED_VALUE"""),"TLPG TJ PERAK")</f>
        <v>TLPG TJ PERAK</v>
      </c>
      <c r="J207" s="17">
        <f>IFERROR(__xludf.DUMMYFUNCTION("""COMPUTED_VALUE"""),8.0)</f>
        <v>8</v>
      </c>
    </row>
    <row r="208">
      <c r="A208" s="13" t="str">
        <f>IFERROR(__xludf.DUMMYFUNCTION("""COMPUTED_VALUE"""),"N 8006 UT")</f>
        <v>N 8006 UT</v>
      </c>
      <c r="B208" s="9" t="str">
        <f>IFERROR(__xludf.DUMMYFUNCTION("""COMPUTED_VALUE"""),"TLPG TJ PERAK")</f>
        <v>TLPG TJ PERAK</v>
      </c>
      <c r="C208" s="11">
        <f>IFERROR(__xludf.DUMMYFUNCTION("""COMPUTED_VALUE"""),8.0)</f>
        <v>8</v>
      </c>
      <c r="D208" s="12">
        <v>7.0</v>
      </c>
      <c r="E208" s="34" t="s">
        <v>462</v>
      </c>
      <c r="F208" s="17"/>
      <c r="G208" s="14">
        <v>207.0</v>
      </c>
      <c r="H208" s="17" t="str">
        <f>IFERROR(__xludf.DUMMYFUNCTION("""COMPUTED_VALUE"""),"N 8183 EB")</f>
        <v>N 8183 EB</v>
      </c>
      <c r="I208" s="17" t="str">
        <f>IFERROR(__xludf.DUMMYFUNCTION("""COMPUTED_VALUE"""),"TLPG TJ PERAK")</f>
        <v>TLPG TJ PERAK</v>
      </c>
      <c r="J208" s="17">
        <f>IFERROR(__xludf.DUMMYFUNCTION("""COMPUTED_VALUE"""),8.0)</f>
        <v>8</v>
      </c>
    </row>
    <row r="209">
      <c r="A209" s="13" t="str">
        <f>IFERROR(__xludf.DUMMYFUNCTION("""COMPUTED_VALUE"""),"N 8041 UZ")</f>
        <v>N 8041 UZ</v>
      </c>
      <c r="B209" s="9" t="str">
        <f>IFERROR(__xludf.DUMMYFUNCTION("""COMPUTED_VALUE"""),"TLPG MEM GRESIK")</f>
        <v>TLPG MEM GRESIK</v>
      </c>
      <c r="C209" s="11">
        <f>IFERROR(__xludf.DUMMYFUNCTION("""COMPUTED_VALUE"""),8.0)</f>
        <v>8</v>
      </c>
      <c r="D209" s="12">
        <v>7.0</v>
      </c>
      <c r="E209" s="34" t="s">
        <v>497</v>
      </c>
      <c r="F209" s="17"/>
      <c r="G209" s="14">
        <v>208.0</v>
      </c>
      <c r="H209" s="17" t="str">
        <f>IFERROR(__xludf.DUMMYFUNCTION("""COMPUTED_VALUE"""),"N 8299 UR")</f>
        <v>N 8299 UR</v>
      </c>
      <c r="I209" s="17" t="str">
        <f>IFERROR(__xludf.DUMMYFUNCTION("""COMPUTED_VALUE"""),"TLPG TJ PERAK")</f>
        <v>TLPG TJ PERAK</v>
      </c>
      <c r="J209" s="17">
        <f>IFERROR(__xludf.DUMMYFUNCTION("""COMPUTED_VALUE"""),8.0)</f>
        <v>8</v>
      </c>
    </row>
    <row r="210">
      <c r="A210" s="13" t="str">
        <f>IFERROR(__xludf.DUMMYFUNCTION("""COMPUTED_VALUE"""),"N 8182 EB")</f>
        <v>N 8182 EB</v>
      </c>
      <c r="B210" s="9" t="str">
        <f>IFERROR(__xludf.DUMMYFUNCTION("""COMPUTED_VALUE"""),"TLPG TJ PERAK")</f>
        <v>TLPG TJ PERAK</v>
      </c>
      <c r="C210" s="11">
        <f>IFERROR(__xludf.DUMMYFUNCTION("""COMPUTED_VALUE"""),8.0)</f>
        <v>8</v>
      </c>
      <c r="D210" s="12">
        <v>8.0</v>
      </c>
      <c r="E210" s="34" t="s">
        <v>470</v>
      </c>
      <c r="F210" s="17"/>
      <c r="G210" s="14">
        <v>209.0</v>
      </c>
      <c r="H210" s="17" t="str">
        <f>IFERROR(__xludf.DUMMYFUNCTION("""COMPUTED_VALUE"""),"N 8327 ED")</f>
        <v>N 8327 ED</v>
      </c>
      <c r="I210" s="17" t="str">
        <f>IFERROR(__xludf.DUMMYFUNCTION("""COMPUTED_VALUE"""),"TLPG TJ PERAK")</f>
        <v>TLPG TJ PERAK</v>
      </c>
      <c r="J210" s="17">
        <f>IFERROR(__xludf.DUMMYFUNCTION("""COMPUTED_VALUE"""),8.0)</f>
        <v>8</v>
      </c>
    </row>
    <row r="211">
      <c r="A211" s="13" t="str">
        <f>IFERROR(__xludf.DUMMYFUNCTION("""COMPUTED_VALUE"""),"N 8183 EB")</f>
        <v>N 8183 EB</v>
      </c>
      <c r="B211" s="9" t="str">
        <f>IFERROR(__xludf.DUMMYFUNCTION("""COMPUTED_VALUE"""),"TLPG TJ PERAK")</f>
        <v>TLPG TJ PERAK</v>
      </c>
      <c r="C211" s="11">
        <f>IFERROR(__xludf.DUMMYFUNCTION("""COMPUTED_VALUE"""),8.0)</f>
        <v>8</v>
      </c>
      <c r="D211" s="12">
        <v>8.0</v>
      </c>
      <c r="E211" s="34" t="s">
        <v>470</v>
      </c>
      <c r="F211" s="17"/>
      <c r="G211" s="14">
        <v>210.0</v>
      </c>
      <c r="H211" s="17" t="str">
        <f>IFERROR(__xludf.DUMMYFUNCTION("""COMPUTED_VALUE"""),"N 8582 UE")</f>
        <v>N 8582 UE</v>
      </c>
      <c r="I211" s="17" t="str">
        <f>IFERROR(__xludf.DUMMYFUNCTION("""COMPUTED_VALUE"""),"TLPG TJ PERAK")</f>
        <v>TLPG TJ PERAK</v>
      </c>
      <c r="J211" s="17">
        <f>IFERROR(__xludf.DUMMYFUNCTION("""COMPUTED_VALUE"""),8.0)</f>
        <v>8</v>
      </c>
    </row>
    <row r="212">
      <c r="A212" s="13" t="str">
        <f>IFERROR(__xludf.DUMMYFUNCTION("""COMPUTED_VALUE"""),"N 8299 UR")</f>
        <v>N 8299 UR</v>
      </c>
      <c r="B212" s="9" t="str">
        <f>IFERROR(__xludf.DUMMYFUNCTION("""COMPUTED_VALUE"""),"TLPG TJ PERAK")</f>
        <v>TLPG TJ PERAK</v>
      </c>
      <c r="C212" s="11">
        <f>IFERROR(__xludf.DUMMYFUNCTION("""COMPUTED_VALUE"""),8.0)</f>
        <v>8</v>
      </c>
      <c r="D212" s="12">
        <v>8.0</v>
      </c>
      <c r="E212" s="34" t="s">
        <v>475</v>
      </c>
      <c r="F212" s="17"/>
      <c r="G212" s="14">
        <v>211.0</v>
      </c>
      <c r="H212" s="17" t="str">
        <f>IFERROR(__xludf.DUMMYFUNCTION("""COMPUTED_VALUE"""),"N 8657 UV")</f>
        <v>N 8657 UV</v>
      </c>
      <c r="I212" s="17" t="str">
        <f>IFERROR(__xludf.DUMMYFUNCTION("""COMPUTED_VALUE"""),"TLPG TJ PERAK")</f>
        <v>TLPG TJ PERAK</v>
      </c>
      <c r="J212" s="17">
        <f>IFERROR(__xludf.DUMMYFUNCTION("""COMPUTED_VALUE"""),8.0)</f>
        <v>8</v>
      </c>
    </row>
    <row r="213">
      <c r="A213" s="13" t="str">
        <f>IFERROR(__xludf.DUMMYFUNCTION("""COMPUTED_VALUE"""),"N 8327 ED")</f>
        <v>N 8327 ED</v>
      </c>
      <c r="B213" s="9" t="str">
        <f>IFERROR(__xludf.DUMMYFUNCTION("""COMPUTED_VALUE"""),"TLPG TJ PERAK")</f>
        <v>TLPG TJ PERAK</v>
      </c>
      <c r="C213" s="11">
        <f>IFERROR(__xludf.DUMMYFUNCTION("""COMPUTED_VALUE"""),8.0)</f>
        <v>8</v>
      </c>
      <c r="D213" s="12">
        <v>8.0</v>
      </c>
      <c r="E213" s="34" t="s">
        <v>470</v>
      </c>
      <c r="F213" s="17"/>
      <c r="G213" s="14">
        <v>212.0</v>
      </c>
      <c r="H213" s="17" t="str">
        <f>IFERROR(__xludf.DUMMYFUNCTION("""COMPUTED_VALUE"""),"N 8660 UH")</f>
        <v>N 8660 UH</v>
      </c>
      <c r="I213" s="17" t="str">
        <f>IFERROR(__xludf.DUMMYFUNCTION("""COMPUTED_VALUE"""),"TLPG TJ PERAK")</f>
        <v>TLPG TJ PERAK</v>
      </c>
      <c r="J213" s="17">
        <f>IFERROR(__xludf.DUMMYFUNCTION("""COMPUTED_VALUE"""),8.0)</f>
        <v>8</v>
      </c>
    </row>
    <row r="214">
      <c r="A214" s="13" t="str">
        <f>IFERROR(__xludf.DUMMYFUNCTION("""COMPUTED_VALUE"""),"N 8582 UE")</f>
        <v>N 8582 UE</v>
      </c>
      <c r="B214" s="9" t="str">
        <f>IFERROR(__xludf.DUMMYFUNCTION("""COMPUTED_VALUE"""),"TLPG TJ PERAK")</f>
        <v>TLPG TJ PERAK</v>
      </c>
      <c r="C214" s="11">
        <f>IFERROR(__xludf.DUMMYFUNCTION("""COMPUTED_VALUE"""),8.0)</f>
        <v>8</v>
      </c>
      <c r="D214" s="12">
        <v>8.0</v>
      </c>
      <c r="E214" s="34" t="s">
        <v>459</v>
      </c>
      <c r="F214" s="17"/>
      <c r="G214" s="14">
        <v>213.0</v>
      </c>
      <c r="H214" s="17" t="str">
        <f>IFERROR(__xludf.DUMMYFUNCTION("""COMPUTED_VALUE"""),"N 8661 UR")</f>
        <v>N 8661 UR</v>
      </c>
      <c r="I214" s="17" t="str">
        <f>IFERROR(__xludf.DUMMYFUNCTION("""COMPUTED_VALUE"""),"TLPG TJ PERAK")</f>
        <v>TLPG TJ PERAK</v>
      </c>
      <c r="J214" s="17">
        <f>IFERROR(__xludf.DUMMYFUNCTION("""COMPUTED_VALUE"""),8.0)</f>
        <v>8</v>
      </c>
    </row>
    <row r="215">
      <c r="A215" s="13" t="str">
        <f>IFERROR(__xludf.DUMMYFUNCTION("""COMPUTED_VALUE"""),"N 8657 UV")</f>
        <v>N 8657 UV</v>
      </c>
      <c r="B215" s="9" t="str">
        <f>IFERROR(__xludf.DUMMYFUNCTION("""COMPUTED_VALUE"""),"TLPG TJ PERAK")</f>
        <v>TLPG TJ PERAK</v>
      </c>
      <c r="C215" s="11">
        <f>IFERROR(__xludf.DUMMYFUNCTION("""COMPUTED_VALUE"""),8.0)</f>
        <v>8</v>
      </c>
      <c r="D215" s="12">
        <v>8.0</v>
      </c>
      <c r="E215" s="34" t="s">
        <v>481</v>
      </c>
      <c r="F215" s="17"/>
      <c r="G215" s="14">
        <v>214.0</v>
      </c>
      <c r="H215" s="17" t="str">
        <f>IFERROR(__xludf.DUMMYFUNCTION("""COMPUTED_VALUE"""),"N 8673 UV")</f>
        <v>N 8673 UV</v>
      </c>
      <c r="I215" s="17" t="str">
        <f>IFERROR(__xludf.DUMMYFUNCTION("""COMPUTED_VALUE"""),"TLPG TJ PERAK")</f>
        <v>TLPG TJ PERAK</v>
      </c>
      <c r="J215" s="17">
        <f>IFERROR(__xludf.DUMMYFUNCTION("""COMPUTED_VALUE"""),8.0)</f>
        <v>8</v>
      </c>
    </row>
    <row r="216">
      <c r="A216" s="13" t="str">
        <f>IFERROR(__xludf.DUMMYFUNCTION("""COMPUTED_VALUE"""),"N 8660 UH")</f>
        <v>N 8660 UH</v>
      </c>
      <c r="B216" s="9" t="str">
        <f>IFERROR(__xludf.DUMMYFUNCTION("""COMPUTED_VALUE"""),"TLPG TJ PERAK")</f>
        <v>TLPG TJ PERAK</v>
      </c>
      <c r="C216" s="11">
        <f>IFERROR(__xludf.DUMMYFUNCTION("""COMPUTED_VALUE"""),8.0)</f>
        <v>8</v>
      </c>
      <c r="D216" s="12">
        <v>8.0</v>
      </c>
      <c r="E216" s="34" t="s">
        <v>459</v>
      </c>
      <c r="F216" s="17"/>
      <c r="G216" s="14">
        <v>215.0</v>
      </c>
      <c r="H216" s="17" t="str">
        <f>IFERROR(__xludf.DUMMYFUNCTION("""COMPUTED_VALUE"""),"N 8674 UV")</f>
        <v>N 8674 UV</v>
      </c>
      <c r="I216" s="17" t="str">
        <f>IFERROR(__xludf.DUMMYFUNCTION("""COMPUTED_VALUE"""),"TLPG TJ PERAK")</f>
        <v>TLPG TJ PERAK</v>
      </c>
      <c r="J216" s="17">
        <f>IFERROR(__xludf.DUMMYFUNCTION("""COMPUTED_VALUE"""),8.0)</f>
        <v>8</v>
      </c>
    </row>
    <row r="217">
      <c r="A217" s="13" t="str">
        <f>IFERROR(__xludf.DUMMYFUNCTION("""COMPUTED_VALUE"""),"N 8661 UR")</f>
        <v>N 8661 UR</v>
      </c>
      <c r="B217" s="9" t="str">
        <f>IFERROR(__xludf.DUMMYFUNCTION("""COMPUTED_VALUE"""),"TLPG TJ PERAK")</f>
        <v>TLPG TJ PERAK</v>
      </c>
      <c r="C217" s="11">
        <f>IFERROR(__xludf.DUMMYFUNCTION("""COMPUTED_VALUE"""),8.0)</f>
        <v>8</v>
      </c>
      <c r="D217" s="12">
        <v>8.0</v>
      </c>
      <c r="E217" s="34" t="s">
        <v>487</v>
      </c>
      <c r="F217" s="17"/>
      <c r="G217" s="14">
        <v>216.0</v>
      </c>
      <c r="H217" s="17" t="str">
        <f>IFERROR(__xludf.DUMMYFUNCTION("""COMPUTED_VALUE"""),"B 9874 SFV")</f>
        <v>B 9874 SFV</v>
      </c>
      <c r="I217" s="17" t="str">
        <f>IFERROR(__xludf.DUMMYFUNCTION("""COMPUTED_VALUE"""),"TLPG MEM GRESIK")</f>
        <v>TLPG MEM GRESIK</v>
      </c>
      <c r="J217" s="17">
        <f>IFERROR(__xludf.DUMMYFUNCTION("""COMPUTED_VALUE"""),8.0)</f>
        <v>8</v>
      </c>
    </row>
    <row r="218">
      <c r="A218" s="13" t="str">
        <f>IFERROR(__xludf.DUMMYFUNCTION("""COMPUTED_VALUE"""),"N 8673 UV")</f>
        <v>N 8673 UV</v>
      </c>
      <c r="B218" s="9" t="str">
        <f>IFERROR(__xludf.DUMMYFUNCTION("""COMPUTED_VALUE"""),"TLPG TJ PERAK")</f>
        <v>TLPG TJ PERAK</v>
      </c>
      <c r="C218" s="11">
        <f>IFERROR(__xludf.DUMMYFUNCTION("""COMPUTED_VALUE"""),8.0)</f>
        <v>8</v>
      </c>
      <c r="D218" s="12">
        <v>8.0</v>
      </c>
      <c r="E218" s="34" t="s">
        <v>491</v>
      </c>
      <c r="F218" s="17"/>
      <c r="G218" s="14">
        <v>217.0</v>
      </c>
      <c r="H218" s="17" t="str">
        <f>IFERROR(__xludf.DUMMYFUNCTION("""COMPUTED_VALUE"""),"DK 8100 CL")</f>
        <v>DK 8100 CL</v>
      </c>
      <c r="I218" s="17" t="str">
        <f>IFERROR(__xludf.DUMMYFUNCTION("""COMPUTED_VALUE"""),"TLPG MANGGIS")</f>
        <v>TLPG MANGGIS</v>
      </c>
      <c r="J218" s="17">
        <f>IFERROR(__xludf.DUMMYFUNCTION("""COMPUTED_VALUE"""),8.0)</f>
        <v>8</v>
      </c>
    </row>
    <row r="219">
      <c r="A219" s="13" t="str">
        <f>IFERROR(__xludf.DUMMYFUNCTION("""COMPUTED_VALUE"""),"N 8674 UV")</f>
        <v>N 8674 UV</v>
      </c>
      <c r="B219" s="9" t="str">
        <f>IFERROR(__xludf.DUMMYFUNCTION("""COMPUTED_VALUE"""),"TLPG TJ PERAK")</f>
        <v>TLPG TJ PERAK</v>
      </c>
      <c r="C219" s="11">
        <f>IFERROR(__xludf.DUMMYFUNCTION("""COMPUTED_VALUE"""),8.0)</f>
        <v>8</v>
      </c>
      <c r="D219" s="12">
        <v>8.0</v>
      </c>
      <c r="E219" s="34" t="s">
        <v>491</v>
      </c>
      <c r="F219" s="17"/>
      <c r="G219" s="14">
        <v>218.0</v>
      </c>
      <c r="H219" s="17" t="str">
        <f>IFERROR(__xludf.DUMMYFUNCTION("""COMPUTED_VALUE"""),"DK 8547 CV")</f>
        <v>DK 8547 CV</v>
      </c>
      <c r="I219" s="17" t="str">
        <f>IFERROR(__xludf.DUMMYFUNCTION("""COMPUTED_VALUE"""),"TLPG MANGGIS")</f>
        <v>TLPG MANGGIS</v>
      </c>
      <c r="J219" s="17">
        <f>IFERROR(__xludf.DUMMYFUNCTION("""COMPUTED_VALUE"""),8.0)</f>
        <v>8</v>
      </c>
    </row>
    <row r="220">
      <c r="A220" s="13" t="str">
        <f>IFERROR(__xludf.DUMMYFUNCTION("""COMPUTED_VALUE"""),"P 8256 UW")</f>
        <v>P 8256 UW</v>
      </c>
      <c r="B220" s="9" t="str">
        <f>IFERROR(__xludf.DUMMYFUNCTION("""COMPUTED_VALUE"""),"TLPG TJ WANGI")</f>
        <v>TLPG TJ WANGI</v>
      </c>
      <c r="C220" s="11">
        <f>IFERROR(__xludf.DUMMYFUNCTION("""COMPUTED_VALUE"""),8.0)</f>
        <v>8</v>
      </c>
      <c r="D220" s="12">
        <v>9.0</v>
      </c>
      <c r="E220" s="34" t="s">
        <v>184</v>
      </c>
      <c r="F220" s="17"/>
      <c r="G220" s="14">
        <v>219.0</v>
      </c>
      <c r="H220" s="17" t="str">
        <f>IFERROR(__xludf.DUMMYFUNCTION("""COMPUTED_VALUE"""),"DK 8565 BS")</f>
        <v>DK 8565 BS</v>
      </c>
      <c r="I220" s="17" t="str">
        <f>IFERROR(__xludf.DUMMYFUNCTION("""COMPUTED_VALUE"""),"TLPG MANGGIS")</f>
        <v>TLPG MANGGIS</v>
      </c>
      <c r="J220" s="17">
        <f>IFERROR(__xludf.DUMMYFUNCTION("""COMPUTED_VALUE"""),8.0)</f>
        <v>8</v>
      </c>
    </row>
    <row r="221">
      <c r="A221" s="13" t="str">
        <f>IFERROR(__xludf.DUMMYFUNCTION("""COMPUTED_VALUE"""),"P 8360 UG")</f>
        <v>P 8360 UG</v>
      </c>
      <c r="B221" s="9" t="str">
        <f>IFERROR(__xludf.DUMMYFUNCTION("""COMPUTED_VALUE"""),"TLPG TJ WANGI")</f>
        <v>TLPG TJ WANGI</v>
      </c>
      <c r="C221" s="11">
        <f>IFERROR(__xludf.DUMMYFUNCTION("""COMPUTED_VALUE"""),8.0)</f>
        <v>8</v>
      </c>
      <c r="D221" s="12">
        <v>9.0</v>
      </c>
      <c r="E221" s="34" t="s">
        <v>184</v>
      </c>
      <c r="F221" s="17"/>
      <c r="G221" s="14">
        <v>220.0</v>
      </c>
      <c r="H221" s="17" t="str">
        <f>IFERROR(__xludf.DUMMYFUNCTION("""COMPUTED_VALUE"""),"DK 8967 CA")</f>
        <v>DK 8967 CA</v>
      </c>
      <c r="I221" s="17" t="str">
        <f>IFERROR(__xludf.DUMMYFUNCTION("""COMPUTED_VALUE"""),"TLPG MANGGIS")</f>
        <v>TLPG MANGGIS</v>
      </c>
      <c r="J221" s="17">
        <f>IFERROR(__xludf.DUMMYFUNCTION("""COMPUTED_VALUE"""),8.0)</f>
        <v>8</v>
      </c>
    </row>
    <row r="222">
      <c r="A222" s="13" t="str">
        <f>IFERROR(__xludf.DUMMYFUNCTION("""COMPUTED_VALUE"""),"B 9069 SEJ")</f>
        <v>B 9069 SEJ</v>
      </c>
      <c r="B222" s="9" t="str">
        <f>IFERROR(__xludf.DUMMYFUNCTION("""COMPUTED_VALUE"""),"TLPG TJ WANGI")</f>
        <v>TLPG TJ WANGI</v>
      </c>
      <c r="C222" s="11">
        <f>IFERROR(__xludf.DUMMYFUNCTION("""COMPUTED_VALUE"""),8.0)</f>
        <v>8</v>
      </c>
      <c r="D222" s="12">
        <v>7.0</v>
      </c>
      <c r="E222" s="34" t="s">
        <v>184</v>
      </c>
      <c r="F222" s="17"/>
      <c r="G222" s="14">
        <v>221.0</v>
      </c>
      <c r="H222" s="17" t="str">
        <f>IFERROR(__xludf.DUMMYFUNCTION("""COMPUTED_VALUE"""),"DR 8654 AI")</f>
        <v>DR 8654 AI</v>
      </c>
      <c r="I222" s="17" t="str">
        <f>IFERROR(__xludf.DUMMYFUNCTION("""COMPUTED_VALUE"""),"TLPG LOMBOK")</f>
        <v>TLPG LOMBOK</v>
      </c>
      <c r="J222" s="17">
        <f>IFERROR(__xludf.DUMMYFUNCTION("""COMPUTED_VALUE"""),8.0)</f>
        <v>8</v>
      </c>
    </row>
    <row r="223">
      <c r="A223" s="13" t="str">
        <f>IFERROR(__xludf.DUMMYFUNCTION("""COMPUTED_VALUE"""),"AG 8063 UZ")</f>
        <v>AG 8063 UZ</v>
      </c>
      <c r="B223" s="9" t="str">
        <f>IFERROR(__xludf.DUMMYFUNCTION("""COMPUTED_VALUE"""),"TLPG TJ PERAK")</f>
        <v>TLPG TJ PERAK</v>
      </c>
      <c r="C223" s="11">
        <f>IFERROR(__xludf.DUMMYFUNCTION("""COMPUTED_VALUE"""),9.0)</f>
        <v>9</v>
      </c>
      <c r="D223" s="12">
        <v>7.0</v>
      </c>
      <c r="E223" s="34" t="s">
        <v>501</v>
      </c>
      <c r="F223" s="17"/>
      <c r="G223" s="14">
        <v>222.0</v>
      </c>
      <c r="H223" s="17" t="str">
        <f>IFERROR(__xludf.DUMMYFUNCTION("""COMPUTED_VALUE"""),"L 8088 UR")</f>
        <v>L 8088 UR</v>
      </c>
      <c r="I223" s="17" t="str">
        <f>IFERROR(__xludf.DUMMYFUNCTION("""COMPUTED_VALUE"""),"TLPG MEM GRESIK")</f>
        <v>TLPG MEM GRESIK</v>
      </c>
      <c r="J223" s="17">
        <f>IFERROR(__xludf.DUMMYFUNCTION("""COMPUTED_VALUE"""),9.0)</f>
        <v>9</v>
      </c>
    </row>
    <row r="224">
      <c r="A224" s="13" t="str">
        <f>IFERROR(__xludf.DUMMYFUNCTION("""COMPUTED_VALUE"""),"AG 8913 UK")</f>
        <v>AG 8913 UK</v>
      </c>
      <c r="B224" s="9" t="str">
        <f>IFERROR(__xludf.DUMMYFUNCTION("""COMPUTED_VALUE"""),"TLPG TJ PERAK")</f>
        <v>TLPG TJ PERAK</v>
      </c>
      <c r="C224" s="11">
        <f>IFERROR(__xludf.DUMMYFUNCTION("""COMPUTED_VALUE"""),9.0)</f>
        <v>9</v>
      </c>
      <c r="D224" s="12">
        <v>7.0</v>
      </c>
      <c r="E224" s="34" t="s">
        <v>505</v>
      </c>
      <c r="F224" s="17"/>
      <c r="G224" s="14">
        <v>223.0</v>
      </c>
      <c r="H224" s="17" t="str">
        <f>IFERROR(__xludf.DUMMYFUNCTION("""COMPUTED_VALUE"""),"M 9489 UN")</f>
        <v>M 9489 UN</v>
      </c>
      <c r="I224" s="17" t="str">
        <f>IFERROR(__xludf.DUMMYFUNCTION("""COMPUTED_VALUE"""),"TLPG TJ PERAK")</f>
        <v>TLPG TJ PERAK</v>
      </c>
      <c r="J224" s="17">
        <f>IFERROR(__xludf.DUMMYFUNCTION("""COMPUTED_VALUE"""),9.0)</f>
        <v>9</v>
      </c>
    </row>
    <row r="225">
      <c r="A225" s="13" t="str">
        <f>IFERROR(__xludf.DUMMYFUNCTION("""COMPUTED_VALUE"""),"B 9873 SFV")</f>
        <v>B 9873 SFV</v>
      </c>
      <c r="B225" s="9" t="str">
        <f>IFERROR(__xludf.DUMMYFUNCTION("""COMPUTED_VALUE"""),"TLPG MEM GRESIK")</f>
        <v>TLPG MEM GRESIK</v>
      </c>
      <c r="C225" s="11">
        <f>IFERROR(__xludf.DUMMYFUNCTION("""COMPUTED_VALUE"""),9.0)</f>
        <v>9</v>
      </c>
      <c r="D225" s="12">
        <v>7.0</v>
      </c>
      <c r="E225" s="34" t="s">
        <v>121</v>
      </c>
      <c r="F225" s="17"/>
      <c r="G225" s="14">
        <v>224.0</v>
      </c>
      <c r="H225" s="17" t="str">
        <f>IFERROR(__xludf.DUMMYFUNCTION("""COMPUTED_VALUE"""),"M 9715 UA")</f>
        <v>M 9715 UA</v>
      </c>
      <c r="I225" s="17" t="str">
        <f>IFERROR(__xludf.DUMMYFUNCTION("""COMPUTED_VALUE"""),"TLPG TJ PERAK")</f>
        <v>TLPG TJ PERAK</v>
      </c>
      <c r="J225" s="17">
        <f>IFERROR(__xludf.DUMMYFUNCTION("""COMPUTED_VALUE"""),9.0)</f>
        <v>9</v>
      </c>
    </row>
    <row r="226">
      <c r="A226" s="13" t="str">
        <f>IFERROR(__xludf.DUMMYFUNCTION("""COMPUTED_VALUE"""),"B 9874 SFV")</f>
        <v>B 9874 SFV</v>
      </c>
      <c r="B226" s="9" t="str">
        <f>IFERROR(__xludf.DUMMYFUNCTION("""COMPUTED_VALUE"""),"TLPG MEM GRESIK")</f>
        <v>TLPG MEM GRESIK</v>
      </c>
      <c r="C226" s="11">
        <f>IFERROR(__xludf.DUMMYFUNCTION("""COMPUTED_VALUE"""),9.0)</f>
        <v>9</v>
      </c>
      <c r="D226" s="12">
        <v>8.0</v>
      </c>
      <c r="E226" s="34" t="s">
        <v>121</v>
      </c>
      <c r="F226" s="17"/>
      <c r="G226" s="14">
        <v>225.0</v>
      </c>
      <c r="H226" s="17" t="str">
        <f>IFERROR(__xludf.DUMMYFUNCTION("""COMPUTED_VALUE"""),"W 8921 UR")</f>
        <v>W 8921 UR</v>
      </c>
      <c r="I226" s="17" t="str">
        <f>IFERROR(__xludf.DUMMYFUNCTION("""COMPUTED_VALUE"""),"TLPG TJ PERAK")</f>
        <v>TLPG TJ PERAK</v>
      </c>
      <c r="J226" s="17">
        <f>IFERROR(__xludf.DUMMYFUNCTION("""COMPUTED_VALUE"""),9.0)</f>
        <v>9</v>
      </c>
    </row>
    <row r="227">
      <c r="A227" s="13" t="str">
        <f>IFERROR(__xludf.DUMMYFUNCTION("""COMPUTED_VALUE"""),"DK 8100 CL")</f>
        <v>DK 8100 CL</v>
      </c>
      <c r="B227" s="9" t="str">
        <f>IFERROR(__xludf.DUMMYFUNCTION("""COMPUTED_VALUE"""),"TLPG MANGGIS")</f>
        <v>TLPG MANGGIS</v>
      </c>
      <c r="C227" s="11">
        <f>IFERROR(__xludf.DUMMYFUNCTION("""COMPUTED_VALUE"""),9.0)</f>
        <v>9</v>
      </c>
      <c r="D227" s="12">
        <v>8.0</v>
      </c>
      <c r="E227" s="34" t="s">
        <v>455</v>
      </c>
      <c r="F227" s="17"/>
      <c r="G227" s="14">
        <v>226.0</v>
      </c>
      <c r="H227" s="17" t="str">
        <f>IFERROR(__xludf.DUMMYFUNCTION("""COMPUTED_VALUE"""),"B 9158 SFW")</f>
        <v>B 9158 SFW</v>
      </c>
      <c r="I227" s="17" t="str">
        <f>IFERROR(__xludf.DUMMYFUNCTION("""COMPUTED_VALUE"""),"TLPG MEM GRESIK")</f>
        <v>TLPG MEM GRESIK</v>
      </c>
      <c r="J227" s="17">
        <f>IFERROR(__xludf.DUMMYFUNCTION("""COMPUTED_VALUE"""),9.0)</f>
        <v>9</v>
      </c>
    </row>
    <row r="228">
      <c r="A228" s="13" t="str">
        <f>IFERROR(__xludf.DUMMYFUNCTION("""COMPUTED_VALUE"""),"DK 8547 CV")</f>
        <v>DK 8547 CV</v>
      </c>
      <c r="B228" s="9" t="str">
        <f>IFERROR(__xludf.DUMMYFUNCTION("""COMPUTED_VALUE"""),"TLPG MANGGIS")</f>
        <v>TLPG MANGGIS</v>
      </c>
      <c r="C228" s="11">
        <f>IFERROR(__xludf.DUMMYFUNCTION("""COMPUTED_VALUE"""),9.0)</f>
        <v>9</v>
      </c>
      <c r="D228" s="12">
        <v>8.0</v>
      </c>
      <c r="E228" s="34" t="s">
        <v>455</v>
      </c>
      <c r="F228" s="17"/>
      <c r="G228" s="14">
        <v>227.0</v>
      </c>
      <c r="H228" s="17" t="str">
        <f>IFERROR(__xludf.DUMMYFUNCTION("""COMPUTED_VALUE"""),"DK 8394 CP")</f>
        <v>DK 8394 CP</v>
      </c>
      <c r="I228" s="17" t="str">
        <f>IFERROR(__xludf.DUMMYFUNCTION("""COMPUTED_VALUE"""),"TLPG MANGGIS")</f>
        <v>TLPG MANGGIS</v>
      </c>
      <c r="J228" s="17">
        <f>IFERROR(__xludf.DUMMYFUNCTION("""COMPUTED_VALUE"""),9.0)</f>
        <v>9</v>
      </c>
    </row>
    <row r="229">
      <c r="A229" s="13" t="str">
        <f>IFERROR(__xludf.DUMMYFUNCTION("""COMPUTED_VALUE"""),"DK 8565 BS")</f>
        <v>DK 8565 BS</v>
      </c>
      <c r="B229" s="9" t="str">
        <f>IFERROR(__xludf.DUMMYFUNCTION("""COMPUTED_VALUE"""),"TLPG MANGGIS")</f>
        <v>TLPG MANGGIS</v>
      </c>
      <c r="C229" s="11">
        <f>IFERROR(__xludf.DUMMYFUNCTION("""COMPUTED_VALUE"""),9.0)</f>
        <v>9</v>
      </c>
      <c r="D229" s="12">
        <v>8.0</v>
      </c>
      <c r="E229" s="34" t="s">
        <v>157</v>
      </c>
      <c r="F229" s="17"/>
      <c r="G229" s="14">
        <v>228.0</v>
      </c>
      <c r="H229" s="17" t="str">
        <f>IFERROR(__xludf.DUMMYFUNCTION("""COMPUTED_VALUE"""),"P 8256 UW")</f>
        <v>P 8256 UW</v>
      </c>
      <c r="I229" s="17" t="str">
        <f>IFERROR(__xludf.DUMMYFUNCTION("""COMPUTED_VALUE"""),"TLPG TJ WANGI")</f>
        <v>TLPG TJ WANGI</v>
      </c>
      <c r="J229" s="17">
        <f>IFERROR(__xludf.DUMMYFUNCTION("""COMPUTED_VALUE"""),9.0)</f>
        <v>9</v>
      </c>
    </row>
    <row r="230">
      <c r="A230" s="13" t="str">
        <f>IFERROR(__xludf.DUMMYFUNCTION("""COMPUTED_VALUE"""),"DK 8967 CA")</f>
        <v>DK 8967 CA</v>
      </c>
      <c r="B230" s="9" t="str">
        <f>IFERROR(__xludf.DUMMYFUNCTION("""COMPUTED_VALUE"""),"TLPG MANGGIS")</f>
        <v>TLPG MANGGIS</v>
      </c>
      <c r="C230" s="11">
        <f>IFERROR(__xludf.DUMMYFUNCTION("""COMPUTED_VALUE"""),9.0)</f>
        <v>9</v>
      </c>
      <c r="D230" s="12">
        <v>8.0</v>
      </c>
      <c r="E230" s="34" t="s">
        <v>310</v>
      </c>
      <c r="F230" s="17"/>
      <c r="G230" s="14">
        <v>229.0</v>
      </c>
      <c r="H230" s="17" t="str">
        <f>IFERROR(__xludf.DUMMYFUNCTION("""COMPUTED_VALUE"""),"P 8360 UG")</f>
        <v>P 8360 UG</v>
      </c>
      <c r="I230" s="17" t="str">
        <f>IFERROR(__xludf.DUMMYFUNCTION("""COMPUTED_VALUE"""),"TLPG TJ WANGI")</f>
        <v>TLPG TJ WANGI</v>
      </c>
      <c r="J230" s="17">
        <f>IFERROR(__xludf.DUMMYFUNCTION("""COMPUTED_VALUE"""),9.0)</f>
        <v>9</v>
      </c>
    </row>
    <row r="231">
      <c r="A231" s="13" t="str">
        <f>IFERROR(__xludf.DUMMYFUNCTION("""COMPUTED_VALUE"""),"DR 8654 AI")</f>
        <v>DR 8654 AI</v>
      </c>
      <c r="B231" s="9" t="str">
        <f>IFERROR(__xludf.DUMMYFUNCTION("""COMPUTED_VALUE"""),"TLPG LOMBOK")</f>
        <v>TLPG LOMBOK</v>
      </c>
      <c r="C231" s="11">
        <f>IFERROR(__xludf.DUMMYFUNCTION("""COMPUTED_VALUE"""),9.0)</f>
        <v>9</v>
      </c>
      <c r="D231" s="12">
        <v>8.0</v>
      </c>
      <c r="E231" s="34" t="s">
        <v>184</v>
      </c>
      <c r="F231" s="17"/>
      <c r="G231" s="14">
        <v>230.0</v>
      </c>
      <c r="H231" s="17" t="str">
        <f>IFERROR(__xludf.DUMMYFUNCTION("""COMPUTED_VALUE"""),"N 8079 US")</f>
        <v>N 8079 US</v>
      </c>
      <c r="I231" s="17" t="str">
        <f>IFERROR(__xludf.DUMMYFUNCTION("""COMPUTED_VALUE"""),"TLPG TJ PERAK")</f>
        <v>TLPG TJ PERAK</v>
      </c>
      <c r="J231" s="17">
        <f>IFERROR(__xludf.DUMMYFUNCTION("""COMPUTED_VALUE"""),9.0)</f>
        <v>9</v>
      </c>
    </row>
    <row r="232">
      <c r="A232" s="13" t="str">
        <f>IFERROR(__xludf.DUMMYFUNCTION("""COMPUTED_VALUE"""),"DR 8751 AF")</f>
        <v>DR 8751 AF</v>
      </c>
      <c r="B232" s="9" t="str">
        <f>IFERROR(__xludf.DUMMYFUNCTION("""COMPUTED_VALUE"""),"TLPG LOMBOK")</f>
        <v>TLPG LOMBOK</v>
      </c>
      <c r="C232" s="11">
        <f>IFERROR(__xludf.DUMMYFUNCTION("""COMPUTED_VALUE"""),9.0)</f>
        <v>9</v>
      </c>
      <c r="D232" s="12">
        <v>11.0</v>
      </c>
      <c r="E232" s="34" t="s">
        <v>445</v>
      </c>
      <c r="F232" s="17"/>
      <c r="G232" s="14">
        <v>231.0</v>
      </c>
      <c r="H232" s="17" t="str">
        <f>IFERROR(__xludf.DUMMYFUNCTION("""COMPUTED_VALUE"""),"N 8714 US")</f>
        <v>N 8714 US</v>
      </c>
      <c r="I232" s="17" t="str">
        <f>IFERROR(__xludf.DUMMYFUNCTION("""COMPUTED_VALUE"""),"TLPG TJ PERAK")</f>
        <v>TLPG TJ PERAK</v>
      </c>
      <c r="J232" s="17">
        <f>IFERROR(__xludf.DUMMYFUNCTION("""COMPUTED_VALUE"""),9.0)</f>
        <v>9</v>
      </c>
    </row>
    <row r="233">
      <c r="A233" s="13" t="str">
        <f>IFERROR(__xludf.DUMMYFUNCTION("""COMPUTED_VALUE"""),"EA 8678 SC")</f>
        <v>EA 8678 SC</v>
      </c>
      <c r="B233" s="9" t="str">
        <f>IFERROR(__xludf.DUMMYFUNCTION("""COMPUTED_VALUE"""),"TLPG BIMA")</f>
        <v>TLPG BIMA</v>
      </c>
      <c r="C233" s="11">
        <f>IFERROR(__xludf.DUMMYFUNCTION("""COMPUTED_VALUE"""),9.0)</f>
        <v>9</v>
      </c>
      <c r="D233" s="12">
        <v>11.0</v>
      </c>
      <c r="E233" s="34" t="s">
        <v>184</v>
      </c>
      <c r="F233" s="17"/>
      <c r="G233" s="14">
        <v>232.0</v>
      </c>
      <c r="H233" s="17" t="str">
        <f>IFERROR(__xludf.DUMMYFUNCTION("""COMPUTED_VALUE"""),"N 8776 UT")</f>
        <v>N 8776 UT</v>
      </c>
      <c r="I233" s="17" t="str">
        <f>IFERROR(__xludf.DUMMYFUNCTION("""COMPUTED_VALUE"""),"TLPG TJ PERAK")</f>
        <v>TLPG TJ PERAK</v>
      </c>
      <c r="J233" s="17">
        <f>IFERROR(__xludf.DUMMYFUNCTION("""COMPUTED_VALUE"""),9.0)</f>
        <v>9</v>
      </c>
    </row>
    <row r="234">
      <c r="A234" s="13" t="str">
        <f>IFERROR(__xludf.DUMMYFUNCTION("""COMPUTED_VALUE"""),"N 8079 US")</f>
        <v>N 8079 US</v>
      </c>
      <c r="B234" s="9" t="str">
        <f>IFERROR(__xludf.DUMMYFUNCTION("""COMPUTED_VALUE"""),"TLPG TJ PERAK")</f>
        <v>TLPG TJ PERAK</v>
      </c>
      <c r="C234" s="11">
        <f>IFERROR(__xludf.DUMMYFUNCTION("""COMPUTED_VALUE"""),9.0)</f>
        <v>9</v>
      </c>
      <c r="D234" s="12">
        <v>9.0</v>
      </c>
      <c r="E234" s="34" t="s">
        <v>460</v>
      </c>
      <c r="F234" s="17"/>
      <c r="G234" s="14">
        <v>233.0</v>
      </c>
      <c r="H234" s="17" t="str">
        <f>IFERROR(__xludf.DUMMYFUNCTION("""COMPUTED_VALUE"""),"N 8777 UG")</f>
        <v>N 8777 UG</v>
      </c>
      <c r="I234" s="17" t="str">
        <f>IFERROR(__xludf.DUMMYFUNCTION("""COMPUTED_VALUE"""),"TLPG TJ PERAK")</f>
        <v>TLPG TJ PERAK</v>
      </c>
      <c r="J234" s="17">
        <f>IFERROR(__xludf.DUMMYFUNCTION("""COMPUTED_VALUE"""),9.0)</f>
        <v>9</v>
      </c>
    </row>
    <row r="235">
      <c r="A235" s="13" t="str">
        <f>IFERROR(__xludf.DUMMYFUNCTION("""COMPUTED_VALUE"""),"N 8714 US")</f>
        <v>N 8714 US</v>
      </c>
      <c r="B235" s="9" t="str">
        <f>IFERROR(__xludf.DUMMYFUNCTION("""COMPUTED_VALUE"""),"TLPG TJ PERAK")</f>
        <v>TLPG TJ PERAK</v>
      </c>
      <c r="C235" s="11">
        <f>IFERROR(__xludf.DUMMYFUNCTION("""COMPUTED_VALUE"""),9.0)</f>
        <v>9</v>
      </c>
      <c r="D235" s="12">
        <v>9.0</v>
      </c>
      <c r="E235" s="34" t="s">
        <v>462</v>
      </c>
      <c r="F235" s="17"/>
      <c r="G235" s="14">
        <v>234.0</v>
      </c>
      <c r="H235" s="17" t="str">
        <f>IFERROR(__xludf.DUMMYFUNCTION("""COMPUTED_VALUE"""),"N 8799 UG")</f>
        <v>N 8799 UG</v>
      </c>
      <c r="I235" s="17" t="str">
        <f>IFERROR(__xludf.DUMMYFUNCTION("""COMPUTED_VALUE"""),"TLPG TJ PERAK")</f>
        <v>TLPG TJ PERAK</v>
      </c>
      <c r="J235" s="17">
        <f>IFERROR(__xludf.DUMMYFUNCTION("""COMPUTED_VALUE"""),9.0)</f>
        <v>9</v>
      </c>
    </row>
    <row r="236">
      <c r="A236" s="13" t="str">
        <f>IFERROR(__xludf.DUMMYFUNCTION("""COMPUTED_VALUE"""),"N 8776 UT")</f>
        <v>N 8776 UT</v>
      </c>
      <c r="B236" s="9" t="str">
        <f>IFERROR(__xludf.DUMMYFUNCTION("""COMPUTED_VALUE"""),"TLPG TJ PERAK")</f>
        <v>TLPG TJ PERAK</v>
      </c>
      <c r="C236" s="11">
        <f>IFERROR(__xludf.DUMMYFUNCTION("""COMPUTED_VALUE"""),9.0)</f>
        <v>9</v>
      </c>
      <c r="D236" s="12">
        <v>9.0</v>
      </c>
      <c r="E236" s="34" t="s">
        <v>465</v>
      </c>
      <c r="F236" s="17"/>
      <c r="G236" s="14">
        <v>235.0</v>
      </c>
      <c r="H236" s="17" t="str">
        <f>IFERROR(__xludf.DUMMYFUNCTION("""COMPUTED_VALUE"""),"N 9162 UV")</f>
        <v>N 9162 UV</v>
      </c>
      <c r="I236" s="17" t="str">
        <f>IFERROR(__xludf.DUMMYFUNCTION("""COMPUTED_VALUE"""),"TLPG TJ PERAK")</f>
        <v>TLPG TJ PERAK</v>
      </c>
      <c r="J236" s="17">
        <f>IFERROR(__xludf.DUMMYFUNCTION("""COMPUTED_VALUE"""),9.0)</f>
        <v>9</v>
      </c>
    </row>
    <row r="237">
      <c r="A237" s="13" t="str">
        <f>IFERROR(__xludf.DUMMYFUNCTION("""COMPUTED_VALUE"""),"N 8777 UG")</f>
        <v>N 8777 UG</v>
      </c>
      <c r="B237" s="9" t="str">
        <f>IFERROR(__xludf.DUMMYFUNCTION("""COMPUTED_VALUE"""),"TLPG TJ PERAK")</f>
        <v>TLPG TJ PERAK</v>
      </c>
      <c r="C237" s="11">
        <f>IFERROR(__xludf.DUMMYFUNCTION("""COMPUTED_VALUE"""),9.0)</f>
        <v>9</v>
      </c>
      <c r="D237" s="12">
        <v>9.0</v>
      </c>
      <c r="E237" s="34" t="s">
        <v>468</v>
      </c>
      <c r="F237" s="17"/>
      <c r="G237" s="14">
        <v>236.0</v>
      </c>
      <c r="H237" s="17" t="str">
        <f>IFERROR(__xludf.DUMMYFUNCTION("""COMPUTED_VALUE"""),"N 9262 UF")</f>
        <v>N 9262 UF</v>
      </c>
      <c r="I237" s="17" t="str">
        <f>IFERROR(__xludf.DUMMYFUNCTION("""COMPUTED_VALUE"""),"TLPG MEM GRESIK")</f>
        <v>TLPG MEM GRESIK</v>
      </c>
      <c r="J237" s="17">
        <f>IFERROR(__xludf.DUMMYFUNCTION("""COMPUTED_VALUE"""),9.0)</f>
        <v>9</v>
      </c>
    </row>
    <row r="238">
      <c r="A238" s="13" t="str">
        <f>IFERROR(__xludf.DUMMYFUNCTION("""COMPUTED_VALUE"""),"N 8799 UG")</f>
        <v>N 8799 UG</v>
      </c>
      <c r="B238" s="9" t="str">
        <f>IFERROR(__xludf.DUMMYFUNCTION("""COMPUTED_VALUE"""),"TLPG TJ PERAK")</f>
        <v>TLPG TJ PERAK</v>
      </c>
      <c r="C238" s="11">
        <f>IFERROR(__xludf.DUMMYFUNCTION("""COMPUTED_VALUE"""),9.0)</f>
        <v>9</v>
      </c>
      <c r="D238" s="12">
        <v>9.0</v>
      </c>
      <c r="E238" s="34" t="s">
        <v>460</v>
      </c>
      <c r="F238" s="17"/>
      <c r="G238" s="14">
        <v>237.0</v>
      </c>
      <c r="H238" s="17" t="str">
        <f>IFERROR(__xludf.DUMMYFUNCTION("""COMPUTED_VALUE"""),"N 9286 UN")</f>
        <v>N 9286 UN</v>
      </c>
      <c r="I238" s="17" t="str">
        <f>IFERROR(__xludf.DUMMYFUNCTION("""COMPUTED_VALUE"""),"TLPG TJ PERAK")</f>
        <v>TLPG TJ PERAK</v>
      </c>
      <c r="J238" s="17">
        <f>IFERROR(__xludf.DUMMYFUNCTION("""COMPUTED_VALUE"""),9.0)</f>
        <v>9</v>
      </c>
    </row>
    <row r="239">
      <c r="A239" s="13" t="str">
        <f>IFERROR(__xludf.DUMMYFUNCTION("""COMPUTED_VALUE"""),"N 9162 UV")</f>
        <v>N 9162 UV</v>
      </c>
      <c r="B239" s="9" t="str">
        <f>IFERROR(__xludf.DUMMYFUNCTION("""COMPUTED_VALUE"""),"TLPG TJ PERAK")</f>
        <v>TLPG TJ PERAK</v>
      </c>
      <c r="C239" s="11">
        <f>IFERROR(__xludf.DUMMYFUNCTION("""COMPUTED_VALUE"""),9.0)</f>
        <v>9</v>
      </c>
      <c r="D239" s="12">
        <v>9.0</v>
      </c>
      <c r="E239" s="34" t="s">
        <v>452</v>
      </c>
      <c r="F239" s="17"/>
      <c r="G239" s="14">
        <v>238.0</v>
      </c>
      <c r="H239" s="17" t="str">
        <f>IFERROR(__xludf.DUMMYFUNCTION("""COMPUTED_VALUE"""),"N 9344 EE")</f>
        <v>N 9344 EE</v>
      </c>
      <c r="I239" s="17" t="str">
        <f>IFERROR(__xludf.DUMMYFUNCTION("""COMPUTED_VALUE"""),"TLPG TJ PERAK")</f>
        <v>TLPG TJ PERAK</v>
      </c>
      <c r="J239" s="17">
        <f>IFERROR(__xludf.DUMMYFUNCTION("""COMPUTED_VALUE"""),9.0)</f>
        <v>9</v>
      </c>
    </row>
    <row r="240">
      <c r="A240" s="13" t="str">
        <f>IFERROR(__xludf.DUMMYFUNCTION("""COMPUTED_VALUE"""),"N 9262 UF")</f>
        <v>N 9262 UF</v>
      </c>
      <c r="B240" s="9" t="str">
        <f>IFERROR(__xludf.DUMMYFUNCTION("""COMPUTED_VALUE"""),"TLPG MEM GRESIK")</f>
        <v>TLPG MEM GRESIK</v>
      </c>
      <c r="C240" s="11">
        <f>IFERROR(__xludf.DUMMYFUNCTION("""COMPUTED_VALUE"""),9.0)</f>
        <v>9</v>
      </c>
      <c r="D240" s="12">
        <v>9.0</v>
      </c>
      <c r="E240" s="34" t="s">
        <v>452</v>
      </c>
      <c r="F240" s="17"/>
      <c r="G240" s="14">
        <v>239.0</v>
      </c>
      <c r="H240" s="17" t="str">
        <f>IFERROR(__xludf.DUMMYFUNCTION("""COMPUTED_VALUE"""),"N 9422 UU")</f>
        <v>N 9422 UU</v>
      </c>
      <c r="I240" s="17" t="str">
        <f>IFERROR(__xludf.DUMMYFUNCTION("""COMPUTED_VALUE"""),"TLPG TJ PERAK")</f>
        <v>TLPG TJ PERAK</v>
      </c>
      <c r="J240" s="17">
        <f>IFERROR(__xludf.DUMMYFUNCTION("""COMPUTED_VALUE"""),9.0)</f>
        <v>9</v>
      </c>
    </row>
    <row r="241">
      <c r="A241" s="13" t="str">
        <f>IFERROR(__xludf.DUMMYFUNCTION("""COMPUTED_VALUE"""),"N 9286 UN")</f>
        <v>N 9286 UN</v>
      </c>
      <c r="B241" s="9" t="str">
        <f>IFERROR(__xludf.DUMMYFUNCTION("""COMPUTED_VALUE"""),"TLPG TJ PERAK")</f>
        <v>TLPG TJ PERAK</v>
      </c>
      <c r="C241" s="11">
        <f>IFERROR(__xludf.DUMMYFUNCTION("""COMPUTED_VALUE"""),9.0)</f>
        <v>9</v>
      </c>
      <c r="D241" s="12">
        <v>9.0</v>
      </c>
      <c r="E241" s="34" t="s">
        <v>257</v>
      </c>
      <c r="F241" s="17"/>
      <c r="G241" s="14">
        <v>240.0</v>
      </c>
      <c r="H241" s="17" t="str">
        <f>IFERROR(__xludf.DUMMYFUNCTION("""COMPUTED_VALUE"""),"N 9424 UU")</f>
        <v>N 9424 UU</v>
      </c>
      <c r="I241" s="17" t="str">
        <f>IFERROR(__xludf.DUMMYFUNCTION("""COMPUTED_VALUE"""),"TLPG TJ PERAK")</f>
        <v>TLPG TJ PERAK</v>
      </c>
      <c r="J241" s="17">
        <f>IFERROR(__xludf.DUMMYFUNCTION("""COMPUTED_VALUE"""),9.0)</f>
        <v>9</v>
      </c>
    </row>
    <row r="242">
      <c r="A242" s="13" t="str">
        <f>IFERROR(__xludf.DUMMYFUNCTION("""COMPUTED_VALUE"""),"N 9344 EE")</f>
        <v>N 9344 EE</v>
      </c>
      <c r="B242" s="9" t="str">
        <f>IFERROR(__xludf.DUMMYFUNCTION("""COMPUTED_VALUE"""),"TLPG TJ PERAK")</f>
        <v>TLPG TJ PERAK</v>
      </c>
      <c r="C242" s="11">
        <f>IFERROR(__xludf.DUMMYFUNCTION("""COMPUTED_VALUE"""),9.0)</f>
        <v>9</v>
      </c>
      <c r="D242" s="12">
        <v>9.0</v>
      </c>
      <c r="E242" s="34" t="s">
        <v>419</v>
      </c>
      <c r="F242" s="17"/>
      <c r="G242" s="14">
        <v>241.0</v>
      </c>
      <c r="H242" s="17" t="str">
        <f>IFERROR(__xludf.DUMMYFUNCTION("""COMPUTED_VALUE"""),"B 9870 SFV")</f>
        <v>B 9870 SFV</v>
      </c>
      <c r="I242" s="17" t="str">
        <f>IFERROR(__xludf.DUMMYFUNCTION("""COMPUTED_VALUE"""),"TLPG MEM GRESIK")</f>
        <v>TLPG MEM GRESIK</v>
      </c>
      <c r="J242" s="17">
        <f>IFERROR(__xludf.DUMMYFUNCTION("""COMPUTED_VALUE"""),9.0)</f>
        <v>9</v>
      </c>
    </row>
    <row r="243">
      <c r="A243" s="13" t="str">
        <f>IFERROR(__xludf.DUMMYFUNCTION("""COMPUTED_VALUE"""),"N 9422 UU")</f>
        <v>N 9422 UU</v>
      </c>
      <c r="B243" s="9" t="str">
        <f>IFERROR(__xludf.DUMMYFUNCTION("""COMPUTED_VALUE"""),"TLPG TJ PERAK")</f>
        <v>TLPG TJ PERAK</v>
      </c>
      <c r="C243" s="11">
        <f>IFERROR(__xludf.DUMMYFUNCTION("""COMPUTED_VALUE"""),9.0)</f>
        <v>9</v>
      </c>
      <c r="D243" s="12">
        <v>9.0</v>
      </c>
      <c r="E243" s="34" t="s">
        <v>465</v>
      </c>
      <c r="F243" s="17"/>
      <c r="G243" s="14">
        <v>242.0</v>
      </c>
      <c r="H243" s="17" t="str">
        <f>IFERROR(__xludf.DUMMYFUNCTION("""COMPUTED_VALUE"""),"S 8236 UZ")</f>
        <v>S 8236 UZ</v>
      </c>
      <c r="I243" s="17" t="str">
        <f>IFERROR(__xludf.DUMMYFUNCTION("""COMPUTED_VALUE"""),"TLPG TJ PERAK")</f>
        <v>TLPG TJ PERAK</v>
      </c>
      <c r="J243" s="17">
        <f>IFERROR(__xludf.DUMMYFUNCTION("""COMPUTED_VALUE"""),9.0)</f>
        <v>9</v>
      </c>
    </row>
    <row r="244">
      <c r="A244" s="13" t="str">
        <f>IFERROR(__xludf.DUMMYFUNCTION("""COMPUTED_VALUE"""),"N 9424 UU")</f>
        <v>N 9424 UU</v>
      </c>
      <c r="B244" s="9" t="str">
        <f>IFERROR(__xludf.DUMMYFUNCTION("""COMPUTED_VALUE"""),"TLPG TJ PERAK")</f>
        <v>TLPG TJ PERAK</v>
      </c>
      <c r="C244" s="11">
        <f>IFERROR(__xludf.DUMMYFUNCTION("""COMPUTED_VALUE"""),9.0)</f>
        <v>9</v>
      </c>
      <c r="D244" s="12">
        <v>9.0</v>
      </c>
      <c r="E244" s="34" t="s">
        <v>450</v>
      </c>
      <c r="F244" s="17"/>
      <c r="G244" s="14">
        <v>243.0</v>
      </c>
      <c r="H244" s="17" t="str">
        <f>IFERROR(__xludf.DUMMYFUNCTION("""COMPUTED_VALUE"""),"S 8290 AI")</f>
        <v>S 8290 AI</v>
      </c>
      <c r="I244" s="17" t="str">
        <f>IFERROR(__xludf.DUMMYFUNCTION("""COMPUTED_VALUE"""),"TLPG TJ PERAK")</f>
        <v>TLPG TJ PERAK</v>
      </c>
      <c r="J244" s="17">
        <f>IFERROR(__xludf.DUMMYFUNCTION("""COMPUTED_VALUE"""),9.0)</f>
        <v>9</v>
      </c>
    </row>
    <row r="245">
      <c r="A245" s="13" t="str">
        <f>IFERROR(__xludf.DUMMYFUNCTION("""COMPUTED_VALUE"""),"N 9509 UG")</f>
        <v>N 9509 UG</v>
      </c>
      <c r="B245" s="9" t="str">
        <f>IFERROR(__xludf.DUMMYFUNCTION("""COMPUTED_VALUE"""),"TLPG MEM GRESIK")</f>
        <v>TLPG MEM GRESIK</v>
      </c>
      <c r="C245" s="11">
        <f>IFERROR(__xludf.DUMMYFUNCTION("""COMPUTED_VALUE"""),9.0)</f>
        <v>9</v>
      </c>
      <c r="D245" s="12">
        <v>11.0</v>
      </c>
      <c r="E245" s="34" t="s">
        <v>452</v>
      </c>
      <c r="F245" s="17"/>
      <c r="G245" s="14">
        <v>244.0</v>
      </c>
      <c r="H245" s="17" t="str">
        <f>IFERROR(__xludf.DUMMYFUNCTION("""COMPUTED_VALUE"""),"S 8672 UC")</f>
        <v>S 8672 UC</v>
      </c>
      <c r="I245" s="17" t="str">
        <f>IFERROR(__xludf.DUMMYFUNCTION("""COMPUTED_VALUE"""),"TLPG TJ PERAK")</f>
        <v>TLPG TJ PERAK</v>
      </c>
      <c r="J245" s="17">
        <f>IFERROR(__xludf.DUMMYFUNCTION("""COMPUTED_VALUE"""),9.0)</f>
        <v>9</v>
      </c>
    </row>
    <row r="246">
      <c r="A246" s="13" t="str">
        <f>IFERROR(__xludf.DUMMYFUNCTION("""COMPUTED_VALUE"""),"N 9659 UG")</f>
        <v>N 9659 UG</v>
      </c>
      <c r="B246" s="9" t="str">
        <f>IFERROR(__xludf.DUMMYFUNCTION("""COMPUTED_VALUE"""),"TLPG MEM GRESIK")</f>
        <v>TLPG MEM GRESIK</v>
      </c>
      <c r="C246" s="11">
        <f>IFERROR(__xludf.DUMMYFUNCTION("""COMPUTED_VALUE"""),9.0)</f>
        <v>9</v>
      </c>
      <c r="D246" s="12">
        <v>11.0</v>
      </c>
      <c r="E246" s="34" t="s">
        <v>452</v>
      </c>
      <c r="F246" s="17"/>
      <c r="G246" s="14">
        <v>245.0</v>
      </c>
      <c r="H246" s="17" t="str">
        <f>IFERROR(__xludf.DUMMYFUNCTION("""COMPUTED_VALUE"""),"S 8752 UC")</f>
        <v>S 8752 UC</v>
      </c>
      <c r="I246" s="17" t="str">
        <f>IFERROR(__xludf.DUMMYFUNCTION("""COMPUTED_VALUE"""),"TLPG TJ PERAK")</f>
        <v>TLPG TJ PERAK</v>
      </c>
      <c r="J246" s="17">
        <f>IFERROR(__xludf.DUMMYFUNCTION("""COMPUTED_VALUE"""),9.0)</f>
        <v>9</v>
      </c>
    </row>
    <row r="247">
      <c r="A247" s="13" t="str">
        <f>IFERROR(__xludf.DUMMYFUNCTION("""COMPUTED_VALUE"""),"P 8427 UG")</f>
        <v>P 8427 UG</v>
      </c>
      <c r="B247" s="9" t="str">
        <f>IFERROR(__xludf.DUMMYFUNCTION("""COMPUTED_VALUE"""),"TLPG TJ WANGI")</f>
        <v>TLPG TJ WANGI</v>
      </c>
      <c r="C247" s="11">
        <f>IFERROR(__xludf.DUMMYFUNCTION("""COMPUTED_VALUE"""),9.0)</f>
        <v>9</v>
      </c>
      <c r="D247" s="12">
        <v>10.0</v>
      </c>
      <c r="E247" s="34" t="s">
        <v>474</v>
      </c>
      <c r="F247" s="17"/>
      <c r="G247" s="14">
        <v>246.0</v>
      </c>
      <c r="H247" s="17" t="str">
        <f>IFERROR(__xludf.DUMMYFUNCTION("""COMPUTED_VALUE"""),"S 8943 UU")</f>
        <v>S 8943 UU</v>
      </c>
      <c r="I247" s="17" t="str">
        <f>IFERROR(__xludf.DUMMYFUNCTION("""COMPUTED_VALUE"""),"TLPG TJ PERAK")</f>
        <v>TLPG TJ PERAK</v>
      </c>
      <c r="J247" s="17">
        <f>IFERROR(__xludf.DUMMYFUNCTION("""COMPUTED_VALUE"""),9.0)</f>
        <v>9</v>
      </c>
    </row>
    <row r="248">
      <c r="A248" s="13" t="str">
        <f>IFERROR(__xludf.DUMMYFUNCTION("""COMPUTED_VALUE"""),"P 8436 UA")</f>
        <v>P 8436 UA</v>
      </c>
      <c r="B248" s="9" t="str">
        <f>IFERROR(__xludf.DUMMYFUNCTION("""COMPUTED_VALUE"""),"TLPG TJ WANGI")</f>
        <v>TLPG TJ WANGI</v>
      </c>
      <c r="C248" s="11">
        <f>IFERROR(__xludf.DUMMYFUNCTION("""COMPUTED_VALUE"""),9.0)</f>
        <v>9</v>
      </c>
      <c r="D248" s="12">
        <v>10.0</v>
      </c>
      <c r="E248" s="39" t="s">
        <v>444</v>
      </c>
      <c r="F248" s="17"/>
      <c r="G248" s="14">
        <v>247.0</v>
      </c>
      <c r="H248" s="17" t="str">
        <f>IFERROR(__xludf.DUMMYFUNCTION("""COMPUTED_VALUE"""),"S 8977 UL")</f>
        <v>S 8977 UL</v>
      </c>
      <c r="I248" s="17" t="str">
        <f>IFERROR(__xludf.DUMMYFUNCTION("""COMPUTED_VALUE"""),"TLPG TJ PERAK")</f>
        <v>TLPG TJ PERAK</v>
      </c>
      <c r="J248" s="17">
        <f>IFERROR(__xludf.DUMMYFUNCTION("""COMPUTED_VALUE"""),9.0)</f>
        <v>9</v>
      </c>
    </row>
    <row r="249">
      <c r="A249" s="13" t="str">
        <f>IFERROR(__xludf.DUMMYFUNCTION("""COMPUTED_VALUE"""),"W 9205 NY")</f>
        <v>W 9205 NY</v>
      </c>
      <c r="B249" s="9" t="str">
        <f>IFERROR(__xludf.DUMMYFUNCTION("""COMPUTED_VALUE"""),"TLPG TJ PERAK")</f>
        <v>TLPG TJ PERAK</v>
      </c>
      <c r="C249" s="11">
        <f>IFERROR(__xludf.DUMMYFUNCTION("""COMPUTED_VALUE"""),9.0)</f>
        <v>9</v>
      </c>
      <c r="D249" s="12">
        <v>11.0</v>
      </c>
      <c r="E249" s="34" t="s">
        <v>450</v>
      </c>
      <c r="F249" s="17"/>
      <c r="G249" s="14">
        <v>248.0</v>
      </c>
      <c r="H249" s="17" t="str">
        <f>IFERROR(__xludf.DUMMYFUNCTION("""COMPUTED_VALUE"""),"W 8059 UD")</f>
        <v>W 8059 UD</v>
      </c>
      <c r="I249" s="17" t="str">
        <f>IFERROR(__xludf.DUMMYFUNCTION("""COMPUTED_VALUE"""),"TLPG LOMBOK")</f>
        <v>TLPG LOMBOK</v>
      </c>
      <c r="J249" s="17">
        <f>IFERROR(__xludf.DUMMYFUNCTION("""COMPUTED_VALUE"""),9.0)</f>
        <v>9</v>
      </c>
    </row>
    <row r="250">
      <c r="A250" s="13" t="str">
        <f>IFERROR(__xludf.DUMMYFUNCTION("""COMPUTED_VALUE"""),"AG 8056 OA")</f>
        <v>AG 8056 OA</v>
      </c>
      <c r="B250" s="9" t="str">
        <f>IFERROR(__xludf.DUMMYFUNCTION("""COMPUTED_VALUE"""),"TLPG TJ PERAK")</f>
        <v>TLPG TJ PERAK</v>
      </c>
      <c r="C250" s="11">
        <f>IFERROR(__xludf.DUMMYFUNCTION("""COMPUTED_VALUE"""),10.0)</f>
        <v>10</v>
      </c>
      <c r="D250" s="12">
        <v>10.0</v>
      </c>
      <c r="E250" s="34" t="s">
        <v>450</v>
      </c>
      <c r="F250" s="17"/>
      <c r="G250" s="14">
        <v>249.0</v>
      </c>
      <c r="H250" s="17" t="str">
        <f>IFERROR(__xludf.DUMMYFUNCTION("""COMPUTED_VALUE"""),"DK 8737 DQ")</f>
        <v>DK 8737 DQ</v>
      </c>
      <c r="I250" s="17" t="str">
        <f>IFERROR(__xludf.DUMMYFUNCTION("""COMPUTED_VALUE"""),"TLPG MANGGIS")</f>
        <v>TLPG MANGGIS</v>
      </c>
      <c r="J250" s="17">
        <f>IFERROR(__xludf.DUMMYFUNCTION("""COMPUTED_VALUE"""),9.0)</f>
        <v>9</v>
      </c>
    </row>
    <row r="251">
      <c r="A251" s="13" t="str">
        <f>IFERROR(__xludf.DUMMYFUNCTION("""COMPUTED_VALUE"""),"B 9202 TEK")</f>
        <v>B 9202 TEK</v>
      </c>
      <c r="B251" s="9" t="str">
        <f>IFERROR(__xludf.DUMMYFUNCTION("""COMPUTED_VALUE"""),"TLPG MEM GRESIK")</f>
        <v>TLPG MEM GRESIK</v>
      </c>
      <c r="C251" s="11">
        <f>IFERROR(__xludf.DUMMYFUNCTION("""COMPUTED_VALUE"""),10.0)</f>
        <v>10</v>
      </c>
      <c r="D251" s="12">
        <v>10.0</v>
      </c>
      <c r="E251" s="34" t="s">
        <v>371</v>
      </c>
      <c r="F251" s="17"/>
      <c r="G251" s="14">
        <v>250.0</v>
      </c>
      <c r="H251" s="17" t="str">
        <f>IFERROR(__xludf.DUMMYFUNCTION("""COMPUTED_VALUE"""),"P 8427 UG")</f>
        <v>P 8427 UG</v>
      </c>
      <c r="I251" s="17" t="str">
        <f>IFERROR(__xludf.DUMMYFUNCTION("""COMPUTED_VALUE"""),"TLPG TJ WANGI")</f>
        <v>TLPG TJ WANGI</v>
      </c>
      <c r="J251" s="17">
        <f>IFERROR(__xludf.DUMMYFUNCTION("""COMPUTED_VALUE"""),10.0)</f>
        <v>10</v>
      </c>
    </row>
    <row r="252">
      <c r="A252" s="13" t="str">
        <f>IFERROR(__xludf.DUMMYFUNCTION("""COMPUTED_VALUE"""),"B 9870 SFV")</f>
        <v>B 9870 SFV</v>
      </c>
      <c r="B252" s="9" t="str">
        <f>IFERROR(__xludf.DUMMYFUNCTION("""COMPUTED_VALUE"""),"TLPG MEM GRESIK")</f>
        <v>TLPG MEM GRESIK</v>
      </c>
      <c r="C252" s="11">
        <f>IFERROR(__xludf.DUMMYFUNCTION("""COMPUTED_VALUE"""),10.0)</f>
        <v>10</v>
      </c>
      <c r="D252" s="12">
        <v>9.0</v>
      </c>
      <c r="E252" s="34" t="s">
        <v>121</v>
      </c>
      <c r="F252" s="17"/>
      <c r="G252" s="14">
        <v>251.0</v>
      </c>
      <c r="H252" s="17" t="str">
        <f>IFERROR(__xludf.DUMMYFUNCTION("""COMPUTED_VALUE"""),"P 8436 UA")</f>
        <v>P 8436 UA</v>
      </c>
      <c r="I252" s="17" t="str">
        <f>IFERROR(__xludf.DUMMYFUNCTION("""COMPUTED_VALUE"""),"TLPG TJ WANGI")</f>
        <v>TLPG TJ WANGI</v>
      </c>
      <c r="J252" s="17">
        <f>IFERROR(__xludf.DUMMYFUNCTION("""COMPUTED_VALUE"""),10.0)</f>
        <v>10</v>
      </c>
    </row>
    <row r="253">
      <c r="A253" s="13" t="str">
        <f>IFERROR(__xludf.DUMMYFUNCTION("""COMPUTED_VALUE"""),"DK 8305 BW")</f>
        <v>DK 8305 BW</v>
      </c>
      <c r="B253" s="9" t="str">
        <f>IFERROR(__xludf.DUMMYFUNCTION("""COMPUTED_VALUE"""),"TLPG MANGGIS")</f>
        <v>TLPG MANGGIS</v>
      </c>
      <c r="C253" s="11">
        <f>IFERROR(__xludf.DUMMYFUNCTION("""COMPUTED_VALUE"""),10.0)</f>
        <v>10</v>
      </c>
      <c r="D253" s="12">
        <v>11.0</v>
      </c>
      <c r="E253" s="34" t="s">
        <v>184</v>
      </c>
      <c r="F253" s="17"/>
      <c r="G253" s="14">
        <v>252.0</v>
      </c>
      <c r="H253" s="17" t="str">
        <f>IFERROR(__xludf.DUMMYFUNCTION("""COMPUTED_VALUE"""),"AG 8056 OA")</f>
        <v>AG 8056 OA</v>
      </c>
      <c r="I253" s="17" t="str">
        <f>IFERROR(__xludf.DUMMYFUNCTION("""COMPUTED_VALUE"""),"TLPG TJ PERAK")</f>
        <v>TLPG TJ PERAK</v>
      </c>
      <c r="J253" s="17">
        <f>IFERROR(__xludf.DUMMYFUNCTION("""COMPUTED_VALUE"""),10.0)</f>
        <v>10</v>
      </c>
    </row>
    <row r="254">
      <c r="A254" s="13" t="str">
        <f>IFERROR(__xludf.DUMMYFUNCTION("""COMPUTED_VALUE"""),"DK 8584 OL")</f>
        <v>DK 8584 OL</v>
      </c>
      <c r="B254" s="9" t="str">
        <f>IFERROR(__xludf.DUMMYFUNCTION("""COMPUTED_VALUE"""),"TLPG MANGGIS")</f>
        <v>TLPG MANGGIS</v>
      </c>
      <c r="C254" s="11">
        <f>IFERROR(__xludf.DUMMYFUNCTION("""COMPUTED_VALUE"""),10.0)</f>
        <v>10</v>
      </c>
      <c r="D254" s="12">
        <v>10.0</v>
      </c>
      <c r="E254" s="34" t="s">
        <v>446</v>
      </c>
      <c r="F254" s="17"/>
      <c r="G254" s="14">
        <v>253.0</v>
      </c>
      <c r="H254" s="17" t="str">
        <f>IFERROR(__xludf.DUMMYFUNCTION("""COMPUTED_VALUE"""),"B 9202 TEK")</f>
        <v>B 9202 TEK</v>
      </c>
      <c r="I254" s="17" t="str">
        <f>IFERROR(__xludf.DUMMYFUNCTION("""COMPUTED_VALUE"""),"TLPG MEM GRESIK")</f>
        <v>TLPG MEM GRESIK</v>
      </c>
      <c r="J254" s="17">
        <f>IFERROR(__xludf.DUMMYFUNCTION("""COMPUTED_VALUE"""),10.0)</f>
        <v>10</v>
      </c>
    </row>
    <row r="255">
      <c r="A255" s="13" t="str">
        <f>IFERROR(__xludf.DUMMYFUNCTION("""COMPUTED_VALUE"""),"DK 8587 OL")</f>
        <v>DK 8587 OL</v>
      </c>
      <c r="B255" s="9" t="str">
        <f>IFERROR(__xludf.DUMMYFUNCTION("""COMPUTED_VALUE"""),"TLPG MANGGIS")</f>
        <v>TLPG MANGGIS</v>
      </c>
      <c r="C255" s="11">
        <f>IFERROR(__xludf.DUMMYFUNCTION("""COMPUTED_VALUE"""),10.0)</f>
        <v>10</v>
      </c>
      <c r="D255" s="12">
        <v>10.0</v>
      </c>
      <c r="E255" s="34" t="s">
        <v>446</v>
      </c>
      <c r="F255" s="17"/>
      <c r="G255" s="14">
        <v>254.0</v>
      </c>
      <c r="H255" s="17" t="str">
        <f>IFERROR(__xludf.DUMMYFUNCTION("""COMPUTED_VALUE"""),"DK 8584 OL")</f>
        <v>DK 8584 OL</v>
      </c>
      <c r="I255" s="17" t="str">
        <f>IFERROR(__xludf.DUMMYFUNCTION("""COMPUTED_VALUE"""),"TLPG MANGGIS")</f>
        <v>TLPG MANGGIS</v>
      </c>
      <c r="J255" s="17">
        <f>IFERROR(__xludf.DUMMYFUNCTION("""COMPUTED_VALUE"""),10.0)</f>
        <v>10</v>
      </c>
    </row>
    <row r="256">
      <c r="A256" s="13" t="str">
        <f>IFERROR(__xludf.DUMMYFUNCTION("""COMPUTED_VALUE"""),"DK 8588 OL")</f>
        <v>DK 8588 OL</v>
      </c>
      <c r="B256" s="9" t="str">
        <f>IFERROR(__xludf.DUMMYFUNCTION("""COMPUTED_VALUE"""),"TLPG MANGGIS")</f>
        <v>TLPG MANGGIS</v>
      </c>
      <c r="C256" s="11">
        <f>IFERROR(__xludf.DUMMYFUNCTION("""COMPUTED_VALUE"""),10.0)</f>
        <v>10</v>
      </c>
      <c r="D256" s="12">
        <v>12.0</v>
      </c>
      <c r="E256" s="34" t="s">
        <v>446</v>
      </c>
      <c r="F256" s="17"/>
      <c r="G256" s="14">
        <v>255.0</v>
      </c>
      <c r="H256" s="17" t="str">
        <f>IFERROR(__xludf.DUMMYFUNCTION("""COMPUTED_VALUE"""),"DK 8587 OL")</f>
        <v>DK 8587 OL</v>
      </c>
      <c r="I256" s="17" t="str">
        <f>IFERROR(__xludf.DUMMYFUNCTION("""COMPUTED_VALUE"""),"TLPG MANGGIS")</f>
        <v>TLPG MANGGIS</v>
      </c>
      <c r="J256" s="17">
        <f>IFERROR(__xludf.DUMMYFUNCTION("""COMPUTED_VALUE"""),10.0)</f>
        <v>10</v>
      </c>
    </row>
    <row r="257">
      <c r="A257" s="13" t="str">
        <f>IFERROR(__xludf.DUMMYFUNCTION("""COMPUTED_VALUE"""),"DR 8116 WZ")</f>
        <v>DR 8116 WZ</v>
      </c>
      <c r="B257" s="9" t="str">
        <f>IFERROR(__xludf.DUMMYFUNCTION("""COMPUTED_VALUE"""),"TLPG BIMA")</f>
        <v>TLPG BIMA</v>
      </c>
      <c r="C257" s="11">
        <f>IFERROR(__xludf.DUMMYFUNCTION("""COMPUTED_VALUE"""),10.0)</f>
        <v>10</v>
      </c>
      <c r="D257" s="12">
        <v>10.0</v>
      </c>
      <c r="E257" s="34" t="s">
        <v>184</v>
      </c>
      <c r="F257" s="17"/>
      <c r="G257" s="14">
        <v>256.0</v>
      </c>
      <c r="H257" s="17" t="str">
        <f>IFERROR(__xludf.DUMMYFUNCTION("""COMPUTED_VALUE"""),"DR 8116 WZ")</f>
        <v>DR 8116 WZ</v>
      </c>
      <c r="I257" s="17" t="str">
        <f>IFERROR(__xludf.DUMMYFUNCTION("""COMPUTED_VALUE"""),"TLPG BIMA")</f>
        <v>TLPG BIMA</v>
      </c>
      <c r="J257" s="17">
        <f>IFERROR(__xludf.DUMMYFUNCTION("""COMPUTED_VALUE"""),10.0)</f>
        <v>10</v>
      </c>
    </row>
    <row r="258">
      <c r="A258" s="13" t="str">
        <f>IFERROR(__xludf.DUMMYFUNCTION("""COMPUTED_VALUE"""),"DR 8792 KC")</f>
        <v>DR 8792 KC</v>
      </c>
      <c r="B258" s="9" t="str">
        <f>IFERROR(__xludf.DUMMYFUNCTION("""COMPUTED_VALUE"""),"TLPG LOMBOK")</f>
        <v>TLPG LOMBOK</v>
      </c>
      <c r="C258" s="11">
        <f>IFERROR(__xludf.DUMMYFUNCTION("""COMPUTED_VALUE"""),10.0)</f>
        <v>10</v>
      </c>
      <c r="D258" s="12">
        <v>12.0</v>
      </c>
      <c r="E258" s="34" t="s">
        <v>142</v>
      </c>
      <c r="F258" s="17"/>
      <c r="G258" s="14">
        <v>257.0</v>
      </c>
      <c r="H258" s="17" t="str">
        <f>IFERROR(__xludf.DUMMYFUNCTION("""COMPUTED_VALUE"""),"EA 8681 SC")</f>
        <v>EA 8681 SC</v>
      </c>
      <c r="I258" s="17" t="str">
        <f>IFERROR(__xludf.DUMMYFUNCTION("""COMPUTED_VALUE"""),"TLPG BIMA")</f>
        <v>TLPG BIMA</v>
      </c>
      <c r="J258" s="17">
        <f>IFERROR(__xludf.DUMMYFUNCTION("""COMPUTED_VALUE"""),10.0)</f>
        <v>10</v>
      </c>
    </row>
    <row r="259">
      <c r="A259" s="13" t="str">
        <f>IFERROR(__xludf.DUMMYFUNCTION("""COMPUTED_VALUE"""),"EA 8681 SC")</f>
        <v>EA 8681 SC</v>
      </c>
      <c r="B259" s="9" t="str">
        <f>IFERROR(__xludf.DUMMYFUNCTION("""COMPUTED_VALUE"""),"TLPG BIMA")</f>
        <v>TLPG BIMA</v>
      </c>
      <c r="C259" s="11">
        <f>IFERROR(__xludf.DUMMYFUNCTION("""COMPUTED_VALUE"""),10.0)</f>
        <v>10</v>
      </c>
      <c r="D259" s="12">
        <v>10.0</v>
      </c>
      <c r="E259" s="34" t="s">
        <v>184</v>
      </c>
      <c r="F259" s="17"/>
      <c r="G259" s="14">
        <v>258.0</v>
      </c>
      <c r="H259" s="17" t="str">
        <f>IFERROR(__xludf.DUMMYFUNCTION("""COMPUTED_VALUE"""),"L 8115 UUC")</f>
        <v>L 8115 UUC</v>
      </c>
      <c r="I259" s="17" t="str">
        <f>IFERROR(__xludf.DUMMYFUNCTION("""COMPUTED_VALUE"""),"TLPG LOMBOK")</f>
        <v>TLPG LOMBOK</v>
      </c>
      <c r="J259" s="17">
        <f>IFERROR(__xludf.DUMMYFUNCTION("""COMPUTED_VALUE"""),10.0)</f>
        <v>10</v>
      </c>
    </row>
    <row r="260">
      <c r="A260" s="13" t="str">
        <f>IFERROR(__xludf.DUMMYFUNCTION("""COMPUTED_VALUE"""),"L 8063 UUA")</f>
        <v>L 8063 UUA</v>
      </c>
      <c r="B260" s="9" t="str">
        <f>IFERROR(__xludf.DUMMYFUNCTION("""COMPUTED_VALUE"""),"TLPG TJ PERAK")</f>
        <v>TLPG TJ PERAK</v>
      </c>
      <c r="C260" s="11">
        <f>IFERROR(__xludf.DUMMYFUNCTION("""COMPUTED_VALUE"""),10.0)</f>
        <v>10</v>
      </c>
      <c r="D260" s="12">
        <v>11.0</v>
      </c>
      <c r="E260" s="34" t="s">
        <v>459</v>
      </c>
      <c r="F260" s="17"/>
      <c r="G260" s="14">
        <v>259.0</v>
      </c>
      <c r="H260" s="17" t="str">
        <f>IFERROR(__xludf.DUMMYFUNCTION("""COMPUTED_VALUE"""),"S 7850 UN")</f>
        <v>S 7850 UN</v>
      </c>
      <c r="I260" s="17" t="str">
        <f>IFERROR(__xludf.DUMMYFUNCTION("""COMPUTED_VALUE"""),"TLPG TJ PERAK")</f>
        <v>TLPG TJ PERAK</v>
      </c>
      <c r="J260" s="17">
        <f>IFERROR(__xludf.DUMMYFUNCTION("""COMPUTED_VALUE"""),10.0)</f>
        <v>10</v>
      </c>
    </row>
    <row r="261">
      <c r="A261" s="13" t="str">
        <f>IFERROR(__xludf.DUMMYFUNCTION("""COMPUTED_VALUE"""),"L 8115 UUC")</f>
        <v>L 8115 UUC</v>
      </c>
      <c r="B261" s="9" t="str">
        <f>IFERROR(__xludf.DUMMYFUNCTION("""COMPUTED_VALUE"""),"TLPG LOMBOK")</f>
        <v>TLPG LOMBOK</v>
      </c>
      <c r="C261" s="11">
        <f>IFERROR(__xludf.DUMMYFUNCTION("""COMPUTED_VALUE"""),10.0)</f>
        <v>10</v>
      </c>
      <c r="D261" s="12">
        <v>10.0</v>
      </c>
      <c r="E261" s="34" t="s">
        <v>375</v>
      </c>
      <c r="F261" s="17"/>
      <c r="G261" s="14">
        <v>260.0</v>
      </c>
      <c r="H261" s="17" t="str">
        <f>IFERROR(__xludf.DUMMYFUNCTION("""COMPUTED_VALUE"""),"S 8052 UZ")</f>
        <v>S 8052 UZ</v>
      </c>
      <c r="I261" s="17" t="str">
        <f>IFERROR(__xludf.DUMMYFUNCTION("""COMPUTED_VALUE"""),"TLPG TJ PERAK")</f>
        <v>TLPG TJ PERAK</v>
      </c>
      <c r="J261" s="17">
        <f>IFERROR(__xludf.DUMMYFUNCTION("""COMPUTED_VALUE"""),10.0)</f>
        <v>10</v>
      </c>
    </row>
    <row r="262">
      <c r="A262" s="13" t="str">
        <f>IFERROR(__xludf.DUMMYFUNCTION("""COMPUTED_VALUE"""),"N 8469 US")</f>
        <v>N 8469 US</v>
      </c>
      <c r="B262" s="9" t="str">
        <f>IFERROR(__xludf.DUMMYFUNCTION("""COMPUTED_VALUE"""),"TLPG TJ PERAK")</f>
        <v>TLPG TJ PERAK</v>
      </c>
      <c r="C262" s="11">
        <f>IFERROR(__xludf.DUMMYFUNCTION("""COMPUTED_VALUE"""),10.0)</f>
        <v>10</v>
      </c>
      <c r="D262" s="12">
        <v>11.0</v>
      </c>
      <c r="E262" s="34" t="s">
        <v>459</v>
      </c>
      <c r="F262" s="17"/>
      <c r="G262" s="14">
        <v>261.0</v>
      </c>
      <c r="H262" s="17" t="str">
        <f>IFERROR(__xludf.DUMMYFUNCTION("""COMPUTED_VALUE"""),"S 8061 UC")</f>
        <v>S 8061 UC</v>
      </c>
      <c r="I262" s="17" t="str">
        <f>IFERROR(__xludf.DUMMYFUNCTION("""COMPUTED_VALUE"""),"TLPG TJ PERAK")</f>
        <v>TLPG TJ PERAK</v>
      </c>
      <c r="J262" s="17">
        <f>IFERROR(__xludf.DUMMYFUNCTION("""COMPUTED_VALUE"""),10.0)</f>
        <v>10</v>
      </c>
    </row>
    <row r="263">
      <c r="A263" s="13" t="str">
        <f>IFERROR(__xludf.DUMMYFUNCTION("""COMPUTED_VALUE"""),"N 8834 US")</f>
        <v>N 8834 US</v>
      </c>
      <c r="B263" s="9" t="str">
        <f>IFERROR(__xludf.DUMMYFUNCTION("""COMPUTED_VALUE"""),"TLPG TJ PERAK")</f>
        <v>TLPG TJ PERAK</v>
      </c>
      <c r="C263" s="11">
        <f>IFERROR(__xludf.DUMMYFUNCTION("""COMPUTED_VALUE"""),10.0)</f>
        <v>10</v>
      </c>
      <c r="D263" s="12">
        <v>11.0</v>
      </c>
      <c r="E263" s="34" t="s">
        <v>419</v>
      </c>
      <c r="F263" s="17"/>
      <c r="G263" s="14">
        <v>262.0</v>
      </c>
      <c r="H263" s="17" t="str">
        <f>IFERROR(__xludf.DUMMYFUNCTION("""COMPUTED_VALUE"""),"S 8104 UH")</f>
        <v>S 8104 UH</v>
      </c>
      <c r="I263" s="17" t="str">
        <f>IFERROR(__xludf.DUMMYFUNCTION("""COMPUTED_VALUE"""),"TLPG TJ PERAK")</f>
        <v>TLPG TJ PERAK</v>
      </c>
      <c r="J263" s="17">
        <f>IFERROR(__xludf.DUMMYFUNCTION("""COMPUTED_VALUE"""),10.0)</f>
        <v>10</v>
      </c>
    </row>
    <row r="264">
      <c r="A264" s="13" t="str">
        <f>IFERROR(__xludf.DUMMYFUNCTION("""COMPUTED_VALUE"""),"N 9425 UU")</f>
        <v>N 9425 UU</v>
      </c>
      <c r="B264" s="9" t="str">
        <f>IFERROR(__xludf.DUMMYFUNCTION("""COMPUTED_VALUE"""),"TLPG TJ PERAK")</f>
        <v>TLPG TJ PERAK</v>
      </c>
      <c r="C264" s="11">
        <f>IFERROR(__xludf.DUMMYFUNCTION("""COMPUTED_VALUE"""),10.0)</f>
        <v>10</v>
      </c>
      <c r="D264" s="12">
        <v>11.0</v>
      </c>
      <c r="E264" s="34" t="s">
        <v>452</v>
      </c>
      <c r="F264" s="17"/>
      <c r="G264" s="14">
        <v>263.0</v>
      </c>
      <c r="H264" s="17" t="str">
        <f>IFERROR(__xludf.DUMMYFUNCTION("""COMPUTED_VALUE"""),"S 8141 UZ")</f>
        <v>S 8141 UZ</v>
      </c>
      <c r="I264" s="17" t="str">
        <f>IFERROR(__xludf.DUMMYFUNCTION("""COMPUTED_VALUE"""),"TLPG TJ PERAK")</f>
        <v>TLPG TJ PERAK</v>
      </c>
      <c r="J264" s="17">
        <f>IFERROR(__xludf.DUMMYFUNCTION("""COMPUTED_VALUE"""),10.0)</f>
        <v>10</v>
      </c>
    </row>
    <row r="265">
      <c r="A265" s="13" t="str">
        <f>IFERROR(__xludf.DUMMYFUNCTION("""COMPUTED_VALUE"""),"N 9478 UG")</f>
        <v>N 9478 UG</v>
      </c>
      <c r="B265" s="9" t="str">
        <f>IFERROR(__xludf.DUMMYFUNCTION("""COMPUTED_VALUE"""),"TLPG TJ PERAK")</f>
        <v>TLPG TJ PERAK</v>
      </c>
      <c r="C265" s="11">
        <f>IFERROR(__xludf.DUMMYFUNCTION("""COMPUTED_VALUE"""),10.0)</f>
        <v>10</v>
      </c>
      <c r="D265" s="12">
        <v>12.0</v>
      </c>
      <c r="E265" s="34" t="s">
        <v>271</v>
      </c>
      <c r="F265" s="17"/>
      <c r="G265" s="14">
        <v>264.0</v>
      </c>
      <c r="H265" s="17" t="str">
        <f>IFERROR(__xludf.DUMMYFUNCTION("""COMPUTED_VALUE"""),"B 9113 SEI")</f>
        <v>B 9113 SEI</v>
      </c>
      <c r="I265" s="17" t="str">
        <f>IFERROR(__xludf.DUMMYFUNCTION("""COMPUTED_VALUE"""),"TLPG MEM GRESIK")</f>
        <v>TLPG MEM GRESIK</v>
      </c>
      <c r="J265" s="17">
        <f>IFERROR(__xludf.DUMMYFUNCTION("""COMPUTED_VALUE"""),10.0)</f>
        <v>10</v>
      </c>
    </row>
    <row r="266">
      <c r="A266" s="13" t="str">
        <f>IFERROR(__xludf.DUMMYFUNCTION("""COMPUTED_VALUE"""),"N 9578 US")</f>
        <v>N 9578 US</v>
      </c>
      <c r="B266" s="9" t="str">
        <f>IFERROR(__xludf.DUMMYFUNCTION("""COMPUTED_VALUE"""),"TLPG TJ PERAK")</f>
        <v>TLPG TJ PERAK</v>
      </c>
      <c r="C266" s="11">
        <f>IFERROR(__xludf.DUMMYFUNCTION("""COMPUTED_VALUE"""),10.0)</f>
        <v>10</v>
      </c>
      <c r="D266" s="12">
        <v>12.0</v>
      </c>
      <c r="E266" s="34" t="s">
        <v>271</v>
      </c>
      <c r="F266" s="17"/>
      <c r="G266" s="14">
        <v>265.0</v>
      </c>
      <c r="H266" s="17" t="str">
        <f>IFERROR(__xludf.DUMMYFUNCTION("""COMPUTED_VALUE"""),"B 9871 SFV")</f>
        <v>B 9871 SFV</v>
      </c>
      <c r="I266" s="17" t="str">
        <f>IFERROR(__xludf.DUMMYFUNCTION("""COMPUTED_VALUE"""),"TLPG MEM GRESIK")</f>
        <v>TLPG MEM GRESIK</v>
      </c>
      <c r="J266" s="17">
        <f>IFERROR(__xludf.DUMMYFUNCTION("""COMPUTED_VALUE"""),10.0)</f>
        <v>10</v>
      </c>
    </row>
    <row r="267">
      <c r="A267" s="13" t="str">
        <f>IFERROR(__xludf.DUMMYFUNCTION("""COMPUTED_VALUE"""),"N 9661 UG")</f>
        <v>N 9661 UG</v>
      </c>
      <c r="B267" s="9" t="str">
        <f>IFERROR(__xludf.DUMMYFUNCTION("""COMPUTED_VALUE"""),"TLPG MEM GRESIK")</f>
        <v>TLPG MEM GRESIK</v>
      </c>
      <c r="C267" s="11">
        <f>IFERROR(__xludf.DUMMYFUNCTION("""COMPUTED_VALUE"""),10.0)</f>
        <v>10</v>
      </c>
      <c r="D267" s="12">
        <v>12.0</v>
      </c>
      <c r="E267" s="34" t="s">
        <v>452</v>
      </c>
      <c r="F267" s="17"/>
      <c r="G267" s="14">
        <v>266.0</v>
      </c>
      <c r="H267" s="17" t="str">
        <f>IFERROR(__xludf.DUMMYFUNCTION("""COMPUTED_VALUE"""),"P 9114 UG")</f>
        <v>P 9114 UG</v>
      </c>
      <c r="I267" s="17" t="str">
        <f>IFERROR(__xludf.DUMMYFUNCTION("""COMPUTED_VALUE"""),"TLPG MEM GRESIK")</f>
        <v>TLPG MEM GRESIK</v>
      </c>
      <c r="J267" s="17">
        <f>IFERROR(__xludf.DUMMYFUNCTION("""COMPUTED_VALUE"""),10.0)</f>
        <v>10</v>
      </c>
    </row>
    <row r="268">
      <c r="A268" s="13" t="str">
        <f>IFERROR(__xludf.DUMMYFUNCTION("""COMPUTED_VALUE"""),"P 8208 UG")</f>
        <v>P 8208 UG</v>
      </c>
      <c r="B268" s="9" t="str">
        <f>IFERROR(__xludf.DUMMYFUNCTION("""COMPUTED_VALUE"""),"TLPG MEM GRESIK")</f>
        <v>TLPG MEM GRESIK</v>
      </c>
      <c r="C268" s="11">
        <f>IFERROR(__xludf.DUMMYFUNCTION("""COMPUTED_VALUE"""),10.0)</f>
        <v>10</v>
      </c>
      <c r="D268" s="12">
        <v>12.0</v>
      </c>
      <c r="E268" s="34" t="s">
        <v>457</v>
      </c>
      <c r="F268" s="17"/>
      <c r="G268" s="14">
        <v>267.0</v>
      </c>
      <c r="H268" s="17" t="str">
        <f>IFERROR(__xludf.DUMMYFUNCTION("""COMPUTED_VALUE"""),"P 9115 UG")</f>
        <v>P 9115 UG</v>
      </c>
      <c r="I268" s="17" t="str">
        <f>IFERROR(__xludf.DUMMYFUNCTION("""COMPUTED_VALUE"""),"TLPG TJ WANGI")</f>
        <v>TLPG TJ WANGI</v>
      </c>
      <c r="J268" s="17">
        <f>IFERROR(__xludf.DUMMYFUNCTION("""COMPUTED_VALUE"""),10.0)</f>
        <v>10</v>
      </c>
    </row>
    <row r="269">
      <c r="A269" s="13" t="str">
        <f>IFERROR(__xludf.DUMMYFUNCTION("""COMPUTED_VALUE"""),"P 8435 UA")</f>
        <v>P 8435 UA</v>
      </c>
      <c r="B269" s="9" t="str">
        <f>IFERROR(__xludf.DUMMYFUNCTION("""COMPUTED_VALUE"""),"TLPG MEM GRESIK")</f>
        <v>TLPG MEM GRESIK</v>
      </c>
      <c r="C269" s="11">
        <f>IFERROR(__xludf.DUMMYFUNCTION("""COMPUTED_VALUE"""),10.0)</f>
        <v>10</v>
      </c>
      <c r="D269" s="12">
        <v>11.0</v>
      </c>
      <c r="E269" s="34" t="s">
        <v>444</v>
      </c>
      <c r="F269" s="17"/>
      <c r="G269" s="14">
        <v>268.0</v>
      </c>
      <c r="H269" s="17" t="str">
        <f>IFERROR(__xludf.DUMMYFUNCTION("""COMPUTED_VALUE"""),"S 8058 UL")</f>
        <v>S 8058 UL</v>
      </c>
      <c r="I269" s="17" t="str">
        <f>IFERROR(__xludf.DUMMYFUNCTION("""COMPUTED_VALUE"""),"TLPG MEM GRESIK")</f>
        <v>TLPG MEM GRESIK</v>
      </c>
      <c r="J269" s="17">
        <f>IFERROR(__xludf.DUMMYFUNCTION("""COMPUTED_VALUE"""),10.0)</f>
        <v>10</v>
      </c>
    </row>
    <row r="270">
      <c r="A270" s="13" t="str">
        <f>IFERROR(__xludf.DUMMYFUNCTION("""COMPUTED_VALUE"""),"P 8726 UG")</f>
        <v>P 8726 UG</v>
      </c>
      <c r="B270" s="9" t="str">
        <f>IFERROR(__xludf.DUMMYFUNCTION("""COMPUTED_VALUE"""),"TLPG TJ WANGI")</f>
        <v>TLPG TJ WANGI</v>
      </c>
      <c r="C270" s="11">
        <f>IFERROR(__xludf.DUMMYFUNCTION("""COMPUTED_VALUE"""),10.0)</f>
        <v>10</v>
      </c>
      <c r="D270" s="12">
        <v>11.0</v>
      </c>
      <c r="E270" s="34" t="s">
        <v>472</v>
      </c>
      <c r="F270" s="17"/>
      <c r="G270" s="14">
        <v>269.0</v>
      </c>
      <c r="H270" s="17" t="str">
        <f>IFERROR(__xludf.DUMMYFUNCTION("""COMPUTED_VALUE"""),"S 8237 UZ")</f>
        <v>S 8237 UZ</v>
      </c>
      <c r="I270" s="17" t="str">
        <f>IFERROR(__xludf.DUMMYFUNCTION("""COMPUTED_VALUE"""),"TLPG TJ PERAK")</f>
        <v>TLPG TJ PERAK</v>
      </c>
      <c r="J270" s="17">
        <f>IFERROR(__xludf.DUMMYFUNCTION("""COMPUTED_VALUE"""),10.0)</f>
        <v>10</v>
      </c>
    </row>
    <row r="271">
      <c r="A271" s="13" t="str">
        <f>IFERROR(__xludf.DUMMYFUNCTION("""COMPUTED_VALUE"""),"S 7850 UN")</f>
        <v>S 7850 UN</v>
      </c>
      <c r="B271" s="9" t="str">
        <f>IFERROR(__xludf.DUMMYFUNCTION("""COMPUTED_VALUE"""),"TLPG TJ PERAK")</f>
        <v>TLPG TJ PERAK</v>
      </c>
      <c r="C271" s="11">
        <f>IFERROR(__xludf.DUMMYFUNCTION("""COMPUTED_VALUE"""),10.0)</f>
        <v>10</v>
      </c>
      <c r="D271" s="12">
        <v>10.0</v>
      </c>
      <c r="E271" s="34" t="s">
        <v>464</v>
      </c>
      <c r="F271" s="17"/>
      <c r="G271" s="14">
        <v>270.0</v>
      </c>
      <c r="H271" s="17" t="str">
        <f>IFERROR(__xludf.DUMMYFUNCTION("""COMPUTED_VALUE"""),"S 8319 UZ")</f>
        <v>S 8319 UZ</v>
      </c>
      <c r="I271" s="17" t="str">
        <f>IFERROR(__xludf.DUMMYFUNCTION("""COMPUTED_VALUE"""),"TLPG TJ PERAK")</f>
        <v>TLPG TJ PERAK</v>
      </c>
      <c r="J271" s="17">
        <f>IFERROR(__xludf.DUMMYFUNCTION("""COMPUTED_VALUE"""),10.0)</f>
        <v>10</v>
      </c>
    </row>
    <row r="272">
      <c r="A272" s="13" t="str">
        <f>IFERROR(__xludf.DUMMYFUNCTION("""COMPUTED_VALUE"""),"S 8052 UZ")</f>
        <v>S 8052 UZ</v>
      </c>
      <c r="B272" s="9" t="str">
        <f>IFERROR(__xludf.DUMMYFUNCTION("""COMPUTED_VALUE"""),"TLPG TJ PERAK")</f>
        <v>TLPG TJ PERAK</v>
      </c>
      <c r="C272" s="11">
        <f>IFERROR(__xludf.DUMMYFUNCTION("""COMPUTED_VALUE"""),10.0)</f>
        <v>10</v>
      </c>
      <c r="D272" s="12">
        <v>10.0</v>
      </c>
      <c r="E272" s="34" t="s">
        <v>466</v>
      </c>
      <c r="F272" s="17"/>
      <c r="G272" s="14">
        <v>271.0</v>
      </c>
      <c r="H272" s="17" t="str">
        <f>IFERROR(__xludf.DUMMYFUNCTION("""COMPUTED_VALUE"""),"S 8347 UQ")</f>
        <v>S 8347 UQ</v>
      </c>
      <c r="I272" s="17" t="str">
        <f>IFERROR(__xludf.DUMMYFUNCTION("""COMPUTED_VALUE"""),"TLPG TJ PERAK")</f>
        <v>TLPG TJ PERAK</v>
      </c>
      <c r="J272" s="17">
        <f>IFERROR(__xludf.DUMMYFUNCTION("""COMPUTED_VALUE"""),10.0)</f>
        <v>10</v>
      </c>
    </row>
    <row r="273">
      <c r="A273" s="13" t="str">
        <f>IFERROR(__xludf.DUMMYFUNCTION("""COMPUTED_VALUE"""),"S 8061 UC")</f>
        <v>S 8061 UC</v>
      </c>
      <c r="B273" s="9" t="str">
        <f>IFERROR(__xludf.DUMMYFUNCTION("""COMPUTED_VALUE"""),"TLPG TJ PERAK")</f>
        <v>TLPG TJ PERAK</v>
      </c>
      <c r="C273" s="11">
        <f>IFERROR(__xludf.DUMMYFUNCTION("""COMPUTED_VALUE"""),10.0)</f>
        <v>10</v>
      </c>
      <c r="D273" s="12">
        <v>10.0</v>
      </c>
      <c r="E273" s="34" t="s">
        <v>469</v>
      </c>
      <c r="F273" s="17"/>
      <c r="G273" s="14">
        <v>272.0</v>
      </c>
      <c r="H273" s="17" t="str">
        <f>IFERROR(__xludf.DUMMYFUNCTION("""COMPUTED_VALUE"""),"S 8543 UN")</f>
        <v>S 8543 UN</v>
      </c>
      <c r="I273" s="17" t="str">
        <f>IFERROR(__xludf.DUMMYFUNCTION("""COMPUTED_VALUE"""),"TLPG TJ PERAK")</f>
        <v>TLPG TJ PERAK</v>
      </c>
      <c r="J273" s="17">
        <f>IFERROR(__xludf.DUMMYFUNCTION("""COMPUTED_VALUE"""),10.0)</f>
        <v>10</v>
      </c>
    </row>
    <row r="274">
      <c r="A274" s="13" t="str">
        <f>IFERROR(__xludf.DUMMYFUNCTION("""COMPUTED_VALUE"""),"S 8104 UH")</f>
        <v>S 8104 UH</v>
      </c>
      <c r="B274" s="9" t="str">
        <f>IFERROR(__xludf.DUMMYFUNCTION("""COMPUTED_VALUE"""),"TLPG TJ PERAK")</f>
        <v>TLPG TJ PERAK</v>
      </c>
      <c r="C274" s="11">
        <f>IFERROR(__xludf.DUMMYFUNCTION("""COMPUTED_VALUE"""),10.0)</f>
        <v>10</v>
      </c>
      <c r="D274" s="12">
        <v>10.0</v>
      </c>
      <c r="E274" s="34" t="s">
        <v>471</v>
      </c>
      <c r="F274" s="17"/>
      <c r="G274" s="14">
        <v>273.0</v>
      </c>
      <c r="H274" s="17" t="str">
        <f>IFERROR(__xludf.DUMMYFUNCTION("""COMPUTED_VALUE"""),"DK 8781 HB")</f>
        <v>DK 8781 HB</v>
      </c>
      <c r="I274" s="17" t="str">
        <f>IFERROR(__xludf.DUMMYFUNCTION("""COMPUTED_VALUE"""),"TLPG MANGGIS")</f>
        <v>TLPG MANGGIS</v>
      </c>
      <c r="J274" s="17">
        <f>IFERROR(__xludf.DUMMYFUNCTION("""COMPUTED_VALUE"""),10.0)</f>
        <v>10</v>
      </c>
    </row>
    <row r="275">
      <c r="A275" s="13" t="str">
        <f>IFERROR(__xludf.DUMMYFUNCTION("""COMPUTED_VALUE"""),"S 8141 UZ")</f>
        <v>S 8141 UZ</v>
      </c>
      <c r="B275" s="9" t="str">
        <f>IFERROR(__xludf.DUMMYFUNCTION("""COMPUTED_VALUE"""),"TLPG TJ PERAK")</f>
        <v>TLPG TJ PERAK</v>
      </c>
      <c r="C275" s="11">
        <f>IFERROR(__xludf.DUMMYFUNCTION("""COMPUTED_VALUE"""),10.0)</f>
        <v>10</v>
      </c>
      <c r="D275" s="12">
        <v>10.0</v>
      </c>
      <c r="E275" s="34" t="s">
        <v>466</v>
      </c>
      <c r="F275" s="17"/>
      <c r="G275" s="14">
        <v>274.0</v>
      </c>
      <c r="H275" s="17" t="str">
        <f>IFERROR(__xludf.DUMMYFUNCTION("""COMPUTED_VALUE"""),"DK 8834 BM")</f>
        <v>DK 8834 BM</v>
      </c>
      <c r="I275" s="17" t="str">
        <f>IFERROR(__xludf.DUMMYFUNCTION("""COMPUTED_VALUE"""),"TLPG MANGGIS")</f>
        <v>TLPG MANGGIS</v>
      </c>
      <c r="J275" s="17">
        <f>IFERROR(__xludf.DUMMYFUNCTION("""COMPUTED_VALUE"""),10.0)</f>
        <v>10</v>
      </c>
    </row>
    <row r="276">
      <c r="A276" s="13" t="str">
        <f>IFERROR(__xludf.DUMMYFUNCTION("""COMPUTED_VALUE"""),"S 8236 UZ")</f>
        <v>S 8236 UZ</v>
      </c>
      <c r="B276" s="9" t="str">
        <f>IFERROR(__xludf.DUMMYFUNCTION("""COMPUTED_VALUE"""),"TLPG TJ PERAK")</f>
        <v>TLPG TJ PERAK</v>
      </c>
      <c r="C276" s="11">
        <f>IFERROR(__xludf.DUMMYFUNCTION("""COMPUTED_VALUE"""),10.0)</f>
        <v>10</v>
      </c>
      <c r="D276" s="12">
        <v>9.0</v>
      </c>
      <c r="E276" s="34" t="s">
        <v>488</v>
      </c>
      <c r="F276" s="17"/>
      <c r="G276" s="14">
        <v>275.0</v>
      </c>
      <c r="H276" s="17" t="str">
        <f>IFERROR(__xludf.DUMMYFUNCTION("""COMPUTED_VALUE"""),"N 8025 UZ")</f>
        <v>N 8025 UZ</v>
      </c>
      <c r="I276" s="17" t="str">
        <f>IFERROR(__xludf.DUMMYFUNCTION("""COMPUTED_VALUE"""),"TLPG MEM GRESIK")</f>
        <v>TLPG MEM GRESIK</v>
      </c>
      <c r="J276" s="17">
        <f>IFERROR(__xludf.DUMMYFUNCTION("""COMPUTED_VALUE"""),10.0)</f>
        <v>10</v>
      </c>
    </row>
    <row r="277">
      <c r="A277" s="13" t="str">
        <f>IFERROR(__xludf.DUMMYFUNCTION("""COMPUTED_VALUE"""),"S 8290 AI")</f>
        <v>S 8290 AI</v>
      </c>
      <c r="B277" s="9" t="str">
        <f>IFERROR(__xludf.DUMMYFUNCTION("""COMPUTED_VALUE"""),"TLPG TJ PERAK")</f>
        <v>TLPG TJ PERAK</v>
      </c>
      <c r="C277" s="11">
        <f>IFERROR(__xludf.DUMMYFUNCTION("""COMPUTED_VALUE"""),10.0)</f>
        <v>10</v>
      </c>
      <c r="D277" s="12">
        <v>9.0</v>
      </c>
      <c r="E277" s="34" t="s">
        <v>184</v>
      </c>
      <c r="F277" s="17"/>
      <c r="G277" s="14">
        <v>276.0</v>
      </c>
      <c r="H277" s="17" t="str">
        <f>IFERROR(__xludf.DUMMYFUNCTION("""COMPUTED_VALUE"""),"W 8057 UD")</f>
        <v>W 8057 UD</v>
      </c>
      <c r="I277" s="17" t="str">
        <f>IFERROR(__xludf.DUMMYFUNCTION("""COMPUTED_VALUE"""),"TLPG BIMA")</f>
        <v>TLPG BIMA</v>
      </c>
      <c r="J277" s="17">
        <f>IFERROR(__xludf.DUMMYFUNCTION("""COMPUTED_VALUE"""),10.0)</f>
        <v>10</v>
      </c>
    </row>
    <row r="278">
      <c r="A278" s="13" t="str">
        <f>IFERROR(__xludf.DUMMYFUNCTION("""COMPUTED_VALUE"""),"B 9113 SEI")</f>
        <v>B 9113 SEI</v>
      </c>
      <c r="B278" s="9" t="str">
        <f>IFERROR(__xludf.DUMMYFUNCTION("""COMPUTED_VALUE"""),"TLPG MEM GRESIK")</f>
        <v>TLPG MEM GRESIK</v>
      </c>
      <c r="C278" s="11">
        <f>IFERROR(__xludf.DUMMYFUNCTION("""COMPUTED_VALUE"""),11.0)</f>
        <v>11</v>
      </c>
      <c r="D278" s="12">
        <v>10.0</v>
      </c>
      <c r="E278" s="34" t="s">
        <v>83</v>
      </c>
      <c r="F278" s="17"/>
      <c r="G278" s="14">
        <v>277.0</v>
      </c>
      <c r="H278" s="17" t="str">
        <f>IFERROR(__xludf.DUMMYFUNCTION("""COMPUTED_VALUE"""),"W 8193 PF")</f>
        <v>W 8193 PF</v>
      </c>
      <c r="I278" s="17" t="str">
        <f>IFERROR(__xludf.DUMMYFUNCTION("""COMPUTED_VALUE"""),"TLPG TJ PERAK")</f>
        <v>TLPG TJ PERAK</v>
      </c>
      <c r="J278" s="17">
        <f>IFERROR(__xludf.DUMMYFUNCTION("""COMPUTED_VALUE"""),10.0)</f>
        <v>10</v>
      </c>
    </row>
    <row r="279">
      <c r="A279" s="13" t="str">
        <f>IFERROR(__xludf.DUMMYFUNCTION("""COMPUTED_VALUE"""),"B 9868 SFV")</f>
        <v>B 9868 SFV</v>
      </c>
      <c r="B279" s="9" t="str">
        <f>IFERROR(__xludf.DUMMYFUNCTION("""COMPUTED_VALUE"""),"TLPG MEM GRESIK")</f>
        <v>TLPG MEM GRESIK</v>
      </c>
      <c r="C279" s="11">
        <f>IFERROR(__xludf.DUMMYFUNCTION("""COMPUTED_VALUE"""),11.0)</f>
        <v>11</v>
      </c>
      <c r="D279" s="12">
        <v>11.0</v>
      </c>
      <c r="E279" s="34" t="s">
        <v>121</v>
      </c>
      <c r="F279" s="17"/>
      <c r="G279" s="14">
        <v>278.0</v>
      </c>
      <c r="H279" s="17" t="str">
        <f>IFERROR(__xludf.DUMMYFUNCTION("""COMPUTED_VALUE"""),"S 8316 AI")</f>
        <v>S 8316 AI</v>
      </c>
      <c r="I279" s="17" t="str">
        <f>IFERROR(__xludf.DUMMYFUNCTION("""COMPUTED_VALUE"""),"TLPG TJ PERAK")</f>
        <v>TLPG TJ PERAK</v>
      </c>
      <c r="J279" s="17">
        <f>IFERROR(__xludf.DUMMYFUNCTION("""COMPUTED_VALUE"""),11.0)</f>
        <v>11</v>
      </c>
    </row>
    <row r="280">
      <c r="A280" s="13" t="str">
        <f>IFERROR(__xludf.DUMMYFUNCTION("""COMPUTED_VALUE"""),"B 9871 SFV")</f>
        <v>B 9871 SFV</v>
      </c>
      <c r="B280" s="9" t="str">
        <f>IFERROR(__xludf.DUMMYFUNCTION("""COMPUTED_VALUE"""),"TLPG MEM GRESIK")</f>
        <v>TLPG MEM GRESIK</v>
      </c>
      <c r="C280" s="11">
        <f>IFERROR(__xludf.DUMMYFUNCTION("""COMPUTED_VALUE"""),11.0)</f>
        <v>11</v>
      </c>
      <c r="D280" s="12">
        <v>10.0</v>
      </c>
      <c r="E280" s="34" t="s">
        <v>121</v>
      </c>
      <c r="F280" s="17"/>
      <c r="G280" s="14">
        <v>279.0</v>
      </c>
      <c r="H280" s="17" t="str">
        <f>IFERROR(__xludf.DUMMYFUNCTION("""COMPUTED_VALUE"""),"DR 8751 AF")</f>
        <v>DR 8751 AF</v>
      </c>
      <c r="I280" s="17" t="str">
        <f>IFERROR(__xludf.DUMMYFUNCTION("""COMPUTED_VALUE"""),"TLPG LOMBOK")</f>
        <v>TLPG LOMBOK</v>
      </c>
      <c r="J280" s="17">
        <f>IFERROR(__xludf.DUMMYFUNCTION("""COMPUTED_VALUE"""),11.0)</f>
        <v>11</v>
      </c>
    </row>
    <row r="281">
      <c r="A281" s="13" t="str">
        <f>IFERROR(__xludf.DUMMYFUNCTION("""COMPUTED_VALUE"""),"DK 8053 DN")</f>
        <v>DK 8053 DN</v>
      </c>
      <c r="B281" s="9" t="str">
        <f>IFERROR(__xludf.DUMMYFUNCTION("""COMPUTED_VALUE"""),"TLPG MANGGIS")</f>
        <v>TLPG MANGGIS</v>
      </c>
      <c r="C281" s="11">
        <f>IFERROR(__xludf.DUMMYFUNCTION("""COMPUTED_VALUE"""),11.0)</f>
        <v>11</v>
      </c>
      <c r="D281" s="12">
        <v>11.0</v>
      </c>
      <c r="E281" s="34" t="s">
        <v>184</v>
      </c>
      <c r="F281" s="17"/>
      <c r="G281" s="14">
        <v>280.0</v>
      </c>
      <c r="H281" s="17" t="str">
        <f>IFERROR(__xludf.DUMMYFUNCTION("""COMPUTED_VALUE"""),"EA 8678 SC")</f>
        <v>EA 8678 SC</v>
      </c>
      <c r="I281" s="17" t="str">
        <f>IFERROR(__xludf.DUMMYFUNCTION("""COMPUTED_VALUE"""),"TLPG BIMA")</f>
        <v>TLPG BIMA</v>
      </c>
      <c r="J281" s="17">
        <f>IFERROR(__xludf.DUMMYFUNCTION("""COMPUTED_VALUE"""),11.0)</f>
        <v>11</v>
      </c>
    </row>
    <row r="282">
      <c r="A282" s="13" t="str">
        <f>IFERROR(__xludf.DUMMYFUNCTION("""COMPUTED_VALUE"""),"DK 8640 VM")</f>
        <v>DK 8640 VM</v>
      </c>
      <c r="B282" s="9" t="str">
        <f>IFERROR(__xludf.DUMMYFUNCTION("""COMPUTED_VALUE"""),"TLPG MANGGIS")</f>
        <v>TLPG MANGGIS</v>
      </c>
      <c r="C282" s="11">
        <f>IFERROR(__xludf.DUMMYFUNCTION("""COMPUTED_VALUE"""),11.0)</f>
        <v>11</v>
      </c>
      <c r="D282" s="12">
        <v>12.0</v>
      </c>
      <c r="E282" s="34" t="s">
        <v>206</v>
      </c>
      <c r="F282" s="17"/>
      <c r="G282" s="14">
        <v>281.0</v>
      </c>
      <c r="H282" s="17" t="str">
        <f>IFERROR(__xludf.DUMMYFUNCTION("""COMPUTED_VALUE"""),"N 9509 UG")</f>
        <v>N 9509 UG</v>
      </c>
      <c r="I282" s="17" t="str">
        <f>IFERROR(__xludf.DUMMYFUNCTION("""COMPUTED_VALUE"""),"TLPG MEM GRESIK")</f>
        <v>TLPG MEM GRESIK</v>
      </c>
      <c r="J282" s="17">
        <f>IFERROR(__xludf.DUMMYFUNCTION("""COMPUTED_VALUE"""),11.0)</f>
        <v>11</v>
      </c>
    </row>
    <row r="283">
      <c r="A283" s="13" t="str">
        <f>IFERROR(__xludf.DUMMYFUNCTION("""COMPUTED_VALUE"""),"DK 8694 KP")</f>
        <v>DK 8694 KP</v>
      </c>
      <c r="B283" s="9" t="str">
        <f>IFERROR(__xludf.DUMMYFUNCTION("""COMPUTED_VALUE"""),"TLPG MANGGIS")</f>
        <v>TLPG MANGGIS</v>
      </c>
      <c r="C283" s="11">
        <f>IFERROR(__xludf.DUMMYFUNCTION("""COMPUTED_VALUE"""),11.0)</f>
        <v>11</v>
      </c>
      <c r="D283" s="12">
        <v>11.0</v>
      </c>
      <c r="E283" s="34" t="s">
        <v>476</v>
      </c>
      <c r="F283" s="17"/>
      <c r="G283" s="14">
        <v>282.0</v>
      </c>
      <c r="H283" s="17" t="str">
        <f>IFERROR(__xludf.DUMMYFUNCTION("""COMPUTED_VALUE"""),"N 9659 UG")</f>
        <v>N 9659 UG</v>
      </c>
      <c r="I283" s="17" t="str">
        <f>IFERROR(__xludf.DUMMYFUNCTION("""COMPUTED_VALUE"""),"TLPG MEM GRESIK")</f>
        <v>TLPG MEM GRESIK</v>
      </c>
      <c r="J283" s="17">
        <f>IFERROR(__xludf.DUMMYFUNCTION("""COMPUTED_VALUE"""),11.0)</f>
        <v>11</v>
      </c>
    </row>
    <row r="284">
      <c r="A284" s="13" t="str">
        <f>IFERROR(__xludf.DUMMYFUNCTION("""COMPUTED_VALUE"""),"DK 8735 DQ")</f>
        <v>DK 8735 DQ</v>
      </c>
      <c r="B284" s="9" t="str">
        <f>IFERROR(__xludf.DUMMYFUNCTION("""COMPUTED_VALUE"""),"TLPG MANGGIS")</f>
        <v>TLPG MANGGIS</v>
      </c>
      <c r="C284" s="11">
        <f>IFERROR(__xludf.DUMMYFUNCTION("""COMPUTED_VALUE"""),11.0)</f>
        <v>11</v>
      </c>
      <c r="D284" s="12">
        <v>12.0</v>
      </c>
      <c r="E284" s="34" t="s">
        <v>461</v>
      </c>
      <c r="F284" s="17"/>
      <c r="G284" s="14">
        <v>283.0</v>
      </c>
      <c r="H284" s="17" t="str">
        <f>IFERROR(__xludf.DUMMYFUNCTION("""COMPUTED_VALUE"""),"W 9205 NY")</f>
        <v>W 9205 NY</v>
      </c>
      <c r="I284" s="17" t="str">
        <f>IFERROR(__xludf.DUMMYFUNCTION("""COMPUTED_VALUE"""),"TLPG TJ PERAK")</f>
        <v>TLPG TJ PERAK</v>
      </c>
      <c r="J284" s="17">
        <f>IFERROR(__xludf.DUMMYFUNCTION("""COMPUTED_VALUE"""),11.0)</f>
        <v>11</v>
      </c>
    </row>
    <row r="285">
      <c r="A285" s="13" t="str">
        <f>IFERROR(__xludf.DUMMYFUNCTION("""COMPUTED_VALUE"""),"EA 8670 SC")</f>
        <v>EA 8670 SC</v>
      </c>
      <c r="B285" s="9" t="str">
        <f>IFERROR(__xludf.DUMMYFUNCTION("""COMPUTED_VALUE"""),"TLPG BIMA")</f>
        <v>TLPG BIMA</v>
      </c>
      <c r="C285" s="11">
        <f>IFERROR(__xludf.DUMMYFUNCTION("""COMPUTED_VALUE"""),11.0)</f>
        <v>11</v>
      </c>
      <c r="D285" s="12">
        <v>11.0</v>
      </c>
      <c r="E285" s="34" t="s">
        <v>473</v>
      </c>
      <c r="F285" s="17"/>
      <c r="G285" s="14">
        <v>284.0</v>
      </c>
      <c r="H285" s="17" t="str">
        <f>IFERROR(__xludf.DUMMYFUNCTION("""COMPUTED_VALUE"""),"DK 8305 BW")</f>
        <v>DK 8305 BW</v>
      </c>
      <c r="I285" s="17" t="str">
        <f>IFERROR(__xludf.DUMMYFUNCTION("""COMPUTED_VALUE"""),"TLPG MANGGIS")</f>
        <v>TLPG MANGGIS</v>
      </c>
      <c r="J285" s="17">
        <f>IFERROR(__xludf.DUMMYFUNCTION("""COMPUTED_VALUE"""),11.0)</f>
        <v>11</v>
      </c>
    </row>
    <row r="286">
      <c r="A286" s="13" t="str">
        <f>IFERROR(__xludf.DUMMYFUNCTION("""COMPUTED_VALUE"""),"N 8756 UB")</f>
        <v>N 8756 UB</v>
      </c>
      <c r="B286" s="9" t="str">
        <f>IFERROR(__xludf.DUMMYFUNCTION("""COMPUTED_VALUE"""),"TLPG TJ PERAK")</f>
        <v>TLPG TJ PERAK</v>
      </c>
      <c r="C286" s="11">
        <f>IFERROR(__xludf.DUMMYFUNCTION("""COMPUTED_VALUE"""),11.0)</f>
        <v>11</v>
      </c>
      <c r="D286" s="12">
        <v>11.0</v>
      </c>
      <c r="E286" s="34" t="s">
        <v>482</v>
      </c>
      <c r="F286" s="17"/>
      <c r="G286" s="14">
        <v>285.0</v>
      </c>
      <c r="H286" s="17" t="str">
        <f>IFERROR(__xludf.DUMMYFUNCTION("""COMPUTED_VALUE"""),"L 8063 UUA")</f>
        <v>L 8063 UUA</v>
      </c>
      <c r="I286" s="17" t="str">
        <f>IFERROR(__xludf.DUMMYFUNCTION("""COMPUTED_VALUE"""),"TLPG TJ PERAK")</f>
        <v>TLPG TJ PERAK</v>
      </c>
      <c r="J286" s="17">
        <f>IFERROR(__xludf.DUMMYFUNCTION("""COMPUTED_VALUE"""),11.0)</f>
        <v>11</v>
      </c>
    </row>
    <row r="287">
      <c r="A287" s="13" t="str">
        <f>IFERROR(__xludf.DUMMYFUNCTION("""COMPUTED_VALUE"""),"N 8757 UB")</f>
        <v>N 8757 UB</v>
      </c>
      <c r="B287" s="9" t="str">
        <f>IFERROR(__xludf.DUMMYFUNCTION("""COMPUTED_VALUE"""),"TLPG TJ PERAK")</f>
        <v>TLPG TJ PERAK</v>
      </c>
      <c r="C287" s="11">
        <f>IFERROR(__xludf.DUMMYFUNCTION("""COMPUTED_VALUE"""),11.0)</f>
        <v>11</v>
      </c>
      <c r="D287" s="12">
        <v>11.0</v>
      </c>
      <c r="E287" s="34" t="s">
        <v>482</v>
      </c>
      <c r="F287" s="17"/>
      <c r="G287" s="14">
        <v>286.0</v>
      </c>
      <c r="H287" s="17" t="str">
        <f>IFERROR(__xludf.DUMMYFUNCTION("""COMPUTED_VALUE"""),"N 8469 US")</f>
        <v>N 8469 US</v>
      </c>
      <c r="I287" s="17" t="str">
        <f>IFERROR(__xludf.DUMMYFUNCTION("""COMPUTED_VALUE"""),"TLPG TJ PERAK")</f>
        <v>TLPG TJ PERAK</v>
      </c>
      <c r="J287" s="17">
        <f>IFERROR(__xludf.DUMMYFUNCTION("""COMPUTED_VALUE"""),11.0)</f>
        <v>11</v>
      </c>
    </row>
    <row r="288">
      <c r="A288" s="13" t="str">
        <f>IFERROR(__xludf.DUMMYFUNCTION("""COMPUTED_VALUE"""),"P 8821 UW")</f>
        <v>P 8821 UW</v>
      </c>
      <c r="B288" s="9" t="str">
        <f>IFERROR(__xludf.DUMMYFUNCTION("""COMPUTED_VALUE"""),"TLPG TJ WANGI")</f>
        <v>TLPG TJ WANGI</v>
      </c>
      <c r="C288" s="11">
        <f>IFERROR(__xludf.DUMMYFUNCTION("""COMPUTED_VALUE"""),11.0)</f>
        <v>11</v>
      </c>
      <c r="D288" s="12">
        <v>12.0</v>
      </c>
      <c r="E288" s="34" t="s">
        <v>184</v>
      </c>
      <c r="F288" s="17"/>
      <c r="G288" s="14">
        <v>287.0</v>
      </c>
      <c r="H288" s="17" t="str">
        <f>IFERROR(__xludf.DUMMYFUNCTION("""COMPUTED_VALUE"""),"N 8834 US")</f>
        <v>N 8834 US</v>
      </c>
      <c r="I288" s="17" t="str">
        <f>IFERROR(__xludf.DUMMYFUNCTION("""COMPUTED_VALUE"""),"TLPG TJ PERAK")</f>
        <v>TLPG TJ PERAK</v>
      </c>
      <c r="J288" s="17">
        <f>IFERROR(__xludf.DUMMYFUNCTION("""COMPUTED_VALUE"""),11.0)</f>
        <v>11</v>
      </c>
    </row>
    <row r="289">
      <c r="A289" s="13" t="str">
        <f>IFERROR(__xludf.DUMMYFUNCTION("""COMPUTED_VALUE"""),"P 9114 UG")</f>
        <v>P 9114 UG</v>
      </c>
      <c r="B289" s="9" t="str">
        <f>IFERROR(__xludf.DUMMYFUNCTION("""COMPUTED_VALUE"""),"TLPG MEM GRESIK")</f>
        <v>TLPG MEM GRESIK</v>
      </c>
      <c r="C289" s="11">
        <f>IFERROR(__xludf.DUMMYFUNCTION("""COMPUTED_VALUE"""),11.0)</f>
        <v>11</v>
      </c>
      <c r="D289" s="12">
        <v>10.0</v>
      </c>
      <c r="E289" s="34" t="s">
        <v>457</v>
      </c>
      <c r="F289" s="17"/>
      <c r="G289" s="14">
        <v>288.0</v>
      </c>
      <c r="H289" s="17" t="str">
        <f>IFERROR(__xludf.DUMMYFUNCTION("""COMPUTED_VALUE"""),"N 9425 UU")</f>
        <v>N 9425 UU</v>
      </c>
      <c r="I289" s="17" t="str">
        <f>IFERROR(__xludf.DUMMYFUNCTION("""COMPUTED_VALUE"""),"TLPG TJ PERAK")</f>
        <v>TLPG TJ PERAK</v>
      </c>
      <c r="J289" s="17">
        <f>IFERROR(__xludf.DUMMYFUNCTION("""COMPUTED_VALUE"""),11.0)</f>
        <v>11</v>
      </c>
    </row>
    <row r="290">
      <c r="A290" s="13" t="str">
        <f>IFERROR(__xludf.DUMMYFUNCTION("""COMPUTED_VALUE"""),"P 9115 UG")</f>
        <v>P 9115 UG</v>
      </c>
      <c r="B290" s="9" t="str">
        <f>IFERROR(__xludf.DUMMYFUNCTION("""COMPUTED_VALUE"""),"TLPG TJ WANGI")</f>
        <v>TLPG TJ WANGI</v>
      </c>
      <c r="C290" s="11">
        <f>IFERROR(__xludf.DUMMYFUNCTION("""COMPUTED_VALUE"""),11.0)</f>
        <v>11</v>
      </c>
      <c r="D290" s="12">
        <v>10.0</v>
      </c>
      <c r="E290" s="34" t="s">
        <v>457</v>
      </c>
      <c r="F290" s="17"/>
      <c r="G290" s="14">
        <v>289.0</v>
      </c>
      <c r="H290" s="17" t="str">
        <f>IFERROR(__xludf.DUMMYFUNCTION("""COMPUTED_VALUE"""),"P 8435 UA")</f>
        <v>P 8435 UA</v>
      </c>
      <c r="I290" s="17" t="str">
        <f>IFERROR(__xludf.DUMMYFUNCTION("""COMPUTED_VALUE"""),"TLPG MEM GRESIK")</f>
        <v>TLPG MEM GRESIK</v>
      </c>
      <c r="J290" s="17">
        <f>IFERROR(__xludf.DUMMYFUNCTION("""COMPUTED_VALUE"""),11.0)</f>
        <v>11</v>
      </c>
    </row>
    <row r="291">
      <c r="A291" s="13" t="str">
        <f>IFERROR(__xludf.DUMMYFUNCTION("""COMPUTED_VALUE"""),"S 8058 UL")</f>
        <v>S 8058 UL</v>
      </c>
      <c r="B291" s="9" t="str">
        <f>IFERROR(__xludf.DUMMYFUNCTION("""COMPUTED_VALUE"""),"TLPG MEM GRESIK")</f>
        <v>TLPG MEM GRESIK</v>
      </c>
      <c r="C291" s="11">
        <f>IFERROR(__xludf.DUMMYFUNCTION("""COMPUTED_VALUE"""),11.0)</f>
        <v>11</v>
      </c>
      <c r="D291" s="12">
        <v>10.0</v>
      </c>
      <c r="E291" s="34" t="s">
        <v>484</v>
      </c>
      <c r="F291" s="17"/>
      <c r="G291" s="14">
        <v>290.0</v>
      </c>
      <c r="H291" s="17" t="str">
        <f>IFERROR(__xludf.DUMMYFUNCTION("""COMPUTED_VALUE"""),"P 8726 UG")</f>
        <v>P 8726 UG</v>
      </c>
      <c r="I291" s="17" t="str">
        <f>IFERROR(__xludf.DUMMYFUNCTION("""COMPUTED_VALUE"""),"TLPG TJ WANGI")</f>
        <v>TLPG TJ WANGI</v>
      </c>
      <c r="J291" s="17">
        <f>IFERROR(__xludf.DUMMYFUNCTION("""COMPUTED_VALUE"""),11.0)</f>
        <v>11</v>
      </c>
    </row>
    <row r="292">
      <c r="A292" s="13" t="str">
        <f>IFERROR(__xludf.DUMMYFUNCTION("""COMPUTED_VALUE"""),"S 8237 UZ")</f>
        <v>S 8237 UZ</v>
      </c>
      <c r="B292" s="9" t="str">
        <f>IFERROR(__xludf.DUMMYFUNCTION("""COMPUTED_VALUE"""),"TLPG TJ PERAK")</f>
        <v>TLPG TJ PERAK</v>
      </c>
      <c r="C292" s="11">
        <f>IFERROR(__xludf.DUMMYFUNCTION("""COMPUTED_VALUE"""),11.0)</f>
        <v>11</v>
      </c>
      <c r="D292" s="12">
        <v>10.0</v>
      </c>
      <c r="E292" s="34" t="s">
        <v>488</v>
      </c>
      <c r="F292" s="17"/>
      <c r="G292" s="14">
        <v>291.0</v>
      </c>
      <c r="H292" s="17" t="str">
        <f>IFERROR(__xludf.DUMMYFUNCTION("""COMPUTED_VALUE"""),"B 9868 SFV")</f>
        <v>B 9868 SFV</v>
      </c>
      <c r="I292" s="17" t="str">
        <f>IFERROR(__xludf.DUMMYFUNCTION("""COMPUTED_VALUE"""),"TLPG MEM GRESIK")</f>
        <v>TLPG MEM GRESIK</v>
      </c>
      <c r="J292" s="17">
        <f>IFERROR(__xludf.DUMMYFUNCTION("""COMPUTED_VALUE"""),11.0)</f>
        <v>11</v>
      </c>
    </row>
    <row r="293">
      <c r="A293" s="13" t="str">
        <f>IFERROR(__xludf.DUMMYFUNCTION("""COMPUTED_VALUE"""),"S 8319 UZ")</f>
        <v>S 8319 UZ</v>
      </c>
      <c r="B293" s="9" t="str">
        <f>IFERROR(__xludf.DUMMYFUNCTION("""COMPUTED_VALUE"""),"TLPG TJ PERAK")</f>
        <v>TLPG TJ PERAK</v>
      </c>
      <c r="C293" s="11">
        <f>IFERROR(__xludf.DUMMYFUNCTION("""COMPUTED_VALUE"""),11.0)</f>
        <v>11</v>
      </c>
      <c r="D293" s="12">
        <v>10.0</v>
      </c>
      <c r="E293" s="34" t="s">
        <v>492</v>
      </c>
      <c r="F293" s="17"/>
      <c r="G293" s="14">
        <v>292.0</v>
      </c>
      <c r="H293" s="17" t="str">
        <f>IFERROR(__xludf.DUMMYFUNCTION("""COMPUTED_VALUE"""),"DK 8053 DN")</f>
        <v>DK 8053 DN</v>
      </c>
      <c r="I293" s="17" t="str">
        <f>IFERROR(__xludf.DUMMYFUNCTION("""COMPUTED_VALUE"""),"TLPG MANGGIS")</f>
        <v>TLPG MANGGIS</v>
      </c>
      <c r="J293" s="17">
        <f>IFERROR(__xludf.DUMMYFUNCTION("""COMPUTED_VALUE"""),11.0)</f>
        <v>11</v>
      </c>
    </row>
    <row r="294">
      <c r="A294" s="13" t="str">
        <f>IFERROR(__xludf.DUMMYFUNCTION("""COMPUTED_VALUE"""),"S 8347 UQ")</f>
        <v>S 8347 UQ</v>
      </c>
      <c r="B294" s="9" t="str">
        <f>IFERROR(__xludf.DUMMYFUNCTION("""COMPUTED_VALUE"""),"TLPG TJ PERAK")</f>
        <v>TLPG TJ PERAK</v>
      </c>
      <c r="C294" s="11">
        <f>IFERROR(__xludf.DUMMYFUNCTION("""COMPUTED_VALUE"""),11.0)</f>
        <v>11</v>
      </c>
      <c r="D294" s="12">
        <v>10.0</v>
      </c>
      <c r="E294" s="34" t="s">
        <v>494</v>
      </c>
      <c r="F294" s="17"/>
      <c r="G294" s="14">
        <v>293.0</v>
      </c>
      <c r="H294" s="17" t="str">
        <f>IFERROR(__xludf.DUMMYFUNCTION("""COMPUTED_VALUE"""),"DK 8694 KP")</f>
        <v>DK 8694 KP</v>
      </c>
      <c r="I294" s="17" t="str">
        <f>IFERROR(__xludf.DUMMYFUNCTION("""COMPUTED_VALUE"""),"TLPG MANGGIS")</f>
        <v>TLPG MANGGIS</v>
      </c>
      <c r="J294" s="17">
        <f>IFERROR(__xludf.DUMMYFUNCTION("""COMPUTED_VALUE"""),11.0)</f>
        <v>11</v>
      </c>
    </row>
    <row r="295">
      <c r="A295" s="13" t="str">
        <f>IFERROR(__xludf.DUMMYFUNCTION("""COMPUTED_VALUE"""),"S 8543 UN")</f>
        <v>S 8543 UN</v>
      </c>
      <c r="B295" s="9" t="str">
        <f>IFERROR(__xludf.DUMMYFUNCTION("""COMPUTED_VALUE"""),"TLPG TJ PERAK")</f>
        <v>TLPG TJ PERAK</v>
      </c>
      <c r="C295" s="11">
        <f>IFERROR(__xludf.DUMMYFUNCTION("""COMPUTED_VALUE"""),11.0)</f>
        <v>11</v>
      </c>
      <c r="D295" s="12">
        <v>10.0</v>
      </c>
      <c r="E295" s="34" t="s">
        <v>489</v>
      </c>
      <c r="F295" s="17"/>
      <c r="G295" s="14">
        <v>294.0</v>
      </c>
      <c r="H295" s="17" t="str">
        <f>IFERROR(__xludf.DUMMYFUNCTION("""COMPUTED_VALUE"""),"EA 8670 SC")</f>
        <v>EA 8670 SC</v>
      </c>
      <c r="I295" s="17" t="str">
        <f>IFERROR(__xludf.DUMMYFUNCTION("""COMPUTED_VALUE"""),"TLPG BIMA")</f>
        <v>TLPG BIMA</v>
      </c>
      <c r="J295" s="17">
        <f>IFERROR(__xludf.DUMMYFUNCTION("""COMPUTED_VALUE"""),11.0)</f>
        <v>11</v>
      </c>
    </row>
    <row r="296">
      <c r="A296" s="13" t="str">
        <f>IFERROR(__xludf.DUMMYFUNCTION("""COMPUTED_VALUE"""),"S 8548 UN")</f>
        <v>S 8548 UN</v>
      </c>
      <c r="B296" s="9" t="str">
        <f>IFERROR(__xludf.DUMMYFUNCTION("""COMPUTED_VALUE"""),"TLPG TJ PERAK")</f>
        <v>TLPG TJ PERAK</v>
      </c>
      <c r="C296" s="11">
        <f>IFERROR(__xludf.DUMMYFUNCTION("""COMPUTED_VALUE"""),11.0)</f>
        <v>11</v>
      </c>
      <c r="D296" s="12">
        <v>11.0</v>
      </c>
      <c r="E296" s="34" t="s">
        <v>489</v>
      </c>
      <c r="F296" s="17"/>
      <c r="G296" s="14">
        <v>295.0</v>
      </c>
      <c r="H296" s="17" t="str">
        <f>IFERROR(__xludf.DUMMYFUNCTION("""COMPUTED_VALUE"""),"N 8756 UB")</f>
        <v>N 8756 UB</v>
      </c>
      <c r="I296" s="17" t="str">
        <f>IFERROR(__xludf.DUMMYFUNCTION("""COMPUTED_VALUE"""),"TLPG TJ PERAK")</f>
        <v>TLPG TJ PERAK</v>
      </c>
      <c r="J296" s="17">
        <f>IFERROR(__xludf.DUMMYFUNCTION("""COMPUTED_VALUE"""),11.0)</f>
        <v>11</v>
      </c>
    </row>
    <row r="297">
      <c r="A297" s="13" t="str">
        <f>IFERROR(__xludf.DUMMYFUNCTION("""COMPUTED_VALUE"""),"S 8560 UC")</f>
        <v>S 8560 UC</v>
      </c>
      <c r="B297" s="9" t="str">
        <f>IFERROR(__xludf.DUMMYFUNCTION("""COMPUTED_VALUE"""),"TLPG TJ PERAK")</f>
        <v>TLPG TJ PERAK</v>
      </c>
      <c r="C297" s="11">
        <f>IFERROR(__xludf.DUMMYFUNCTION("""COMPUTED_VALUE"""),11.0)</f>
        <v>11</v>
      </c>
      <c r="D297" s="12">
        <v>11.0</v>
      </c>
      <c r="E297" s="34" t="s">
        <v>493</v>
      </c>
      <c r="F297" s="17"/>
      <c r="G297" s="14">
        <v>296.0</v>
      </c>
      <c r="H297" s="17" t="str">
        <f>IFERROR(__xludf.DUMMYFUNCTION("""COMPUTED_VALUE"""),"N 8757 UB")</f>
        <v>N 8757 UB</v>
      </c>
      <c r="I297" s="17" t="str">
        <f>IFERROR(__xludf.DUMMYFUNCTION("""COMPUTED_VALUE"""),"TLPG TJ PERAK")</f>
        <v>TLPG TJ PERAK</v>
      </c>
      <c r="J297" s="17">
        <f>IFERROR(__xludf.DUMMYFUNCTION("""COMPUTED_VALUE"""),11.0)</f>
        <v>11</v>
      </c>
    </row>
    <row r="298">
      <c r="A298" s="13" t="str">
        <f>IFERROR(__xludf.DUMMYFUNCTION("""COMPUTED_VALUE"""),"S 8561 UC")</f>
        <v>S 8561 UC</v>
      </c>
      <c r="B298" s="9" t="str">
        <f>IFERROR(__xludf.DUMMYFUNCTION("""COMPUTED_VALUE"""),"TLPG TJ PERAK")</f>
        <v>TLPG TJ PERAK</v>
      </c>
      <c r="C298" s="11">
        <f>IFERROR(__xludf.DUMMYFUNCTION("""COMPUTED_VALUE"""),11.0)</f>
        <v>11</v>
      </c>
      <c r="D298" s="12">
        <v>11.0</v>
      </c>
      <c r="E298" s="34" t="s">
        <v>495</v>
      </c>
      <c r="F298" s="17"/>
      <c r="G298" s="14">
        <v>297.0</v>
      </c>
      <c r="H298" s="17" t="str">
        <f>IFERROR(__xludf.DUMMYFUNCTION("""COMPUTED_VALUE"""),"S 8548 UN")</f>
        <v>S 8548 UN</v>
      </c>
      <c r="I298" s="17" t="str">
        <f>IFERROR(__xludf.DUMMYFUNCTION("""COMPUTED_VALUE"""),"TLPG TJ PERAK")</f>
        <v>TLPG TJ PERAK</v>
      </c>
      <c r="J298" s="17">
        <f>IFERROR(__xludf.DUMMYFUNCTION("""COMPUTED_VALUE"""),11.0)</f>
        <v>11</v>
      </c>
    </row>
    <row r="299">
      <c r="A299" s="13" t="str">
        <f>IFERROR(__xludf.DUMMYFUNCTION("""COMPUTED_VALUE"""),"S 8672 UC")</f>
        <v>S 8672 UC</v>
      </c>
      <c r="B299" s="9" t="str">
        <f>IFERROR(__xludf.DUMMYFUNCTION("""COMPUTED_VALUE"""),"TLPG TJ PERAK")</f>
        <v>TLPG TJ PERAK</v>
      </c>
      <c r="C299" s="11">
        <f>IFERROR(__xludf.DUMMYFUNCTION("""COMPUTED_VALUE"""),11.0)</f>
        <v>11</v>
      </c>
      <c r="D299" s="12">
        <v>9.0</v>
      </c>
      <c r="E299" s="34" t="s">
        <v>496</v>
      </c>
      <c r="F299" s="17"/>
      <c r="G299" s="14">
        <v>298.0</v>
      </c>
      <c r="H299" s="17" t="str">
        <f>IFERROR(__xludf.DUMMYFUNCTION("""COMPUTED_VALUE"""),"S 8560 UC")</f>
        <v>S 8560 UC</v>
      </c>
      <c r="I299" s="17" t="str">
        <f>IFERROR(__xludf.DUMMYFUNCTION("""COMPUTED_VALUE"""),"TLPG TJ PERAK")</f>
        <v>TLPG TJ PERAK</v>
      </c>
      <c r="J299" s="17">
        <f>IFERROR(__xludf.DUMMYFUNCTION("""COMPUTED_VALUE"""),11.0)</f>
        <v>11</v>
      </c>
    </row>
    <row r="300">
      <c r="A300" s="13" t="str">
        <f>IFERROR(__xludf.DUMMYFUNCTION("""COMPUTED_VALUE"""),"S 8752 UC")</f>
        <v>S 8752 UC</v>
      </c>
      <c r="B300" s="9" t="str">
        <f>IFERROR(__xludf.DUMMYFUNCTION("""COMPUTED_VALUE"""),"TLPG TJ PERAK")</f>
        <v>TLPG TJ PERAK</v>
      </c>
      <c r="C300" s="11">
        <f>IFERROR(__xludf.DUMMYFUNCTION("""COMPUTED_VALUE"""),11.0)</f>
        <v>11</v>
      </c>
      <c r="D300" s="12">
        <v>9.0</v>
      </c>
      <c r="E300" s="34" t="s">
        <v>469</v>
      </c>
      <c r="F300" s="17"/>
      <c r="G300" s="14">
        <v>299.0</v>
      </c>
      <c r="H300" s="17" t="str">
        <f>IFERROR(__xludf.DUMMYFUNCTION("""COMPUTED_VALUE"""),"S 8561 UC")</f>
        <v>S 8561 UC</v>
      </c>
      <c r="I300" s="17" t="str">
        <f>IFERROR(__xludf.DUMMYFUNCTION("""COMPUTED_VALUE"""),"TLPG TJ PERAK")</f>
        <v>TLPG TJ PERAK</v>
      </c>
      <c r="J300" s="17">
        <f>IFERROR(__xludf.DUMMYFUNCTION("""COMPUTED_VALUE"""),11.0)</f>
        <v>11</v>
      </c>
    </row>
    <row r="301">
      <c r="A301" s="13" t="str">
        <f>IFERROR(__xludf.DUMMYFUNCTION("""COMPUTED_VALUE"""),"S 8848 UF")</f>
        <v>S 8848 UF</v>
      </c>
      <c r="B301" s="9" t="str">
        <f>IFERROR(__xludf.DUMMYFUNCTION("""COMPUTED_VALUE"""),"TLPG MEM GRESIK")</f>
        <v>TLPG MEM GRESIK</v>
      </c>
      <c r="C301" s="11">
        <f>IFERROR(__xludf.DUMMYFUNCTION("""COMPUTED_VALUE"""),11.0)</f>
        <v>11</v>
      </c>
      <c r="D301" s="12">
        <v>12.0</v>
      </c>
      <c r="E301" s="34" t="s">
        <v>467</v>
      </c>
      <c r="F301" s="17"/>
      <c r="G301" s="14">
        <v>300.0</v>
      </c>
      <c r="H301" s="17" t="str">
        <f>IFERROR(__xludf.DUMMYFUNCTION("""COMPUTED_VALUE"""),"DK 8078 HJ")</f>
        <v>DK 8078 HJ</v>
      </c>
      <c r="I301" s="17" t="str">
        <f>IFERROR(__xludf.DUMMYFUNCTION("""COMPUTED_VALUE"""),"TLPG MANGGIS")</f>
        <v>TLPG MANGGIS</v>
      </c>
      <c r="J301" s="17">
        <f>IFERROR(__xludf.DUMMYFUNCTION("""COMPUTED_VALUE"""),11.0)</f>
        <v>11</v>
      </c>
    </row>
    <row r="302">
      <c r="A302" s="13" t="str">
        <f>IFERROR(__xludf.DUMMYFUNCTION("""COMPUTED_VALUE"""),"S 8943 UU")</f>
        <v>S 8943 UU</v>
      </c>
      <c r="B302" s="9" t="str">
        <f>IFERROR(__xludf.DUMMYFUNCTION("""COMPUTED_VALUE"""),"TLPG TJ PERAK")</f>
        <v>TLPG TJ PERAK</v>
      </c>
      <c r="C302" s="11">
        <f>IFERROR(__xludf.DUMMYFUNCTION("""COMPUTED_VALUE"""),11.0)</f>
        <v>11</v>
      </c>
      <c r="D302" s="12">
        <v>9.0</v>
      </c>
      <c r="E302" s="34" t="s">
        <v>464</v>
      </c>
      <c r="F302" s="17"/>
      <c r="G302" s="14">
        <v>301.0</v>
      </c>
      <c r="H302" s="17" t="str">
        <f>IFERROR(__xludf.DUMMYFUNCTION("""COMPUTED_VALUE"""),"DK 8636 BE")</f>
        <v>DK 8636 BE</v>
      </c>
      <c r="I302" s="17" t="str">
        <f>IFERROR(__xludf.DUMMYFUNCTION("""COMPUTED_VALUE"""),"TLPG MANGGIS")</f>
        <v>TLPG MANGGIS</v>
      </c>
      <c r="J302" s="17">
        <f>IFERROR(__xludf.DUMMYFUNCTION("""COMPUTED_VALUE"""),11.0)</f>
        <v>11</v>
      </c>
    </row>
    <row r="303">
      <c r="A303" s="13" t="str">
        <f>IFERROR(__xludf.DUMMYFUNCTION("""COMPUTED_VALUE"""),"S 8977 UL")</f>
        <v>S 8977 UL</v>
      </c>
      <c r="B303" s="9" t="str">
        <f>IFERROR(__xludf.DUMMYFUNCTION("""COMPUTED_VALUE"""),"TLPG TJ PERAK")</f>
        <v>TLPG TJ PERAK</v>
      </c>
      <c r="C303" s="11">
        <f>IFERROR(__xludf.DUMMYFUNCTION("""COMPUTED_VALUE"""),11.0)</f>
        <v>11</v>
      </c>
      <c r="D303" s="12">
        <v>9.0</v>
      </c>
      <c r="E303" s="34" t="s">
        <v>502</v>
      </c>
      <c r="F303" s="17"/>
      <c r="G303" s="14">
        <v>302.0</v>
      </c>
      <c r="H303" s="17" t="str">
        <f>IFERROR(__xludf.DUMMYFUNCTION("""COMPUTED_VALUE"""),"P 8824 UI")</f>
        <v>P 8824 UI</v>
      </c>
      <c r="I303" s="17" t="str">
        <f>IFERROR(__xludf.DUMMYFUNCTION("""COMPUTED_VALUE"""),"TLPG TJ WANGI")</f>
        <v>TLPG TJ WANGI</v>
      </c>
      <c r="J303" s="17">
        <f>IFERROR(__xludf.DUMMYFUNCTION("""COMPUTED_VALUE"""),11.0)</f>
        <v>11</v>
      </c>
    </row>
    <row r="304">
      <c r="A304" s="13" t="str">
        <f>IFERROR(__xludf.DUMMYFUNCTION("""COMPUTED_VALUE"""),"W 8059 UD")</f>
        <v>W 8059 UD</v>
      </c>
      <c r="B304" s="9" t="str">
        <f>IFERROR(__xludf.DUMMYFUNCTION("""COMPUTED_VALUE"""),"TLPG LOMBOK")</f>
        <v>TLPG LOMBOK</v>
      </c>
      <c r="C304" s="11">
        <f>IFERROR(__xludf.DUMMYFUNCTION("""COMPUTED_VALUE"""),11.0)</f>
        <v>11</v>
      </c>
      <c r="D304" s="12">
        <v>9.0</v>
      </c>
      <c r="E304" s="34" t="s">
        <v>375</v>
      </c>
      <c r="F304" s="17"/>
      <c r="G304" s="14">
        <v>303.0</v>
      </c>
      <c r="H304" s="17" t="str">
        <f>IFERROR(__xludf.DUMMYFUNCTION("""COMPUTED_VALUE"""),"P 8970 UG")</f>
        <v>P 8970 UG</v>
      </c>
      <c r="I304" s="17" t="str">
        <f>IFERROR(__xludf.DUMMYFUNCTION("""COMPUTED_VALUE"""),"TLPG TJ WANGI")</f>
        <v>TLPG TJ WANGI</v>
      </c>
      <c r="J304" s="17">
        <f>IFERROR(__xludf.DUMMYFUNCTION("""COMPUTED_VALUE"""),11.0)</f>
        <v>11</v>
      </c>
    </row>
    <row r="305">
      <c r="A305" s="13" t="str">
        <f>IFERROR(__xludf.DUMMYFUNCTION("""COMPUTED_VALUE"""),"B 9872 SFV")</f>
        <v>B 9872 SFV</v>
      </c>
      <c r="B305" s="9" t="str">
        <f>IFERROR(__xludf.DUMMYFUNCTION("""COMPUTED_VALUE"""),"TLPG MEM GRESIK")</f>
        <v>TLPG MEM GRESIK</v>
      </c>
      <c r="C305" s="11">
        <f>IFERROR(__xludf.DUMMYFUNCTION("""COMPUTED_VALUE"""),12.0)</f>
        <v>12</v>
      </c>
      <c r="D305" s="12">
        <v>12.0</v>
      </c>
      <c r="E305" s="34" t="s">
        <v>121</v>
      </c>
      <c r="F305" s="17"/>
      <c r="G305" s="14">
        <v>304.0</v>
      </c>
      <c r="H305" s="17" t="str">
        <f>IFERROR(__xludf.DUMMYFUNCTION("""COMPUTED_VALUE"""),"S 8936 UM")</f>
        <v>S 8936 UM</v>
      </c>
      <c r="I305" s="17" t="str">
        <f>IFERROR(__xludf.DUMMYFUNCTION("""COMPUTED_VALUE"""),"TLPG TJ PERAK")</f>
        <v>TLPG TJ PERAK</v>
      </c>
      <c r="J305" s="17">
        <f>IFERROR(__xludf.DUMMYFUNCTION("""COMPUTED_VALUE"""),11.0)</f>
        <v>11</v>
      </c>
    </row>
    <row r="306">
      <c r="A306" s="13" t="str">
        <f>IFERROR(__xludf.DUMMYFUNCTION("""COMPUTED_VALUE"""),"DK 8078 HJ")</f>
        <v>DK 8078 HJ</v>
      </c>
      <c r="B306" s="9" t="str">
        <f>IFERROR(__xludf.DUMMYFUNCTION("""COMPUTED_VALUE"""),"TLPG MANGGIS")</f>
        <v>TLPG MANGGIS</v>
      </c>
      <c r="C306" s="11">
        <f>IFERROR(__xludf.DUMMYFUNCTION("""COMPUTED_VALUE"""),12.0)</f>
        <v>12</v>
      </c>
      <c r="D306" s="12">
        <v>11.0</v>
      </c>
      <c r="E306" s="34" t="s">
        <v>127</v>
      </c>
      <c r="F306" s="17"/>
      <c r="G306" s="14">
        <v>305.0</v>
      </c>
      <c r="H306" s="17" t="str">
        <f>IFERROR(__xludf.DUMMYFUNCTION("""COMPUTED_VALUE"""),"DR 8481 KO")</f>
        <v>DR 8481 KO</v>
      </c>
      <c r="I306" s="17" t="str">
        <f>IFERROR(__xludf.DUMMYFUNCTION("""COMPUTED_VALUE"""),"TLPG LOMBOK")</f>
        <v>TLPG LOMBOK</v>
      </c>
      <c r="J306" s="17">
        <f>IFERROR(__xludf.DUMMYFUNCTION("""COMPUTED_VALUE"""),12.0)</f>
        <v>12</v>
      </c>
    </row>
    <row r="307">
      <c r="A307" s="13" t="str">
        <f>IFERROR(__xludf.DUMMYFUNCTION("""COMPUTED_VALUE"""),"DK 8636 BE")</f>
        <v>DK 8636 BE</v>
      </c>
      <c r="B307" s="9" t="str">
        <f>IFERROR(__xludf.DUMMYFUNCTION("""COMPUTED_VALUE"""),"TLPG MANGGIS")</f>
        <v>TLPG MANGGIS</v>
      </c>
      <c r="C307" s="11">
        <f>IFERROR(__xludf.DUMMYFUNCTION("""COMPUTED_VALUE"""),12.0)</f>
        <v>12</v>
      </c>
      <c r="D307" s="12">
        <v>11.0</v>
      </c>
      <c r="E307" s="34" t="s">
        <v>498</v>
      </c>
      <c r="F307" s="17"/>
      <c r="G307" s="14">
        <v>306.0</v>
      </c>
      <c r="H307" s="17" t="str">
        <f>IFERROR(__xludf.DUMMYFUNCTION("""COMPUTED_VALUE"""),"DK 8588 OL")</f>
        <v>DK 8588 OL</v>
      </c>
      <c r="I307" s="17" t="str">
        <f>IFERROR(__xludf.DUMMYFUNCTION("""COMPUTED_VALUE"""),"TLPG MANGGIS")</f>
        <v>TLPG MANGGIS</v>
      </c>
      <c r="J307" s="17">
        <f>IFERROR(__xludf.DUMMYFUNCTION("""COMPUTED_VALUE"""),12.0)</f>
        <v>12</v>
      </c>
    </row>
    <row r="308">
      <c r="A308" s="13" t="str">
        <f>IFERROR(__xludf.DUMMYFUNCTION("""COMPUTED_VALUE"""),"DK 8737 DQ")</f>
        <v>DK 8737 DQ</v>
      </c>
      <c r="B308" s="9" t="str">
        <f>IFERROR(__xludf.DUMMYFUNCTION("""COMPUTED_VALUE"""),"TLPG MANGGIS")</f>
        <v>TLPG MANGGIS</v>
      </c>
      <c r="C308" s="11">
        <f>IFERROR(__xludf.DUMMYFUNCTION("""COMPUTED_VALUE"""),12.0)</f>
        <v>12</v>
      </c>
      <c r="D308" s="12">
        <v>9.0</v>
      </c>
      <c r="E308" s="34" t="s">
        <v>461</v>
      </c>
      <c r="F308" s="17"/>
      <c r="G308" s="14">
        <v>307.0</v>
      </c>
      <c r="H308" s="17" t="str">
        <f>IFERROR(__xludf.DUMMYFUNCTION("""COMPUTED_VALUE"""),"DR 8792 KC")</f>
        <v>DR 8792 KC</v>
      </c>
      <c r="I308" s="17" t="str">
        <f>IFERROR(__xludf.DUMMYFUNCTION("""COMPUTED_VALUE"""),"TLPG LOMBOK")</f>
        <v>TLPG LOMBOK</v>
      </c>
      <c r="J308" s="17">
        <f>IFERROR(__xludf.DUMMYFUNCTION("""COMPUTED_VALUE"""),12.0)</f>
        <v>12</v>
      </c>
    </row>
    <row r="309">
      <c r="A309" s="13" t="str">
        <f>IFERROR(__xludf.DUMMYFUNCTION("""COMPUTED_VALUE"""),"DK 8781 HB")</f>
        <v>DK 8781 HB</v>
      </c>
      <c r="B309" s="9" t="str">
        <f>IFERROR(__xludf.DUMMYFUNCTION("""COMPUTED_VALUE"""),"TLPG MANGGIS")</f>
        <v>TLPG MANGGIS</v>
      </c>
      <c r="C309" s="11">
        <f>IFERROR(__xludf.DUMMYFUNCTION("""COMPUTED_VALUE"""),12.0)</f>
        <v>12</v>
      </c>
      <c r="D309" s="12">
        <v>10.0</v>
      </c>
      <c r="E309" s="34" t="s">
        <v>184</v>
      </c>
      <c r="F309" s="17"/>
      <c r="G309" s="14">
        <v>308.0</v>
      </c>
      <c r="H309" s="17" t="str">
        <f>IFERROR(__xludf.DUMMYFUNCTION("""COMPUTED_VALUE"""),"N 9478 UG")</f>
        <v>N 9478 UG</v>
      </c>
      <c r="I309" s="17" t="str">
        <f>IFERROR(__xludf.DUMMYFUNCTION("""COMPUTED_VALUE"""),"TLPG TJ PERAK")</f>
        <v>TLPG TJ PERAK</v>
      </c>
      <c r="J309" s="17">
        <f>IFERROR(__xludf.DUMMYFUNCTION("""COMPUTED_VALUE"""),12.0)</f>
        <v>12</v>
      </c>
    </row>
    <row r="310">
      <c r="A310" s="13" t="str">
        <f>IFERROR(__xludf.DUMMYFUNCTION("""COMPUTED_VALUE"""),"DK 8834 BM")</f>
        <v>DK 8834 BM</v>
      </c>
      <c r="B310" s="9" t="str">
        <f>IFERROR(__xludf.DUMMYFUNCTION("""COMPUTED_VALUE"""),"TLPG MANGGIS")</f>
        <v>TLPG MANGGIS</v>
      </c>
      <c r="C310" s="11">
        <f>IFERROR(__xludf.DUMMYFUNCTION("""COMPUTED_VALUE"""),12.0)</f>
        <v>12</v>
      </c>
      <c r="D310" s="12">
        <v>10.0</v>
      </c>
      <c r="E310" s="34" t="s">
        <v>500</v>
      </c>
      <c r="F310" s="17"/>
      <c r="G310" s="14">
        <v>309.0</v>
      </c>
      <c r="H310" s="17" t="str">
        <f>IFERROR(__xludf.DUMMYFUNCTION("""COMPUTED_VALUE"""),"N 9578 US")</f>
        <v>N 9578 US</v>
      </c>
      <c r="I310" s="17" t="str">
        <f>IFERROR(__xludf.DUMMYFUNCTION("""COMPUTED_VALUE"""),"TLPG TJ PERAK")</f>
        <v>TLPG TJ PERAK</v>
      </c>
      <c r="J310" s="17">
        <f>IFERROR(__xludf.DUMMYFUNCTION("""COMPUTED_VALUE"""),12.0)</f>
        <v>12</v>
      </c>
    </row>
    <row r="311">
      <c r="A311" s="13" t="str">
        <f>IFERROR(__xludf.DUMMYFUNCTION("""COMPUTED_VALUE"""),"EA 8671 SC")</f>
        <v>EA 8671 SC</v>
      </c>
      <c r="B311" s="9" t="str">
        <f>IFERROR(__xludf.DUMMYFUNCTION("""COMPUTED_VALUE"""),"TLPG BIMA")</f>
        <v>TLPG BIMA</v>
      </c>
      <c r="C311" s="11">
        <f>IFERROR(__xludf.DUMMYFUNCTION("""COMPUTED_VALUE"""),12.0)</f>
        <v>12</v>
      </c>
      <c r="D311" s="12">
        <v>12.0</v>
      </c>
      <c r="E311" s="34" t="s">
        <v>473</v>
      </c>
      <c r="F311" s="17"/>
      <c r="G311" s="14">
        <v>310.0</v>
      </c>
      <c r="H311" s="17" t="str">
        <f>IFERROR(__xludf.DUMMYFUNCTION("""COMPUTED_VALUE"""),"N 9661 UG")</f>
        <v>N 9661 UG</v>
      </c>
      <c r="I311" s="17" t="str">
        <f>IFERROR(__xludf.DUMMYFUNCTION("""COMPUTED_VALUE"""),"TLPG MEM GRESIK")</f>
        <v>TLPG MEM GRESIK</v>
      </c>
      <c r="J311" s="17">
        <f>IFERROR(__xludf.DUMMYFUNCTION("""COMPUTED_VALUE"""),12.0)</f>
        <v>12</v>
      </c>
    </row>
    <row r="312">
      <c r="A312" s="13" t="str">
        <f>IFERROR(__xludf.DUMMYFUNCTION("""COMPUTED_VALUE"""),"L 9828 UJ")</f>
        <v>L 9828 UJ</v>
      </c>
      <c r="B312" s="9" t="str">
        <f>IFERROR(__xludf.DUMMYFUNCTION("""COMPUTED_VALUE"""),"TLPG MEM GRESIK")</f>
        <v>TLPG MEM GRESIK</v>
      </c>
      <c r="C312" s="11">
        <f>IFERROR(__xludf.DUMMYFUNCTION("""COMPUTED_VALUE"""),12.0)</f>
        <v>12</v>
      </c>
      <c r="D312" s="12">
        <v>12.0</v>
      </c>
      <c r="E312" s="34" t="s">
        <v>83</v>
      </c>
      <c r="F312" s="17"/>
      <c r="G312" s="14">
        <v>311.0</v>
      </c>
      <c r="H312" s="17" t="str">
        <f>IFERROR(__xludf.DUMMYFUNCTION("""COMPUTED_VALUE"""),"P 8208 UG")</f>
        <v>P 8208 UG</v>
      </c>
      <c r="I312" s="17" t="str">
        <f>IFERROR(__xludf.DUMMYFUNCTION("""COMPUTED_VALUE"""),"TLPG MEM GRESIK")</f>
        <v>TLPG MEM GRESIK</v>
      </c>
      <c r="J312" s="17">
        <f>IFERROR(__xludf.DUMMYFUNCTION("""COMPUTED_VALUE"""),12.0)</f>
        <v>12</v>
      </c>
    </row>
    <row r="313">
      <c r="A313" s="13" t="str">
        <f>IFERROR(__xludf.DUMMYFUNCTION("""COMPUTED_VALUE"""),"N 8025 UZ")</f>
        <v>N 8025 UZ</v>
      </c>
      <c r="B313" s="9" t="str">
        <f>IFERROR(__xludf.DUMMYFUNCTION("""COMPUTED_VALUE"""),"TLPG MEM GRESIK")</f>
        <v>TLPG MEM GRESIK</v>
      </c>
      <c r="C313" s="11">
        <f>IFERROR(__xludf.DUMMYFUNCTION("""COMPUTED_VALUE"""),12.0)</f>
        <v>12</v>
      </c>
      <c r="D313" s="12">
        <v>10.0</v>
      </c>
      <c r="E313" s="34" t="s">
        <v>497</v>
      </c>
      <c r="F313" s="17"/>
      <c r="G313" s="14">
        <v>312.0</v>
      </c>
      <c r="H313" s="17" t="str">
        <f>IFERROR(__xludf.DUMMYFUNCTION("""COMPUTED_VALUE"""),"DK 8640 VM")</f>
        <v>DK 8640 VM</v>
      </c>
      <c r="I313" s="17" t="str">
        <f>IFERROR(__xludf.DUMMYFUNCTION("""COMPUTED_VALUE"""),"TLPG MANGGIS")</f>
        <v>TLPG MANGGIS</v>
      </c>
      <c r="J313" s="17">
        <f>IFERROR(__xludf.DUMMYFUNCTION("""COMPUTED_VALUE"""),12.0)</f>
        <v>12</v>
      </c>
    </row>
    <row r="314">
      <c r="A314" s="13" t="str">
        <f>IFERROR(__xludf.DUMMYFUNCTION("""COMPUTED_VALUE"""),"P 8824 UI")</f>
        <v>P 8824 UI</v>
      </c>
      <c r="B314" s="9" t="str">
        <f>IFERROR(__xludf.DUMMYFUNCTION("""COMPUTED_VALUE"""),"TLPG TJ WANGI")</f>
        <v>TLPG TJ WANGI</v>
      </c>
      <c r="C314" s="11">
        <f>IFERROR(__xludf.DUMMYFUNCTION("""COMPUTED_VALUE"""),12.0)</f>
        <v>12</v>
      </c>
      <c r="D314" s="12">
        <v>11.0</v>
      </c>
      <c r="E314" s="34" t="s">
        <v>472</v>
      </c>
      <c r="F314" s="17"/>
      <c r="G314" s="14">
        <v>313.0</v>
      </c>
      <c r="H314" s="17" t="str">
        <f>IFERROR(__xludf.DUMMYFUNCTION("""COMPUTED_VALUE"""),"DK 8735 DQ")</f>
        <v>DK 8735 DQ</v>
      </c>
      <c r="I314" s="17" t="str">
        <f>IFERROR(__xludf.DUMMYFUNCTION("""COMPUTED_VALUE"""),"TLPG MANGGIS")</f>
        <v>TLPG MANGGIS</v>
      </c>
      <c r="J314" s="17">
        <f>IFERROR(__xludf.DUMMYFUNCTION("""COMPUTED_VALUE"""),12.0)</f>
        <v>12</v>
      </c>
    </row>
    <row r="315">
      <c r="A315" s="13" t="str">
        <f>IFERROR(__xludf.DUMMYFUNCTION("""COMPUTED_VALUE"""),"P 8970 UG")</f>
        <v>P 8970 UG</v>
      </c>
      <c r="B315" s="9" t="str">
        <f>IFERROR(__xludf.DUMMYFUNCTION("""COMPUTED_VALUE"""),"TLPG TJ WANGI")</f>
        <v>TLPG TJ WANGI</v>
      </c>
      <c r="C315" s="11">
        <f>IFERROR(__xludf.DUMMYFUNCTION("""COMPUTED_VALUE"""),12.0)</f>
        <v>12</v>
      </c>
      <c r="D315" s="12">
        <v>11.0</v>
      </c>
      <c r="E315" s="34" t="s">
        <v>457</v>
      </c>
      <c r="F315" s="17"/>
      <c r="G315" s="14">
        <v>314.0</v>
      </c>
      <c r="H315" s="17" t="str">
        <f>IFERROR(__xludf.DUMMYFUNCTION("""COMPUTED_VALUE"""),"P 8821 UW")</f>
        <v>P 8821 UW</v>
      </c>
      <c r="I315" s="17" t="str">
        <f>IFERROR(__xludf.DUMMYFUNCTION("""COMPUTED_VALUE"""),"TLPG TJ WANGI")</f>
        <v>TLPG TJ WANGI</v>
      </c>
      <c r="J315" s="17">
        <f>IFERROR(__xludf.DUMMYFUNCTION("""COMPUTED_VALUE"""),12.0)</f>
        <v>12</v>
      </c>
    </row>
    <row r="316">
      <c r="A316" s="13" t="str">
        <f>IFERROR(__xludf.DUMMYFUNCTION("""COMPUTED_VALUE"""),"S 8936 UM")</f>
        <v>S 8936 UM</v>
      </c>
      <c r="B316" s="9" t="str">
        <f>IFERROR(__xludf.DUMMYFUNCTION("""COMPUTED_VALUE"""),"TLPG TJ PERAK")</f>
        <v>TLPG TJ PERAK</v>
      </c>
      <c r="C316" s="11">
        <f>IFERROR(__xludf.DUMMYFUNCTION("""COMPUTED_VALUE"""),12.0)</f>
        <v>12</v>
      </c>
      <c r="D316" s="12">
        <v>11.0</v>
      </c>
      <c r="E316" s="34" t="s">
        <v>507</v>
      </c>
      <c r="F316" s="17"/>
      <c r="G316" s="14">
        <v>315.0</v>
      </c>
      <c r="H316" s="17" t="str">
        <f>IFERROR(__xludf.DUMMYFUNCTION("""COMPUTED_VALUE"""),"S 8848 UF")</f>
        <v>S 8848 UF</v>
      </c>
      <c r="I316" s="17" t="str">
        <f>IFERROR(__xludf.DUMMYFUNCTION("""COMPUTED_VALUE"""),"TLPG MEM GRESIK")</f>
        <v>TLPG MEM GRESIK</v>
      </c>
      <c r="J316" s="17">
        <f>IFERROR(__xludf.DUMMYFUNCTION("""COMPUTED_VALUE"""),12.0)</f>
        <v>12</v>
      </c>
    </row>
    <row r="317">
      <c r="A317" s="13" t="str">
        <f>IFERROR(__xludf.DUMMYFUNCTION("""COMPUTED_VALUE"""),"S 8940 UF")</f>
        <v>S 8940 UF</v>
      </c>
      <c r="B317" s="9" t="str">
        <f>IFERROR(__xludf.DUMMYFUNCTION("""COMPUTED_VALUE"""),"TLPG MEM GRESIK")</f>
        <v>TLPG MEM GRESIK</v>
      </c>
      <c r="C317" s="11">
        <f>IFERROR(__xludf.DUMMYFUNCTION("""COMPUTED_VALUE"""),12.0)</f>
        <v>12</v>
      </c>
      <c r="D317" s="12">
        <v>12.0</v>
      </c>
      <c r="E317" s="34" t="s">
        <v>467</v>
      </c>
      <c r="F317" s="17"/>
      <c r="G317" s="14">
        <v>316.0</v>
      </c>
      <c r="H317" s="17" t="str">
        <f>IFERROR(__xludf.DUMMYFUNCTION("""COMPUTED_VALUE"""),"B 9872 SFV")</f>
        <v>B 9872 SFV</v>
      </c>
      <c r="I317" s="17" t="str">
        <f>IFERROR(__xludf.DUMMYFUNCTION("""COMPUTED_VALUE"""),"TLPG MEM GRESIK")</f>
        <v>TLPG MEM GRESIK</v>
      </c>
      <c r="J317" s="17">
        <f>IFERROR(__xludf.DUMMYFUNCTION("""COMPUTED_VALUE"""),12.0)</f>
        <v>12</v>
      </c>
    </row>
    <row r="318">
      <c r="A318" s="13" t="str">
        <f>IFERROR(__xludf.DUMMYFUNCTION("""COMPUTED_VALUE"""),"S 9010 NI")</f>
        <v>S 9010 NI</v>
      </c>
      <c r="B318" s="9" t="str">
        <f>IFERROR(__xludf.DUMMYFUNCTION("""COMPUTED_VALUE"""),"TLPG TJ PERAK")</f>
        <v>TLPG TJ PERAK</v>
      </c>
      <c r="C318" s="11">
        <f>IFERROR(__xludf.DUMMYFUNCTION("""COMPUTED_VALUE"""),12.0)</f>
        <v>12</v>
      </c>
      <c r="D318" s="12">
        <v>12.0</v>
      </c>
      <c r="E318" s="34" t="s">
        <v>477</v>
      </c>
      <c r="F318" s="17"/>
      <c r="G318" s="14">
        <v>317.0</v>
      </c>
      <c r="H318" s="17" t="str">
        <f>IFERROR(__xludf.DUMMYFUNCTION("""COMPUTED_VALUE"""),"EA 8671 SC")</f>
        <v>EA 8671 SC</v>
      </c>
      <c r="I318" s="17" t="str">
        <f>IFERROR(__xludf.DUMMYFUNCTION("""COMPUTED_VALUE"""),"TLPG BIMA")</f>
        <v>TLPG BIMA</v>
      </c>
      <c r="J318" s="17">
        <f>IFERROR(__xludf.DUMMYFUNCTION("""COMPUTED_VALUE"""),12.0)</f>
        <v>12</v>
      </c>
    </row>
    <row r="319">
      <c r="A319" s="13" t="str">
        <f>IFERROR(__xludf.DUMMYFUNCTION("""COMPUTED_VALUE"""),"S 9096 UH")</f>
        <v>S 9096 UH</v>
      </c>
      <c r="B319" s="9" t="str">
        <f>IFERROR(__xludf.DUMMYFUNCTION("""COMPUTED_VALUE"""),"TLPG TJ PERAK")</f>
        <v>TLPG TJ PERAK</v>
      </c>
      <c r="C319" s="11">
        <f>IFERROR(__xludf.DUMMYFUNCTION("""COMPUTED_VALUE"""),12.0)</f>
        <v>12</v>
      </c>
      <c r="D319" s="12">
        <v>12.0</v>
      </c>
      <c r="E319" s="34" t="s">
        <v>479</v>
      </c>
      <c r="F319" s="17"/>
      <c r="G319" s="14">
        <v>318.0</v>
      </c>
      <c r="H319" s="17" t="str">
        <f>IFERROR(__xludf.DUMMYFUNCTION("""COMPUTED_VALUE"""),"L 9828 UJ")</f>
        <v>L 9828 UJ</v>
      </c>
      <c r="I319" s="17" t="str">
        <f>IFERROR(__xludf.DUMMYFUNCTION("""COMPUTED_VALUE"""),"TLPG MEM GRESIK")</f>
        <v>TLPG MEM GRESIK</v>
      </c>
      <c r="J319" s="17">
        <f>IFERROR(__xludf.DUMMYFUNCTION("""COMPUTED_VALUE"""),12.0)</f>
        <v>12</v>
      </c>
    </row>
    <row r="320">
      <c r="A320" s="13" t="str">
        <f>IFERROR(__xludf.DUMMYFUNCTION("""COMPUTED_VALUE"""),"S 9343 UZ")</f>
        <v>S 9343 UZ</v>
      </c>
      <c r="B320" s="9" t="str">
        <f>IFERROR(__xludf.DUMMYFUNCTION("""COMPUTED_VALUE"""),"TLPG TJ PERAK")</f>
        <v>TLPG TJ PERAK</v>
      </c>
      <c r="C320" s="11">
        <f>IFERROR(__xludf.DUMMYFUNCTION("""COMPUTED_VALUE"""),12.0)</f>
        <v>12</v>
      </c>
      <c r="D320" s="12">
        <v>12.0</v>
      </c>
      <c r="E320" s="34" t="s">
        <v>483</v>
      </c>
      <c r="F320" s="17"/>
      <c r="G320" s="14">
        <v>319.0</v>
      </c>
      <c r="H320" s="17" t="str">
        <f>IFERROR(__xludf.DUMMYFUNCTION("""COMPUTED_VALUE"""),"S 8940 UF")</f>
        <v>S 8940 UF</v>
      </c>
      <c r="I320" s="17" t="str">
        <f>IFERROR(__xludf.DUMMYFUNCTION("""COMPUTED_VALUE"""),"TLPG MEM GRESIK")</f>
        <v>TLPG MEM GRESIK</v>
      </c>
      <c r="J320" s="17">
        <f>IFERROR(__xludf.DUMMYFUNCTION("""COMPUTED_VALUE"""),12.0)</f>
        <v>12</v>
      </c>
    </row>
    <row r="321">
      <c r="A321" s="13" t="str">
        <f>IFERROR(__xludf.DUMMYFUNCTION("""COMPUTED_VALUE"""),"S 9611 UJ")</f>
        <v>S 9611 UJ</v>
      </c>
      <c r="B321" s="9" t="str">
        <f>IFERROR(__xludf.DUMMYFUNCTION("""COMPUTED_VALUE"""),"TLPG TJ PERAK")</f>
        <v>TLPG TJ PERAK</v>
      </c>
      <c r="C321" s="11">
        <f>IFERROR(__xludf.DUMMYFUNCTION("""COMPUTED_VALUE"""),12.0)</f>
        <v>12</v>
      </c>
      <c r="D321" s="12">
        <v>12.0</v>
      </c>
      <c r="E321" s="34" t="s">
        <v>485</v>
      </c>
      <c r="F321" s="17"/>
      <c r="G321" s="14">
        <v>320.0</v>
      </c>
      <c r="H321" s="17" t="str">
        <f>IFERROR(__xludf.DUMMYFUNCTION("""COMPUTED_VALUE"""),"S 9010 NI")</f>
        <v>S 9010 NI</v>
      </c>
      <c r="I321" s="17" t="str">
        <f>IFERROR(__xludf.DUMMYFUNCTION("""COMPUTED_VALUE"""),"TLPG TJ PERAK")</f>
        <v>TLPG TJ PERAK</v>
      </c>
      <c r="J321" s="17">
        <f>IFERROR(__xludf.DUMMYFUNCTION("""COMPUTED_VALUE"""),12.0)</f>
        <v>12</v>
      </c>
    </row>
    <row r="322">
      <c r="A322" s="13" t="str">
        <f>IFERROR(__xludf.DUMMYFUNCTION("""COMPUTED_VALUE"""),"S 9614 UJ")</f>
        <v>S 9614 UJ</v>
      </c>
      <c r="B322" s="9" t="str">
        <f>IFERROR(__xludf.DUMMYFUNCTION("""COMPUTED_VALUE"""),"TLPG TJ PERAK")</f>
        <v>TLPG TJ PERAK</v>
      </c>
      <c r="C322" s="11">
        <f>IFERROR(__xludf.DUMMYFUNCTION("""COMPUTED_VALUE"""),12.0)</f>
        <v>12</v>
      </c>
      <c r="D322" s="12">
        <v>12.0</v>
      </c>
      <c r="E322" s="34" t="s">
        <v>485</v>
      </c>
      <c r="F322" s="17"/>
      <c r="G322" s="14">
        <v>321.0</v>
      </c>
      <c r="H322" s="17" t="str">
        <f>IFERROR(__xludf.DUMMYFUNCTION("""COMPUTED_VALUE"""),"S 9096 UH")</f>
        <v>S 9096 UH</v>
      </c>
      <c r="I322" s="17" t="str">
        <f>IFERROR(__xludf.DUMMYFUNCTION("""COMPUTED_VALUE"""),"TLPG TJ PERAK")</f>
        <v>TLPG TJ PERAK</v>
      </c>
      <c r="J322" s="17">
        <f>IFERROR(__xludf.DUMMYFUNCTION("""COMPUTED_VALUE"""),12.0)</f>
        <v>12</v>
      </c>
    </row>
    <row r="323">
      <c r="A323" s="13" t="str">
        <f>IFERROR(__xludf.DUMMYFUNCTION("""COMPUTED_VALUE"""),"S 9650 UE")</f>
        <v>S 9650 UE</v>
      </c>
      <c r="B323" s="9" t="str">
        <f>IFERROR(__xludf.DUMMYFUNCTION("""COMPUTED_VALUE"""),"TLPG TJ PERAK")</f>
        <v>TLPG TJ PERAK</v>
      </c>
      <c r="C323" s="11">
        <f>IFERROR(__xludf.DUMMYFUNCTION("""COMPUTED_VALUE"""),12.0)</f>
        <v>12</v>
      </c>
      <c r="D323" s="12">
        <v>12.0</v>
      </c>
      <c r="E323" s="34" t="s">
        <v>479</v>
      </c>
      <c r="F323" s="17"/>
      <c r="G323" s="14">
        <v>322.0</v>
      </c>
      <c r="H323" s="17" t="str">
        <f>IFERROR(__xludf.DUMMYFUNCTION("""COMPUTED_VALUE"""),"S 9343 UZ")</f>
        <v>S 9343 UZ</v>
      </c>
      <c r="I323" s="17" t="str">
        <f>IFERROR(__xludf.DUMMYFUNCTION("""COMPUTED_VALUE"""),"TLPG TJ PERAK")</f>
        <v>TLPG TJ PERAK</v>
      </c>
      <c r="J323" s="17">
        <f>IFERROR(__xludf.DUMMYFUNCTION("""COMPUTED_VALUE"""),12.0)</f>
        <v>12</v>
      </c>
    </row>
    <row r="324">
      <c r="A324" s="13" t="str">
        <f>IFERROR(__xludf.DUMMYFUNCTION("""COMPUTED_VALUE"""),"S 9973 UQ")</f>
        <v>S 9973 UQ</v>
      </c>
      <c r="B324" s="9" t="str">
        <f>IFERROR(__xludf.DUMMYFUNCTION("""COMPUTED_VALUE"""),"TLPG TJ PERAK")</f>
        <v>TLPG TJ PERAK</v>
      </c>
      <c r="C324" s="11">
        <f>IFERROR(__xludf.DUMMYFUNCTION("""COMPUTED_VALUE"""),12.0)</f>
        <v>12</v>
      </c>
      <c r="D324" s="12">
        <v>12.0</v>
      </c>
      <c r="E324" s="34" t="s">
        <v>477</v>
      </c>
      <c r="F324" s="17"/>
      <c r="G324" s="14">
        <v>323.0</v>
      </c>
      <c r="H324" s="17" t="str">
        <f>IFERROR(__xludf.DUMMYFUNCTION("""COMPUTED_VALUE"""),"S 9611 UJ")</f>
        <v>S 9611 UJ</v>
      </c>
      <c r="I324" s="17" t="str">
        <f>IFERROR(__xludf.DUMMYFUNCTION("""COMPUTED_VALUE"""),"TLPG TJ PERAK")</f>
        <v>TLPG TJ PERAK</v>
      </c>
      <c r="J324" s="17">
        <f>IFERROR(__xludf.DUMMYFUNCTION("""COMPUTED_VALUE"""),12.0)</f>
        <v>12</v>
      </c>
    </row>
    <row r="325">
      <c r="A325" s="13" t="str">
        <f>IFERROR(__xludf.DUMMYFUNCTION("""COMPUTED_VALUE"""),"W 8041 UW")</f>
        <v>W 8041 UW</v>
      </c>
      <c r="B325" s="9" t="str">
        <f>IFERROR(__xludf.DUMMYFUNCTION("""COMPUTED_VALUE"""),"TLPG TJ PERAK")</f>
        <v>TLPG TJ PERAK</v>
      </c>
      <c r="C325" s="11">
        <f>IFERROR(__xludf.DUMMYFUNCTION("""COMPUTED_VALUE"""),12.0)</f>
        <v>12</v>
      </c>
      <c r="D325" s="12">
        <v>12.0</v>
      </c>
      <c r="E325" s="34" t="s">
        <v>451</v>
      </c>
      <c r="F325" s="17"/>
      <c r="G325" s="14">
        <v>324.0</v>
      </c>
      <c r="H325" s="17" t="str">
        <f>IFERROR(__xludf.DUMMYFUNCTION("""COMPUTED_VALUE"""),"S 9614 UJ")</f>
        <v>S 9614 UJ</v>
      </c>
      <c r="I325" s="17" t="str">
        <f>IFERROR(__xludf.DUMMYFUNCTION("""COMPUTED_VALUE"""),"TLPG TJ PERAK")</f>
        <v>TLPG TJ PERAK</v>
      </c>
      <c r="J325" s="17">
        <f>IFERROR(__xludf.DUMMYFUNCTION("""COMPUTED_VALUE"""),12.0)</f>
        <v>12</v>
      </c>
    </row>
    <row r="326">
      <c r="A326" s="13" t="str">
        <f>IFERROR(__xludf.DUMMYFUNCTION("""COMPUTED_VALUE"""),"W 8057 UD")</f>
        <v>W 8057 UD</v>
      </c>
      <c r="B326" s="9" t="str">
        <f>IFERROR(__xludf.DUMMYFUNCTION("""COMPUTED_VALUE"""),"TLPG BIMA")</f>
        <v>TLPG BIMA</v>
      </c>
      <c r="C326" s="11">
        <f>IFERROR(__xludf.DUMMYFUNCTION("""COMPUTED_VALUE"""),12.0)</f>
        <v>12</v>
      </c>
      <c r="D326" s="12">
        <v>10.0</v>
      </c>
      <c r="E326" s="34" t="s">
        <v>506</v>
      </c>
      <c r="F326" s="17"/>
      <c r="G326" s="14">
        <v>325.0</v>
      </c>
      <c r="H326" s="17" t="str">
        <f>IFERROR(__xludf.DUMMYFUNCTION("""COMPUTED_VALUE"""),"S 9650 UE")</f>
        <v>S 9650 UE</v>
      </c>
      <c r="I326" s="17" t="str">
        <f>IFERROR(__xludf.DUMMYFUNCTION("""COMPUTED_VALUE"""),"TLPG TJ PERAK")</f>
        <v>TLPG TJ PERAK</v>
      </c>
      <c r="J326" s="17">
        <f>IFERROR(__xludf.DUMMYFUNCTION("""COMPUTED_VALUE"""),12.0)</f>
        <v>12</v>
      </c>
    </row>
    <row r="327">
      <c r="A327" s="13" t="str">
        <f>IFERROR(__xludf.DUMMYFUNCTION("""COMPUTED_VALUE"""),"W 8180 UQ")</f>
        <v>W 8180 UQ</v>
      </c>
      <c r="B327" s="9" t="str">
        <f>IFERROR(__xludf.DUMMYFUNCTION("""COMPUTED_VALUE"""),"TLPG TJ PERAK")</f>
        <v>TLPG TJ PERAK</v>
      </c>
      <c r="C327" s="11">
        <f>IFERROR(__xludf.DUMMYFUNCTION("""COMPUTED_VALUE"""),12.0)</f>
        <v>12</v>
      </c>
      <c r="D327" s="12">
        <v>7.0</v>
      </c>
      <c r="E327" s="34" t="s">
        <v>184</v>
      </c>
      <c r="F327" s="17"/>
      <c r="G327" s="14">
        <v>326.0</v>
      </c>
      <c r="H327" s="17" t="str">
        <f>IFERROR(__xludf.DUMMYFUNCTION("""COMPUTED_VALUE"""),"S 9973 UQ")</f>
        <v>S 9973 UQ</v>
      </c>
      <c r="I327" s="17" t="str">
        <f>IFERROR(__xludf.DUMMYFUNCTION("""COMPUTED_VALUE"""),"TLPG TJ PERAK")</f>
        <v>TLPG TJ PERAK</v>
      </c>
      <c r="J327" s="17">
        <f>IFERROR(__xludf.DUMMYFUNCTION("""COMPUTED_VALUE"""),12.0)</f>
        <v>12</v>
      </c>
    </row>
    <row r="328">
      <c r="A328" s="13" t="str">
        <f>IFERROR(__xludf.DUMMYFUNCTION("""COMPUTED_VALUE"""),"W 8193 PF")</f>
        <v>W 8193 PF</v>
      </c>
      <c r="B328" s="9" t="str">
        <f>IFERROR(__xludf.DUMMYFUNCTION("""COMPUTED_VALUE"""),"TLPG TJ PERAK")</f>
        <v>TLPG TJ PERAK</v>
      </c>
      <c r="C328" s="11">
        <f>IFERROR(__xludf.DUMMYFUNCTION("""COMPUTED_VALUE"""),12.0)</f>
        <v>12</v>
      </c>
      <c r="D328" s="12">
        <v>10.0</v>
      </c>
      <c r="E328" s="34" t="s">
        <v>509</v>
      </c>
      <c r="F328" s="17"/>
      <c r="G328" s="14">
        <v>327.0</v>
      </c>
      <c r="H328" s="17" t="str">
        <f>IFERROR(__xludf.DUMMYFUNCTION("""COMPUTED_VALUE"""),"W 8041 UW")</f>
        <v>W 8041 UW</v>
      </c>
      <c r="I328" s="17" t="str">
        <f>IFERROR(__xludf.DUMMYFUNCTION("""COMPUTED_VALUE"""),"TLPG TJ PERAK")</f>
        <v>TLPG TJ PERAK</v>
      </c>
      <c r="J328" s="17">
        <f>IFERROR(__xludf.DUMMYFUNCTION("""COMPUTED_VALUE"""),12.0)</f>
        <v>12</v>
      </c>
    </row>
    <row r="329">
      <c r="A329" s="13" t="str">
        <f>IFERROR(__xludf.DUMMYFUNCTION("""COMPUTED_VALUE"""),"W 8303 PG")</f>
        <v>W 8303 PG</v>
      </c>
      <c r="B329" s="9" t="str">
        <f>IFERROR(__xludf.DUMMYFUNCTION("""COMPUTED_VALUE"""),"TLPG TJ PERAK")</f>
        <v>TLPG TJ PERAK</v>
      </c>
      <c r="C329" s="11">
        <f>IFERROR(__xludf.DUMMYFUNCTION("""COMPUTED_VALUE"""),12.0)</f>
        <v>12</v>
      </c>
      <c r="D329" s="12">
        <v>12.0</v>
      </c>
      <c r="E329" s="34" t="s">
        <v>499</v>
      </c>
      <c r="F329" s="17"/>
      <c r="G329" s="14">
        <v>328.0</v>
      </c>
      <c r="H329" s="17" t="str">
        <f>IFERROR(__xludf.DUMMYFUNCTION("""COMPUTED_VALUE"""),"W 8303 PG")</f>
        <v>W 8303 PG</v>
      </c>
      <c r="I329" s="17" t="str">
        <f>IFERROR(__xludf.DUMMYFUNCTION("""COMPUTED_VALUE"""),"TLPG TJ PERAK")</f>
        <v>TLPG TJ PERAK</v>
      </c>
      <c r="J329" s="17">
        <f>IFERROR(__xludf.DUMMYFUNCTION("""COMPUTED_VALUE"""),12.0)</f>
        <v>12</v>
      </c>
    </row>
    <row r="330">
      <c r="A330" s="13" t="str">
        <f>IFERROR(__xludf.DUMMYFUNCTION("""COMPUTED_VALUE"""),"W 8353 UR")</f>
        <v>W 8353 UR</v>
      </c>
      <c r="B330" s="9" t="str">
        <f>IFERROR(__xludf.DUMMYFUNCTION("""COMPUTED_VALUE"""),"TLPG TJ PERAK")</f>
        <v>TLPG TJ PERAK</v>
      </c>
      <c r="C330" s="11">
        <f>IFERROR(__xludf.DUMMYFUNCTION("""COMPUTED_VALUE"""),12.0)</f>
        <v>12</v>
      </c>
      <c r="D330" s="12">
        <v>12.0</v>
      </c>
      <c r="E330" s="34" t="s">
        <v>175</v>
      </c>
      <c r="F330" s="17"/>
      <c r="G330" s="14">
        <v>329.0</v>
      </c>
      <c r="H330" s="17" t="str">
        <f>IFERROR(__xludf.DUMMYFUNCTION("""COMPUTED_VALUE"""),"W 8353 UR")</f>
        <v>W 8353 UR</v>
      </c>
      <c r="I330" s="17" t="str">
        <f>IFERROR(__xludf.DUMMYFUNCTION("""COMPUTED_VALUE"""),"TLPG TJ PERAK")</f>
        <v>TLPG TJ PERAK</v>
      </c>
      <c r="J330" s="17">
        <f>IFERROR(__xludf.DUMMYFUNCTION("""COMPUTED_VALUE"""),12.0)</f>
        <v>12</v>
      </c>
    </row>
    <row r="331">
      <c r="A331" s="13" t="str">
        <f>IFERROR(__xludf.DUMMYFUNCTION("""COMPUTED_VALUE"""),"W 8409 UQ")</f>
        <v>W 8409 UQ</v>
      </c>
      <c r="B331" s="9" t="str">
        <f>IFERROR(__xludf.DUMMYFUNCTION("""COMPUTED_VALUE"""),"TLPG MEM GRESIK")</f>
        <v>TLPG MEM GRESIK</v>
      </c>
      <c r="C331" s="11">
        <f>IFERROR(__xludf.DUMMYFUNCTION("""COMPUTED_VALUE"""),12.0)</f>
        <v>12</v>
      </c>
      <c r="D331" s="12">
        <v>12.0</v>
      </c>
      <c r="E331" s="34" t="s">
        <v>503</v>
      </c>
      <c r="F331" s="17"/>
      <c r="G331" s="14">
        <v>330.0</v>
      </c>
      <c r="H331" s="17" t="str">
        <f>IFERROR(__xludf.DUMMYFUNCTION("""COMPUTED_VALUE"""),"W 8409 UQ")</f>
        <v>W 8409 UQ</v>
      </c>
      <c r="I331" s="17" t="str">
        <f>IFERROR(__xludf.DUMMYFUNCTION("""COMPUTED_VALUE"""),"TLPG MEM GRESIK")</f>
        <v>TLPG MEM GRESIK</v>
      </c>
      <c r="J331" s="17">
        <f>IFERROR(__xludf.DUMMYFUNCTION("""COMPUTED_VALUE"""),12.0)</f>
        <v>12</v>
      </c>
    </row>
    <row r="332">
      <c r="A332" s="13" t="str">
        <f>IFERROR(__xludf.DUMMYFUNCTION("""COMPUTED_VALUE"""),"W 8637 DV")</f>
        <v>W 8637 DV</v>
      </c>
      <c r="B332" s="9" t="str">
        <f>IFERROR(__xludf.DUMMYFUNCTION("""COMPUTED_VALUE"""),"TLPG TJ PERAK")</f>
        <v>TLPG TJ PERAK</v>
      </c>
      <c r="C332" s="11">
        <f>IFERROR(__xludf.DUMMYFUNCTION("""COMPUTED_VALUE"""),12.0)</f>
        <v>12</v>
      </c>
      <c r="D332" s="12">
        <v>12.0</v>
      </c>
      <c r="E332" s="34" t="s">
        <v>508</v>
      </c>
      <c r="F332" s="17"/>
      <c r="G332" s="14">
        <v>331.0</v>
      </c>
      <c r="H332" s="17" t="str">
        <f>IFERROR(__xludf.DUMMYFUNCTION("""COMPUTED_VALUE"""),"W 8637 DV")</f>
        <v>W 8637 DV</v>
      </c>
      <c r="I332" s="17" t="str">
        <f>IFERROR(__xludf.DUMMYFUNCTION("""COMPUTED_VALUE"""),"TLPG TJ PERAK")</f>
        <v>TLPG TJ PERAK</v>
      </c>
      <c r="J332" s="17">
        <f>IFERROR(__xludf.DUMMYFUNCTION("""COMPUTED_VALUE"""),12.0)</f>
        <v>12</v>
      </c>
    </row>
    <row r="333">
      <c r="A333" s="13" t="str">
        <f>IFERROR(__xludf.DUMMYFUNCTION("""COMPUTED_VALUE"""),"W 8042 UD")</f>
        <v>W 8042 UD</v>
      </c>
      <c r="B333" s="9" t="str">
        <f>IFERROR(__xludf.DUMMYFUNCTION("""COMPUTED_VALUE"""),"TLPG LOMBOK")</f>
        <v>TLPG LOMBOK</v>
      </c>
      <c r="C333" s="11">
        <f>IFERROR(__xludf.DUMMYFUNCTION("""COMPUTED_VALUE"""),12.0)</f>
        <v>12</v>
      </c>
      <c r="D333" s="12">
        <v>12.0</v>
      </c>
      <c r="E333" s="34" t="s">
        <v>375</v>
      </c>
      <c r="F333" s="17"/>
      <c r="G333" s="14">
        <v>332.0</v>
      </c>
      <c r="H333" s="17" t="str">
        <f>IFERROR(__xludf.DUMMYFUNCTION("""COMPUTED_VALUE"""),"W 8042 UD")</f>
        <v>W 8042 UD</v>
      </c>
      <c r="I333" s="17" t="str">
        <f>IFERROR(__xludf.DUMMYFUNCTION("""COMPUTED_VALUE"""),"TLPG LOMBOK")</f>
        <v>TLPG LOMBOK</v>
      </c>
      <c r="J333" s="17">
        <f>IFERROR(__xludf.DUMMYFUNCTION("""COMPUTED_VALUE"""),12.0)</f>
        <v>12</v>
      </c>
    </row>
    <row r="334">
      <c r="F334" s="17"/>
      <c r="G334" s="53"/>
      <c r="I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  <row r="1001">
      <c r="F1001" s="17"/>
    </row>
    <row r="1002">
      <c r="F1002" s="17"/>
    </row>
    <row r="1003">
      <c r="F1003" s="17"/>
    </row>
    <row r="1004">
      <c r="F1004" s="17"/>
    </row>
    <row r="1005">
      <c r="F1005" s="17"/>
    </row>
    <row r="1006">
      <c r="F1006" s="17"/>
    </row>
    <row r="1007">
      <c r="F1007" s="17"/>
    </row>
    <row r="1008">
      <c r="F1008" s="17"/>
    </row>
    <row r="1009">
      <c r="F1009" s="17"/>
    </row>
    <row r="1010">
      <c r="F1010" s="17"/>
    </row>
    <row r="1011">
      <c r="F1011" s="17"/>
    </row>
    <row r="1012">
      <c r="F1012" s="17"/>
    </row>
    <row r="1013">
      <c r="F1013" s="17"/>
    </row>
    <row r="1014">
      <c r="F1014" s="17"/>
    </row>
    <row r="1015">
      <c r="F1015" s="17"/>
    </row>
    <row r="1016">
      <c r="F1016" s="17"/>
    </row>
    <row r="1017">
      <c r="F1017" s="17"/>
    </row>
    <row r="1018">
      <c r="F1018" s="17"/>
    </row>
    <row r="1019">
      <c r="F1019" s="17"/>
    </row>
    <row r="1020">
      <c r="F1020" s="17"/>
    </row>
    <row r="1021">
      <c r="F1021" s="17"/>
    </row>
    <row r="1022">
      <c r="F1022" s="17"/>
    </row>
    <row r="1023">
      <c r="F1023" s="17"/>
    </row>
    <row r="1024">
      <c r="F1024" s="17"/>
    </row>
    <row r="1025">
      <c r="F1025" s="17"/>
    </row>
    <row r="1026">
      <c r="F1026" s="17"/>
    </row>
    <row r="1027">
      <c r="F1027" s="17"/>
    </row>
    <row r="1028">
      <c r="F1028" s="17"/>
    </row>
    <row r="1029">
      <c r="F1029" s="17"/>
    </row>
    <row r="1030">
      <c r="F1030" s="17"/>
    </row>
    <row r="1031">
      <c r="F1031" s="17"/>
    </row>
    <row r="1032">
      <c r="F1032" s="17"/>
    </row>
    <row r="1033">
      <c r="F1033" s="17"/>
    </row>
    <row r="1034">
      <c r="F1034" s="17"/>
    </row>
    <row r="1035">
      <c r="F1035" s="17"/>
    </row>
    <row r="1036">
      <c r="F1036" s="17"/>
    </row>
    <row r="1037">
      <c r="F1037" s="17"/>
    </row>
    <row r="1038">
      <c r="F1038" s="17"/>
    </row>
    <row r="1039">
      <c r="F1039" s="17"/>
    </row>
    <row r="1040">
      <c r="F1040" s="17"/>
    </row>
    <row r="1041">
      <c r="F1041" s="17"/>
    </row>
    <row r="1042">
      <c r="F1042" s="17"/>
    </row>
    <row r="1043">
      <c r="F1043" s="17"/>
    </row>
    <row r="1044">
      <c r="F1044" s="17"/>
    </row>
    <row r="1045">
      <c r="F1045" s="17"/>
    </row>
    <row r="1046">
      <c r="F1046" s="17"/>
    </row>
    <row r="1047">
      <c r="F1047" s="17"/>
    </row>
    <row r="1048">
      <c r="F1048" s="17"/>
    </row>
    <row r="1049">
      <c r="F1049" s="17"/>
    </row>
    <row r="1050">
      <c r="F1050" s="17"/>
    </row>
    <row r="1051">
      <c r="F1051" s="17"/>
    </row>
    <row r="1052">
      <c r="F1052" s="17"/>
    </row>
    <row r="1053">
      <c r="F1053" s="17"/>
    </row>
    <row r="1054">
      <c r="F1054" s="17"/>
    </row>
    <row r="1055">
      <c r="F1055" s="17"/>
    </row>
    <row r="1056">
      <c r="F1056" s="17"/>
    </row>
    <row r="1057">
      <c r="F1057" s="17"/>
    </row>
    <row r="1058">
      <c r="F1058" s="17"/>
    </row>
    <row r="1059">
      <c r="F1059" s="17"/>
    </row>
    <row r="1060">
      <c r="F1060" s="17"/>
    </row>
    <row r="1061">
      <c r="F1061" s="17"/>
    </row>
    <row r="1062">
      <c r="F1062" s="17"/>
    </row>
    <row r="1063">
      <c r="F1063" s="17"/>
    </row>
    <row r="1064">
      <c r="F1064" s="17"/>
    </row>
    <row r="1065">
      <c r="F1065" s="17"/>
    </row>
    <row r="1066">
      <c r="F1066" s="17"/>
    </row>
    <row r="1067">
      <c r="F1067" s="17"/>
    </row>
    <row r="1068">
      <c r="F1068" s="17"/>
    </row>
    <row r="1069">
      <c r="F1069" s="17"/>
    </row>
    <row r="1070">
      <c r="F1070" s="17"/>
    </row>
    <row r="1071">
      <c r="F1071" s="17"/>
    </row>
    <row r="1072">
      <c r="F1072" s="17"/>
    </row>
    <row r="1073">
      <c r="F1073" s="17"/>
    </row>
    <row r="1074">
      <c r="F1074" s="17"/>
    </row>
    <row r="1075">
      <c r="F1075" s="17"/>
    </row>
    <row r="1076">
      <c r="F1076" s="17"/>
    </row>
    <row r="1077">
      <c r="F1077" s="17"/>
    </row>
    <row r="1078">
      <c r="F1078" s="17"/>
    </row>
    <row r="1079">
      <c r="F1079" s="17"/>
    </row>
    <row r="1080">
      <c r="F1080" s="17"/>
    </row>
    <row r="1081">
      <c r="F1081" s="17"/>
    </row>
    <row r="1082">
      <c r="F1082" s="17"/>
    </row>
    <row r="1083">
      <c r="F1083" s="17"/>
    </row>
    <row r="1084">
      <c r="F1084" s="17"/>
    </row>
    <row r="1085">
      <c r="F1085" s="17"/>
    </row>
    <row r="1086">
      <c r="F1086" s="17"/>
    </row>
    <row r="1087">
      <c r="F1087" s="17"/>
    </row>
    <row r="1088">
      <c r="F1088" s="17"/>
    </row>
    <row r="1089">
      <c r="F1089" s="17"/>
    </row>
    <row r="1090">
      <c r="F1090" s="17"/>
    </row>
    <row r="1091">
      <c r="F1091" s="17"/>
    </row>
    <row r="1092">
      <c r="F1092" s="17"/>
    </row>
    <row r="1093">
      <c r="F1093" s="17"/>
    </row>
    <row r="1094">
      <c r="F1094" s="17"/>
    </row>
    <row r="1095">
      <c r="F1095" s="17"/>
    </row>
    <row r="1096">
      <c r="F1096" s="17"/>
    </row>
    <row r="1097">
      <c r="F1097" s="17"/>
    </row>
    <row r="1098">
      <c r="F1098" s="17"/>
    </row>
    <row r="1099">
      <c r="F1099" s="17"/>
    </row>
    <row r="1100">
      <c r="F1100" s="17"/>
    </row>
    <row r="1101">
      <c r="F1101" s="17"/>
    </row>
    <row r="1102">
      <c r="F1102" s="17"/>
    </row>
    <row r="1103">
      <c r="F1103" s="17"/>
    </row>
    <row r="1104">
      <c r="F1104" s="17"/>
    </row>
    <row r="1105">
      <c r="F1105" s="17"/>
    </row>
    <row r="1106">
      <c r="F1106" s="17"/>
    </row>
    <row r="1107">
      <c r="F1107" s="17"/>
    </row>
    <row r="1108">
      <c r="F1108" s="17"/>
    </row>
    <row r="1109">
      <c r="F1109" s="17"/>
    </row>
    <row r="1110">
      <c r="F1110" s="17"/>
    </row>
    <row r="1111">
      <c r="F1111" s="17"/>
    </row>
    <row r="1112">
      <c r="F1112" s="17"/>
    </row>
    <row r="1113">
      <c r="F1113" s="17"/>
    </row>
    <row r="1114">
      <c r="F1114" s="17"/>
    </row>
    <row r="1115">
      <c r="F1115" s="17"/>
    </row>
    <row r="1116">
      <c r="F1116" s="17"/>
    </row>
    <row r="1117">
      <c r="F1117" s="17"/>
    </row>
    <row r="1118">
      <c r="F1118" s="17"/>
    </row>
    <row r="1119">
      <c r="F1119" s="17"/>
    </row>
    <row r="1120">
      <c r="F1120" s="17"/>
    </row>
    <row r="1121">
      <c r="F1121" s="17"/>
    </row>
    <row r="1122">
      <c r="F1122" s="17"/>
    </row>
    <row r="1123">
      <c r="F1123" s="17"/>
    </row>
    <row r="1124">
      <c r="F1124" s="17"/>
    </row>
    <row r="1125">
      <c r="F1125" s="17"/>
    </row>
    <row r="1126">
      <c r="F1126" s="17"/>
    </row>
    <row r="1127">
      <c r="F1127" s="17"/>
    </row>
    <row r="1128">
      <c r="F1128" s="17"/>
    </row>
    <row r="1129">
      <c r="F1129" s="17"/>
    </row>
    <row r="1130">
      <c r="F1130" s="17"/>
    </row>
    <row r="1131">
      <c r="F1131" s="17"/>
    </row>
    <row r="1132">
      <c r="F1132" s="17"/>
    </row>
    <row r="1133">
      <c r="F1133" s="17"/>
    </row>
    <row r="1134">
      <c r="F1134" s="17"/>
    </row>
    <row r="1135">
      <c r="F1135" s="17"/>
    </row>
    <row r="1136">
      <c r="F1136" s="17"/>
    </row>
    <row r="1137">
      <c r="F1137" s="17"/>
    </row>
    <row r="1138">
      <c r="F1138" s="17"/>
    </row>
    <row r="1139">
      <c r="F1139" s="17"/>
    </row>
    <row r="1140">
      <c r="F1140" s="17"/>
    </row>
    <row r="1141">
      <c r="F1141" s="17"/>
    </row>
    <row r="1142">
      <c r="F1142" s="17"/>
    </row>
    <row r="1143">
      <c r="F1143" s="17"/>
    </row>
    <row r="1144">
      <c r="F1144" s="17"/>
    </row>
    <row r="1145">
      <c r="F1145" s="17"/>
    </row>
    <row r="1146">
      <c r="F1146" s="17"/>
    </row>
    <row r="1147">
      <c r="F1147" s="17"/>
    </row>
    <row r="1148">
      <c r="F1148" s="17"/>
    </row>
    <row r="1149">
      <c r="F1149" s="17"/>
    </row>
    <row r="1150">
      <c r="F1150" s="17"/>
    </row>
    <row r="1151">
      <c r="F1151" s="17"/>
    </row>
    <row r="1152">
      <c r="F1152" s="17"/>
    </row>
    <row r="1153">
      <c r="F1153" s="17"/>
    </row>
    <row r="1154">
      <c r="F1154" s="17"/>
    </row>
    <row r="1155">
      <c r="F1155" s="17"/>
    </row>
    <row r="1156">
      <c r="F1156" s="17"/>
    </row>
    <row r="1157">
      <c r="F1157" s="17"/>
    </row>
    <row r="1158">
      <c r="F1158" s="17"/>
    </row>
    <row r="1159">
      <c r="F1159" s="17"/>
    </row>
    <row r="1160">
      <c r="F1160" s="17"/>
    </row>
    <row r="1161">
      <c r="F1161" s="17"/>
    </row>
    <row r="1162">
      <c r="F1162" s="17"/>
    </row>
    <row r="1163">
      <c r="F1163" s="17"/>
    </row>
    <row r="1164">
      <c r="F1164" s="17"/>
    </row>
    <row r="1165">
      <c r="F1165" s="17"/>
    </row>
    <row r="1166">
      <c r="F1166" s="17"/>
    </row>
    <row r="1167">
      <c r="F1167" s="17"/>
    </row>
    <row r="1168">
      <c r="F1168" s="17"/>
    </row>
    <row r="1169">
      <c r="F1169" s="17"/>
    </row>
    <row r="1170">
      <c r="F1170" s="17"/>
    </row>
    <row r="1171">
      <c r="F1171" s="17"/>
    </row>
    <row r="1172">
      <c r="F1172" s="17"/>
    </row>
    <row r="1173">
      <c r="F1173" s="17"/>
    </row>
    <row r="1174">
      <c r="F1174" s="17"/>
    </row>
    <row r="1175">
      <c r="F1175" s="17"/>
    </row>
    <row r="1176">
      <c r="F1176" s="17"/>
    </row>
    <row r="1177">
      <c r="F1177" s="17"/>
    </row>
    <row r="1178">
      <c r="F1178" s="17"/>
    </row>
    <row r="1179">
      <c r="F1179" s="17"/>
    </row>
    <row r="1180">
      <c r="F1180" s="17"/>
    </row>
    <row r="1181">
      <c r="F1181" s="17"/>
    </row>
    <row r="1182">
      <c r="F1182" s="17"/>
    </row>
    <row r="1183">
      <c r="F1183" s="17"/>
    </row>
    <row r="1184">
      <c r="F1184" s="17"/>
    </row>
    <row r="1185">
      <c r="F1185" s="17"/>
    </row>
    <row r="1186">
      <c r="F1186" s="17"/>
    </row>
    <row r="1187">
      <c r="F1187" s="17"/>
    </row>
    <row r="1188">
      <c r="F1188" s="17"/>
    </row>
    <row r="1189">
      <c r="F1189" s="17"/>
    </row>
    <row r="1190">
      <c r="F1190" s="17"/>
    </row>
    <row r="1191">
      <c r="F1191" s="17"/>
    </row>
    <row r="1192">
      <c r="F1192" s="17"/>
    </row>
    <row r="1193">
      <c r="F1193" s="17"/>
    </row>
    <row r="1194">
      <c r="F1194" s="17"/>
    </row>
    <row r="1195">
      <c r="F1195" s="17"/>
    </row>
    <row r="1196">
      <c r="F1196" s="17"/>
    </row>
    <row r="1197">
      <c r="F1197" s="17"/>
    </row>
    <row r="1198">
      <c r="F1198" s="17"/>
    </row>
    <row r="1199">
      <c r="F1199" s="17"/>
    </row>
    <row r="1200">
      <c r="F1200" s="17"/>
    </row>
    <row r="1201">
      <c r="F1201" s="17"/>
    </row>
    <row r="1202">
      <c r="F1202" s="17"/>
    </row>
    <row r="1203">
      <c r="F1203" s="17"/>
    </row>
    <row r="1204">
      <c r="F1204" s="17"/>
    </row>
    <row r="1205">
      <c r="F1205" s="17"/>
    </row>
    <row r="1206">
      <c r="F1206" s="17"/>
    </row>
    <row r="1207">
      <c r="F1207" s="17"/>
    </row>
    <row r="1208">
      <c r="F1208" s="17"/>
    </row>
    <row r="1209">
      <c r="F1209" s="17"/>
    </row>
    <row r="1210">
      <c r="F1210" s="17"/>
    </row>
    <row r="1211">
      <c r="F1211" s="17"/>
    </row>
    <row r="1212">
      <c r="F1212" s="17"/>
    </row>
    <row r="1213">
      <c r="F1213" s="17"/>
    </row>
    <row r="1214">
      <c r="F1214" s="17"/>
    </row>
    <row r="1215">
      <c r="F1215" s="17"/>
    </row>
    <row r="1216">
      <c r="F1216" s="17"/>
    </row>
    <row r="1217">
      <c r="F1217" s="17"/>
    </row>
    <row r="1218">
      <c r="F1218" s="17"/>
    </row>
    <row r="1219">
      <c r="F1219" s="17"/>
    </row>
    <row r="1220">
      <c r="F1220" s="17"/>
    </row>
    <row r="1221">
      <c r="F1221" s="17"/>
    </row>
    <row r="1222">
      <c r="F1222" s="17"/>
    </row>
    <row r="1223">
      <c r="F1223" s="17"/>
    </row>
    <row r="1224">
      <c r="F1224" s="17"/>
    </row>
    <row r="1225">
      <c r="F1225" s="17"/>
    </row>
    <row r="1226">
      <c r="F1226" s="17"/>
    </row>
    <row r="1227">
      <c r="F1227" s="17"/>
    </row>
    <row r="1228">
      <c r="F1228" s="17"/>
    </row>
    <row r="1229">
      <c r="F1229" s="17"/>
    </row>
    <row r="1230">
      <c r="F1230" s="17"/>
    </row>
    <row r="1231">
      <c r="F1231" s="17"/>
    </row>
    <row r="1232">
      <c r="F1232" s="17"/>
    </row>
    <row r="1233">
      <c r="F1233" s="17"/>
    </row>
    <row r="1234">
      <c r="F1234" s="17"/>
    </row>
    <row r="1235">
      <c r="F1235" s="17"/>
    </row>
    <row r="1236">
      <c r="F1236" s="17"/>
    </row>
    <row r="1237">
      <c r="F1237" s="17"/>
    </row>
    <row r="1238">
      <c r="F1238" s="17"/>
    </row>
    <row r="1239">
      <c r="F1239" s="17"/>
    </row>
    <row r="1240">
      <c r="F1240" s="17"/>
    </row>
    <row r="1241">
      <c r="F1241" s="17"/>
    </row>
    <row r="1242">
      <c r="F1242" s="17"/>
    </row>
    <row r="1243">
      <c r="F1243" s="17"/>
    </row>
    <row r="1244">
      <c r="F1244" s="17"/>
    </row>
    <row r="1245">
      <c r="F1245" s="17"/>
    </row>
    <row r="1246">
      <c r="F1246" s="17"/>
    </row>
    <row r="1247">
      <c r="F1247" s="17"/>
    </row>
    <row r="1248">
      <c r="F1248" s="17"/>
    </row>
    <row r="1249">
      <c r="F1249" s="17"/>
    </row>
    <row r="1250">
      <c r="F1250" s="17"/>
    </row>
    <row r="1251">
      <c r="F1251" s="17"/>
    </row>
    <row r="1252">
      <c r="F1252" s="17"/>
    </row>
    <row r="1253">
      <c r="F1253" s="17"/>
    </row>
    <row r="1254">
      <c r="F1254" s="17"/>
    </row>
    <row r="1255">
      <c r="F1255" s="17"/>
    </row>
    <row r="1256">
      <c r="F1256" s="17"/>
    </row>
    <row r="1257">
      <c r="F1257" s="17"/>
    </row>
    <row r="1258">
      <c r="F1258" s="17"/>
    </row>
    <row r="1259">
      <c r="F1259" s="17"/>
    </row>
    <row r="1260">
      <c r="F1260" s="17"/>
    </row>
    <row r="1261">
      <c r="F1261" s="17"/>
    </row>
    <row r="1262">
      <c r="F1262" s="17"/>
    </row>
    <row r="1263">
      <c r="F1263" s="17"/>
    </row>
    <row r="1264">
      <c r="F1264" s="17"/>
    </row>
    <row r="1265">
      <c r="F1265" s="17"/>
    </row>
    <row r="1266">
      <c r="F1266" s="17"/>
    </row>
    <row r="1267">
      <c r="F1267" s="17"/>
    </row>
    <row r="1268">
      <c r="F1268" s="17"/>
    </row>
    <row r="1269">
      <c r="F1269" s="17"/>
    </row>
    <row r="1270">
      <c r="F1270" s="17"/>
    </row>
    <row r="1271">
      <c r="F1271" s="17"/>
    </row>
    <row r="1272">
      <c r="F1272" s="17"/>
    </row>
    <row r="1273">
      <c r="F1273" s="17"/>
    </row>
    <row r="1274">
      <c r="F1274" s="17"/>
    </row>
    <row r="1275">
      <c r="F1275" s="17"/>
    </row>
    <row r="1276">
      <c r="F1276" s="17"/>
    </row>
    <row r="1277">
      <c r="F1277" s="17"/>
    </row>
    <row r="1278">
      <c r="F1278" s="17"/>
    </row>
    <row r="1279">
      <c r="F1279" s="17"/>
    </row>
    <row r="1280">
      <c r="F1280" s="17"/>
    </row>
    <row r="1281">
      <c r="F1281" s="17"/>
    </row>
    <row r="1282">
      <c r="F1282" s="17"/>
    </row>
    <row r="1283">
      <c r="F1283" s="17"/>
    </row>
    <row r="1284">
      <c r="F1284" s="17"/>
    </row>
    <row r="1285">
      <c r="F1285" s="17"/>
    </row>
    <row r="1286">
      <c r="F1286" s="17"/>
    </row>
    <row r="1287">
      <c r="F1287" s="17"/>
    </row>
    <row r="1288">
      <c r="F1288" s="17"/>
    </row>
    <row r="1289">
      <c r="F1289" s="17"/>
    </row>
    <row r="1290">
      <c r="F1290" s="17"/>
    </row>
    <row r="1291">
      <c r="F1291" s="17"/>
    </row>
    <row r="1292">
      <c r="F1292" s="17"/>
    </row>
    <row r="1293">
      <c r="F1293" s="17"/>
    </row>
    <row r="1294">
      <c r="F1294" s="17"/>
    </row>
    <row r="1295">
      <c r="F1295" s="17"/>
    </row>
    <row r="1296">
      <c r="F1296" s="17"/>
    </row>
    <row r="1297">
      <c r="F1297" s="17"/>
    </row>
    <row r="1298">
      <c r="F1298" s="17"/>
    </row>
    <row r="1299">
      <c r="F1299" s="17"/>
    </row>
    <row r="1300">
      <c r="F1300" s="17"/>
    </row>
    <row r="1301">
      <c r="F1301" s="17"/>
    </row>
    <row r="1302">
      <c r="F1302" s="17"/>
    </row>
    <row r="1303">
      <c r="F1303" s="17"/>
    </row>
    <row r="1304">
      <c r="F1304" s="17"/>
    </row>
    <row r="1305">
      <c r="F1305" s="17"/>
    </row>
    <row r="1306">
      <c r="F1306" s="17"/>
    </row>
    <row r="1307">
      <c r="F1307" s="17"/>
    </row>
    <row r="1308">
      <c r="F1308" s="17"/>
    </row>
    <row r="1309">
      <c r="F1309" s="17"/>
    </row>
    <row r="1310">
      <c r="F1310" s="17"/>
    </row>
    <row r="1311">
      <c r="F1311" s="17"/>
    </row>
    <row r="1312">
      <c r="F1312" s="17"/>
    </row>
    <row r="1313">
      <c r="F1313" s="17"/>
    </row>
    <row r="1314">
      <c r="F1314" s="17"/>
    </row>
    <row r="1315">
      <c r="F1315" s="17"/>
    </row>
    <row r="1316">
      <c r="F1316" s="17"/>
    </row>
    <row r="1317">
      <c r="F1317" s="17"/>
    </row>
    <row r="1318">
      <c r="F1318" s="17"/>
    </row>
    <row r="1319">
      <c r="F1319" s="17"/>
    </row>
    <row r="1320">
      <c r="F1320" s="17"/>
    </row>
    <row r="1321">
      <c r="F1321" s="17"/>
    </row>
    <row r="1322">
      <c r="F1322" s="17"/>
    </row>
    <row r="1323">
      <c r="F1323" s="17"/>
    </row>
    <row r="1324">
      <c r="F1324" s="17"/>
    </row>
    <row r="1325">
      <c r="F1325" s="17"/>
    </row>
    <row r="1326">
      <c r="F1326" s="17"/>
    </row>
    <row r="1327">
      <c r="F1327" s="17"/>
    </row>
    <row r="1328">
      <c r="F1328" s="17"/>
    </row>
    <row r="1329">
      <c r="F1329" s="17"/>
    </row>
    <row r="1330">
      <c r="F1330" s="17"/>
    </row>
    <row r="1331">
      <c r="F1331" s="17"/>
    </row>
    <row r="1332">
      <c r="F1332" s="17"/>
    </row>
    <row r="1333">
      <c r="F1333" s="17"/>
    </row>
    <row r="1334">
      <c r="F1334" s="17"/>
    </row>
    <row r="1335">
      <c r="F1335" s="17"/>
    </row>
    <row r="1336">
      <c r="F1336" s="17"/>
    </row>
    <row r="1337">
      <c r="F1337" s="17"/>
    </row>
    <row r="1338">
      <c r="F1338" s="17"/>
    </row>
    <row r="1339">
      <c r="F1339" s="17"/>
    </row>
    <row r="1340">
      <c r="F1340" s="17"/>
    </row>
    <row r="1341">
      <c r="F1341" s="17"/>
    </row>
    <row r="1342">
      <c r="F1342" s="17"/>
    </row>
    <row r="1343">
      <c r="F1343" s="17"/>
    </row>
    <row r="1344">
      <c r="F1344" s="17"/>
    </row>
    <row r="1345">
      <c r="F1345" s="17"/>
    </row>
    <row r="1346">
      <c r="F1346" s="17"/>
    </row>
    <row r="1347">
      <c r="F1347" s="17"/>
    </row>
    <row r="1348">
      <c r="F1348" s="17"/>
    </row>
    <row r="1349">
      <c r="F1349" s="17"/>
    </row>
    <row r="1350">
      <c r="F1350" s="17"/>
    </row>
    <row r="1351">
      <c r="F1351" s="17"/>
    </row>
    <row r="1352">
      <c r="F1352" s="17"/>
    </row>
    <row r="1353">
      <c r="F1353" s="17"/>
    </row>
    <row r="1354">
      <c r="F1354" s="17"/>
    </row>
    <row r="1355">
      <c r="F1355" s="17"/>
    </row>
    <row r="1356">
      <c r="F1356" s="17"/>
    </row>
    <row r="1357">
      <c r="F1357" s="17"/>
    </row>
    <row r="1358">
      <c r="F1358" s="17"/>
    </row>
    <row r="1359">
      <c r="F1359" s="17"/>
    </row>
    <row r="1360">
      <c r="F1360" s="17"/>
    </row>
    <row r="1361">
      <c r="F1361" s="17"/>
    </row>
    <row r="1362">
      <c r="F1362" s="17"/>
    </row>
    <row r="1363">
      <c r="F1363" s="17"/>
    </row>
    <row r="1364">
      <c r="F1364" s="17"/>
    </row>
    <row r="1365">
      <c r="F1365" s="17"/>
    </row>
    <row r="1366">
      <c r="F1366" s="17"/>
    </row>
    <row r="1367">
      <c r="F1367" s="17"/>
    </row>
    <row r="1368">
      <c r="F1368" s="17"/>
    </row>
    <row r="1369">
      <c r="F1369" s="17"/>
    </row>
    <row r="1370">
      <c r="F1370" s="17"/>
    </row>
    <row r="1371">
      <c r="F1371" s="17"/>
    </row>
    <row r="1372">
      <c r="F1372" s="17"/>
    </row>
    <row r="1373">
      <c r="F1373" s="17"/>
    </row>
    <row r="1374">
      <c r="F1374" s="17"/>
    </row>
    <row r="1375">
      <c r="F1375" s="17"/>
    </row>
    <row r="1376">
      <c r="F1376" s="17"/>
    </row>
    <row r="1377">
      <c r="F1377" s="17"/>
    </row>
    <row r="1378">
      <c r="F1378" s="17"/>
    </row>
    <row r="1379">
      <c r="F1379" s="17"/>
    </row>
    <row r="1380">
      <c r="F1380" s="17"/>
    </row>
    <row r="1381">
      <c r="F1381" s="17"/>
    </row>
    <row r="1382">
      <c r="F1382" s="17"/>
    </row>
    <row r="1383">
      <c r="F1383" s="17"/>
    </row>
    <row r="1384">
      <c r="F1384" s="17"/>
    </row>
    <row r="1385">
      <c r="F1385" s="17"/>
    </row>
    <row r="1386">
      <c r="F1386" s="17"/>
    </row>
    <row r="1387">
      <c r="F1387" s="17"/>
    </row>
    <row r="1388">
      <c r="F1388" s="17"/>
    </row>
    <row r="1389">
      <c r="F1389" s="17"/>
    </row>
    <row r="1390">
      <c r="F1390" s="17"/>
    </row>
    <row r="1391">
      <c r="F1391" s="17"/>
    </row>
    <row r="1392">
      <c r="F1392" s="17"/>
    </row>
    <row r="1393">
      <c r="F1393" s="17"/>
    </row>
    <row r="1394">
      <c r="F1394" s="17"/>
    </row>
    <row r="1395">
      <c r="F1395" s="17"/>
    </row>
    <row r="1396">
      <c r="F1396" s="17"/>
    </row>
    <row r="1397">
      <c r="F1397" s="17"/>
    </row>
    <row r="1398">
      <c r="F1398" s="17"/>
    </row>
    <row r="1399">
      <c r="F1399" s="17"/>
    </row>
    <row r="1400">
      <c r="F1400" s="17"/>
    </row>
    <row r="1401">
      <c r="F1401" s="17"/>
    </row>
    <row r="1402">
      <c r="F1402" s="17"/>
    </row>
    <row r="1403">
      <c r="F1403" s="17"/>
    </row>
    <row r="1404">
      <c r="F1404" s="17"/>
    </row>
    <row r="1405">
      <c r="F1405" s="17"/>
    </row>
    <row r="1406">
      <c r="F1406" s="17"/>
    </row>
    <row r="1407">
      <c r="F1407" s="17"/>
    </row>
    <row r="1408">
      <c r="F1408" s="17"/>
    </row>
    <row r="1409">
      <c r="F1409" s="17"/>
    </row>
    <row r="1410">
      <c r="F1410" s="17"/>
    </row>
    <row r="1411">
      <c r="F1411" s="17"/>
    </row>
    <row r="1412">
      <c r="F1412" s="17"/>
    </row>
    <row r="1413">
      <c r="F1413" s="17"/>
    </row>
    <row r="1414">
      <c r="F1414" s="17"/>
    </row>
    <row r="1415">
      <c r="F1415" s="17"/>
    </row>
    <row r="1416">
      <c r="F1416" s="17"/>
    </row>
    <row r="1417">
      <c r="F1417" s="17"/>
    </row>
    <row r="1418">
      <c r="F1418" s="17"/>
    </row>
    <row r="1419">
      <c r="F1419" s="17"/>
    </row>
    <row r="1420">
      <c r="F1420" s="17"/>
    </row>
    <row r="1421">
      <c r="F1421" s="17"/>
    </row>
    <row r="1422">
      <c r="F1422" s="17"/>
    </row>
    <row r="1423">
      <c r="F1423" s="17"/>
    </row>
    <row r="1424">
      <c r="F1424" s="17"/>
    </row>
    <row r="1425">
      <c r="F1425" s="17"/>
    </row>
    <row r="1426">
      <c r="F1426" s="17"/>
    </row>
    <row r="1427">
      <c r="F1427" s="17"/>
    </row>
    <row r="1428">
      <c r="F1428" s="17"/>
    </row>
    <row r="1429">
      <c r="F1429" s="17"/>
    </row>
    <row r="1430">
      <c r="F1430" s="17"/>
    </row>
    <row r="1431">
      <c r="F1431" s="17"/>
    </row>
    <row r="1432">
      <c r="F1432" s="17"/>
    </row>
    <row r="1433">
      <c r="F1433" s="17"/>
    </row>
    <row r="1434">
      <c r="F1434" s="17"/>
    </row>
    <row r="1435">
      <c r="F1435" s="17"/>
    </row>
    <row r="1436">
      <c r="F1436" s="17"/>
    </row>
    <row r="1437">
      <c r="F1437" s="17"/>
    </row>
    <row r="1438">
      <c r="F1438" s="17"/>
    </row>
    <row r="1439">
      <c r="F1439" s="17"/>
    </row>
    <row r="1440">
      <c r="F1440" s="17"/>
    </row>
    <row r="1441">
      <c r="F1441" s="17"/>
    </row>
    <row r="1442">
      <c r="F1442" s="17"/>
    </row>
    <row r="1443">
      <c r="F1443" s="17"/>
    </row>
    <row r="1444">
      <c r="F1444" s="17"/>
    </row>
    <row r="1445">
      <c r="F1445" s="17"/>
    </row>
    <row r="1446">
      <c r="F1446" s="17"/>
    </row>
    <row r="1447">
      <c r="F1447" s="17"/>
    </row>
    <row r="1448">
      <c r="F1448" s="17"/>
    </row>
    <row r="1449">
      <c r="F1449" s="17"/>
    </row>
    <row r="1450">
      <c r="F1450" s="17"/>
    </row>
    <row r="1451">
      <c r="F1451" s="17"/>
    </row>
    <row r="1452">
      <c r="F1452" s="17"/>
    </row>
    <row r="1453">
      <c r="F1453" s="17"/>
    </row>
    <row r="1454">
      <c r="F1454" s="17"/>
    </row>
    <row r="1455">
      <c r="F1455" s="17"/>
    </row>
    <row r="1456">
      <c r="F1456" s="17"/>
    </row>
    <row r="1457">
      <c r="F1457" s="17"/>
    </row>
    <row r="1458">
      <c r="F1458" s="17"/>
    </row>
    <row r="1459">
      <c r="F1459" s="17"/>
    </row>
    <row r="1460">
      <c r="F1460" s="17"/>
    </row>
    <row r="1461">
      <c r="F1461" s="17"/>
    </row>
    <row r="1462">
      <c r="F1462" s="17"/>
    </row>
    <row r="1463">
      <c r="F1463" s="17"/>
    </row>
    <row r="1464">
      <c r="F1464" s="17"/>
    </row>
    <row r="1465">
      <c r="F1465" s="17"/>
    </row>
    <row r="1466">
      <c r="F1466" s="17"/>
    </row>
    <row r="1467">
      <c r="F1467" s="17"/>
    </row>
    <row r="1468">
      <c r="F1468" s="17"/>
    </row>
    <row r="1469">
      <c r="F1469" s="17"/>
    </row>
    <row r="1470">
      <c r="F1470" s="17"/>
    </row>
    <row r="1471">
      <c r="F1471" s="17"/>
    </row>
    <row r="1472">
      <c r="F1472" s="17"/>
    </row>
    <row r="1473">
      <c r="F1473" s="17"/>
    </row>
    <row r="1474">
      <c r="F1474" s="17"/>
    </row>
    <row r="1475">
      <c r="F1475" s="17"/>
    </row>
    <row r="1476">
      <c r="F1476" s="17"/>
    </row>
    <row r="1477">
      <c r="F1477" s="17"/>
    </row>
    <row r="1478">
      <c r="F1478" s="17"/>
    </row>
    <row r="1479">
      <c r="F1479" s="17"/>
    </row>
    <row r="1480">
      <c r="F1480" s="17"/>
    </row>
    <row r="1481">
      <c r="F1481" s="17"/>
    </row>
    <row r="1482">
      <c r="F1482" s="17"/>
    </row>
    <row r="1483">
      <c r="F1483" s="17"/>
    </row>
    <row r="1484">
      <c r="F1484" s="17"/>
    </row>
    <row r="1485">
      <c r="F1485" s="17"/>
    </row>
    <row r="1486">
      <c r="F1486" s="17"/>
    </row>
    <row r="1487">
      <c r="F1487" s="17"/>
    </row>
    <row r="1488">
      <c r="F1488" s="17"/>
    </row>
    <row r="1489">
      <c r="F1489" s="17"/>
    </row>
    <row r="1490">
      <c r="F1490" s="17"/>
    </row>
    <row r="1491">
      <c r="F1491" s="17"/>
    </row>
    <row r="1492">
      <c r="F1492" s="17"/>
    </row>
    <row r="1493">
      <c r="F1493" s="17"/>
    </row>
    <row r="1494">
      <c r="F1494" s="17"/>
    </row>
    <row r="1495">
      <c r="F1495" s="17"/>
    </row>
    <row r="1496">
      <c r="F1496" s="17"/>
    </row>
    <row r="1497">
      <c r="F1497" s="17"/>
    </row>
    <row r="1498">
      <c r="F1498" s="17"/>
    </row>
    <row r="1499">
      <c r="F1499" s="17"/>
    </row>
    <row r="1500">
      <c r="F1500" s="17"/>
    </row>
    <row r="1501">
      <c r="F1501" s="17"/>
    </row>
    <row r="1502">
      <c r="F1502" s="17"/>
    </row>
    <row r="1503">
      <c r="F1503" s="17"/>
    </row>
    <row r="1504">
      <c r="F1504" s="17"/>
    </row>
    <row r="1505">
      <c r="F1505" s="17"/>
    </row>
    <row r="1506">
      <c r="F1506" s="17"/>
    </row>
    <row r="1507">
      <c r="F1507" s="17"/>
    </row>
    <row r="1508">
      <c r="F1508" s="17"/>
    </row>
    <row r="1509">
      <c r="F1509" s="17"/>
    </row>
    <row r="1510">
      <c r="F1510" s="17"/>
    </row>
    <row r="1511">
      <c r="F1511" s="17"/>
    </row>
    <row r="1512">
      <c r="F1512" s="17"/>
    </row>
    <row r="1513">
      <c r="F1513" s="17"/>
    </row>
    <row r="1514">
      <c r="F1514" s="17"/>
    </row>
    <row r="1515">
      <c r="F1515" s="17"/>
    </row>
    <row r="1516">
      <c r="F1516" s="17"/>
    </row>
    <row r="1517">
      <c r="F1517" s="17"/>
    </row>
    <row r="1518">
      <c r="F1518" s="17"/>
    </row>
    <row r="1519">
      <c r="F1519" s="17"/>
    </row>
    <row r="1520">
      <c r="F1520" s="17"/>
    </row>
    <row r="1521">
      <c r="F1521" s="17"/>
    </row>
    <row r="1522">
      <c r="F1522" s="17"/>
    </row>
    <row r="1523">
      <c r="F1523" s="17"/>
    </row>
    <row r="1524">
      <c r="F1524" s="17"/>
    </row>
    <row r="1525">
      <c r="F1525" s="17"/>
    </row>
    <row r="1526">
      <c r="F1526" s="17"/>
    </row>
    <row r="1527">
      <c r="F1527" s="17"/>
    </row>
    <row r="1528">
      <c r="F1528" s="17"/>
    </row>
    <row r="1529">
      <c r="F1529" s="17"/>
    </row>
    <row r="1530">
      <c r="F1530" s="17"/>
    </row>
    <row r="1531">
      <c r="F1531" s="17"/>
    </row>
    <row r="1532">
      <c r="F1532" s="17"/>
    </row>
    <row r="1533">
      <c r="F1533" s="17"/>
    </row>
    <row r="1534">
      <c r="F1534" s="17"/>
    </row>
    <row r="1535">
      <c r="F1535" s="17"/>
    </row>
    <row r="1536">
      <c r="F1536" s="17"/>
    </row>
    <row r="1537">
      <c r="F1537" s="17"/>
    </row>
    <row r="1538">
      <c r="F1538" s="17"/>
    </row>
    <row r="1539">
      <c r="F1539" s="17"/>
    </row>
    <row r="1540">
      <c r="F1540" s="17"/>
    </row>
    <row r="1541">
      <c r="F1541" s="17"/>
    </row>
    <row r="1542">
      <c r="F1542" s="17"/>
    </row>
    <row r="1543">
      <c r="F1543" s="17"/>
    </row>
    <row r="1544">
      <c r="F1544" s="17"/>
    </row>
    <row r="1545">
      <c r="F1545" s="17"/>
    </row>
    <row r="1546">
      <c r="F1546" s="17"/>
    </row>
    <row r="1547">
      <c r="F1547" s="17"/>
    </row>
    <row r="1548">
      <c r="F1548" s="17"/>
    </row>
    <row r="1549">
      <c r="F1549" s="17"/>
    </row>
    <row r="1550">
      <c r="F1550" s="17"/>
    </row>
    <row r="1551">
      <c r="F1551" s="17"/>
    </row>
    <row r="1552">
      <c r="F1552" s="17"/>
    </row>
    <row r="1553">
      <c r="F1553" s="17"/>
    </row>
    <row r="1554">
      <c r="F1554" s="17"/>
    </row>
    <row r="1555">
      <c r="F1555" s="17"/>
    </row>
    <row r="1556">
      <c r="F1556" s="17"/>
    </row>
    <row r="1557">
      <c r="F1557" s="17"/>
    </row>
    <row r="1558">
      <c r="F1558" s="17"/>
    </row>
    <row r="1559">
      <c r="F1559" s="17"/>
    </row>
    <row r="1560">
      <c r="F1560" s="17"/>
    </row>
    <row r="1561">
      <c r="F1561" s="17"/>
    </row>
    <row r="1562">
      <c r="F1562" s="17"/>
    </row>
    <row r="1563">
      <c r="F1563" s="17"/>
    </row>
    <row r="1564">
      <c r="F1564" s="17"/>
    </row>
    <row r="1565">
      <c r="F1565" s="17"/>
    </row>
    <row r="1566">
      <c r="F1566" s="17"/>
    </row>
    <row r="1567">
      <c r="F1567" s="17"/>
    </row>
    <row r="1568">
      <c r="F1568" s="17"/>
    </row>
    <row r="1569">
      <c r="F1569" s="17"/>
    </row>
    <row r="1570">
      <c r="F1570" s="17"/>
    </row>
    <row r="1571">
      <c r="F1571" s="17"/>
    </row>
    <row r="1572">
      <c r="F1572" s="17"/>
    </row>
    <row r="1573">
      <c r="F1573" s="17"/>
    </row>
    <row r="1574">
      <c r="F1574" s="17"/>
    </row>
    <row r="1575">
      <c r="F1575" s="17"/>
    </row>
    <row r="1576">
      <c r="F1576" s="17"/>
    </row>
    <row r="1577">
      <c r="F1577" s="17"/>
    </row>
    <row r="1578">
      <c r="F1578" s="17"/>
    </row>
    <row r="1579">
      <c r="F1579" s="17"/>
    </row>
    <row r="1580">
      <c r="F1580" s="17"/>
    </row>
    <row r="1581">
      <c r="F1581" s="17"/>
    </row>
    <row r="1582">
      <c r="F1582" s="17"/>
    </row>
    <row r="1583">
      <c r="F1583" s="17"/>
    </row>
    <row r="1584">
      <c r="F1584" s="17"/>
    </row>
    <row r="1585">
      <c r="F1585" s="17"/>
    </row>
    <row r="1586">
      <c r="F1586" s="17"/>
    </row>
    <row r="1587">
      <c r="F1587" s="17"/>
    </row>
    <row r="1588">
      <c r="F1588" s="17"/>
    </row>
    <row r="1589">
      <c r="F1589" s="17"/>
    </row>
    <row r="1590">
      <c r="F1590" s="17"/>
    </row>
    <row r="1591">
      <c r="F1591" s="17"/>
    </row>
    <row r="1592">
      <c r="F1592" s="17"/>
    </row>
    <row r="1593">
      <c r="F1593" s="17"/>
    </row>
    <row r="1594">
      <c r="F1594" s="17"/>
    </row>
    <row r="1595">
      <c r="F1595" s="17"/>
    </row>
    <row r="1596">
      <c r="F1596" s="17"/>
    </row>
    <row r="1597">
      <c r="F1597" s="17"/>
    </row>
    <row r="1598">
      <c r="F1598" s="17"/>
    </row>
    <row r="1599">
      <c r="F1599" s="17"/>
    </row>
    <row r="1600">
      <c r="F1600" s="17"/>
    </row>
    <row r="1601">
      <c r="F1601" s="17"/>
    </row>
    <row r="1602">
      <c r="F1602" s="17"/>
    </row>
    <row r="1603">
      <c r="F1603" s="17"/>
    </row>
    <row r="1604">
      <c r="F1604" s="17"/>
    </row>
    <row r="1605">
      <c r="F1605" s="17"/>
    </row>
    <row r="1606">
      <c r="F1606" s="17"/>
    </row>
    <row r="1607">
      <c r="F1607" s="17"/>
    </row>
    <row r="1608">
      <c r="F1608" s="17"/>
    </row>
    <row r="1609">
      <c r="F1609" s="17"/>
    </row>
    <row r="1610">
      <c r="F1610" s="17"/>
    </row>
    <row r="1611">
      <c r="F1611" s="17"/>
    </row>
    <row r="1612">
      <c r="F1612" s="17"/>
    </row>
    <row r="1613">
      <c r="F1613" s="17"/>
    </row>
    <row r="1614">
      <c r="F1614" s="17"/>
    </row>
    <row r="1615">
      <c r="F1615" s="17"/>
    </row>
    <row r="1616">
      <c r="F1616" s="17"/>
    </row>
    <row r="1617">
      <c r="F1617" s="17"/>
    </row>
    <row r="1618">
      <c r="F1618" s="17"/>
    </row>
    <row r="1619">
      <c r="F1619" s="17"/>
    </row>
    <row r="1620">
      <c r="F1620" s="17"/>
    </row>
    <row r="1621">
      <c r="F1621" s="17"/>
    </row>
    <row r="1622">
      <c r="F1622" s="17"/>
    </row>
    <row r="1623">
      <c r="F1623" s="17"/>
    </row>
    <row r="1624">
      <c r="F1624" s="17"/>
    </row>
    <row r="1625">
      <c r="F1625" s="17"/>
    </row>
    <row r="1626">
      <c r="F1626" s="17"/>
    </row>
    <row r="1627">
      <c r="F1627" s="17"/>
    </row>
    <row r="1628">
      <c r="F1628" s="17"/>
    </row>
    <row r="1629">
      <c r="F1629" s="17"/>
    </row>
    <row r="1630">
      <c r="F1630" s="17"/>
    </row>
    <row r="1631">
      <c r="F1631" s="17"/>
    </row>
    <row r="1632">
      <c r="F1632" s="17"/>
    </row>
    <row r="1633">
      <c r="F1633" s="17"/>
    </row>
    <row r="1634">
      <c r="F1634" s="17"/>
    </row>
    <row r="1635">
      <c r="F1635" s="17"/>
    </row>
    <row r="1636">
      <c r="F1636" s="17"/>
    </row>
    <row r="1637">
      <c r="F1637" s="17"/>
    </row>
    <row r="1638">
      <c r="F1638" s="17"/>
    </row>
    <row r="1639">
      <c r="F1639" s="17"/>
    </row>
    <row r="1640">
      <c r="F1640" s="17"/>
    </row>
    <row r="1641">
      <c r="F1641" s="17"/>
    </row>
    <row r="1642">
      <c r="F1642" s="17"/>
    </row>
    <row r="1643">
      <c r="F1643" s="17"/>
    </row>
    <row r="1644">
      <c r="F1644" s="17"/>
    </row>
    <row r="1645">
      <c r="F1645" s="17"/>
    </row>
    <row r="1646">
      <c r="F1646" s="17"/>
    </row>
    <row r="1647">
      <c r="F1647" s="17"/>
    </row>
    <row r="1648">
      <c r="F1648" s="17"/>
    </row>
    <row r="1649">
      <c r="F1649" s="17"/>
    </row>
    <row r="1650">
      <c r="F1650" s="17"/>
    </row>
    <row r="1651">
      <c r="F1651" s="17"/>
    </row>
    <row r="1652">
      <c r="F1652" s="17"/>
    </row>
    <row r="1653">
      <c r="F1653" s="17"/>
    </row>
    <row r="1654">
      <c r="F1654" s="17"/>
    </row>
    <row r="1655">
      <c r="F1655" s="17"/>
    </row>
    <row r="1656">
      <c r="F1656" s="17"/>
    </row>
    <row r="1657">
      <c r="F1657" s="17"/>
    </row>
    <row r="1658">
      <c r="F1658" s="17"/>
    </row>
    <row r="1659">
      <c r="F1659" s="17"/>
    </row>
    <row r="1660">
      <c r="F1660" s="17"/>
    </row>
    <row r="1661">
      <c r="F1661" s="17"/>
    </row>
    <row r="1662">
      <c r="F1662" s="17"/>
    </row>
    <row r="1663">
      <c r="F1663" s="17"/>
    </row>
    <row r="1664">
      <c r="F1664" s="17"/>
    </row>
    <row r="1665">
      <c r="F1665" s="17"/>
    </row>
    <row r="1666">
      <c r="F1666" s="17"/>
    </row>
    <row r="1667">
      <c r="F1667" s="17"/>
    </row>
    <row r="1668">
      <c r="F1668" s="17"/>
    </row>
    <row r="1669">
      <c r="F1669" s="17"/>
    </row>
    <row r="1670">
      <c r="F1670" s="17"/>
    </row>
    <row r="1671">
      <c r="F1671" s="17"/>
    </row>
    <row r="1672">
      <c r="F1672" s="17"/>
    </row>
    <row r="1673">
      <c r="F1673" s="17"/>
    </row>
    <row r="1674">
      <c r="F1674" s="17"/>
    </row>
    <row r="1675">
      <c r="F1675" s="17"/>
    </row>
    <row r="1676">
      <c r="F1676" s="17"/>
    </row>
    <row r="1677">
      <c r="F1677" s="17"/>
    </row>
    <row r="1678">
      <c r="F1678" s="17"/>
    </row>
    <row r="1679">
      <c r="F1679" s="17"/>
    </row>
    <row r="1680">
      <c r="F1680" s="17"/>
    </row>
    <row r="1681">
      <c r="F1681" s="17"/>
    </row>
    <row r="1682">
      <c r="F1682" s="17"/>
    </row>
    <row r="1683">
      <c r="F1683" s="17"/>
    </row>
    <row r="1684">
      <c r="F1684" s="17"/>
    </row>
    <row r="1685">
      <c r="F1685" s="17"/>
    </row>
    <row r="1686">
      <c r="F1686" s="17"/>
    </row>
    <row r="1687">
      <c r="F1687" s="17"/>
    </row>
    <row r="1688">
      <c r="F1688" s="17"/>
    </row>
    <row r="1689">
      <c r="F1689" s="17"/>
    </row>
    <row r="1690">
      <c r="F1690" s="17"/>
    </row>
    <row r="1691">
      <c r="F1691" s="17"/>
    </row>
    <row r="1692">
      <c r="F1692" s="17"/>
    </row>
    <row r="1693">
      <c r="F1693" s="17"/>
    </row>
    <row r="1694">
      <c r="F1694" s="17"/>
    </row>
    <row r="1695">
      <c r="F1695" s="17"/>
    </row>
    <row r="1696">
      <c r="F1696" s="17"/>
    </row>
    <row r="1697">
      <c r="F1697" s="17"/>
    </row>
    <row r="1698">
      <c r="F1698" s="17"/>
    </row>
    <row r="1699">
      <c r="F1699" s="17"/>
    </row>
    <row r="1700">
      <c r="F1700" s="17"/>
    </row>
    <row r="1701">
      <c r="F1701" s="17"/>
    </row>
    <row r="1702">
      <c r="F1702" s="17"/>
    </row>
    <row r="1703">
      <c r="F1703" s="17"/>
    </row>
    <row r="1704">
      <c r="F1704" s="17"/>
    </row>
    <row r="1705">
      <c r="F1705" s="17"/>
    </row>
    <row r="1706">
      <c r="F1706" s="17"/>
    </row>
    <row r="1707">
      <c r="F1707" s="17"/>
    </row>
    <row r="1708">
      <c r="F1708" s="17"/>
    </row>
    <row r="1709">
      <c r="F1709" s="17"/>
    </row>
    <row r="1710">
      <c r="F1710" s="17"/>
    </row>
    <row r="1711">
      <c r="F1711" s="17"/>
    </row>
    <row r="1712">
      <c r="F1712" s="17"/>
    </row>
    <row r="1713">
      <c r="F1713" s="17"/>
    </row>
    <row r="1714">
      <c r="F1714" s="17"/>
    </row>
    <row r="1715">
      <c r="F1715" s="17"/>
    </row>
    <row r="1716">
      <c r="F1716" s="17"/>
    </row>
    <row r="1717">
      <c r="F1717" s="17"/>
    </row>
    <row r="1718">
      <c r="F1718" s="17"/>
    </row>
    <row r="1719">
      <c r="F1719" s="17"/>
    </row>
    <row r="1720">
      <c r="F1720" s="17"/>
    </row>
    <row r="1721">
      <c r="F1721" s="17"/>
    </row>
    <row r="1722">
      <c r="F1722" s="17"/>
    </row>
    <row r="1723">
      <c r="F1723" s="17"/>
    </row>
    <row r="1724">
      <c r="F1724" s="17"/>
    </row>
    <row r="1725">
      <c r="F1725" s="17"/>
    </row>
    <row r="1726">
      <c r="F1726" s="17"/>
    </row>
    <row r="1727">
      <c r="F1727" s="17"/>
    </row>
    <row r="1728">
      <c r="F1728" s="17"/>
    </row>
    <row r="1729">
      <c r="F1729" s="17"/>
    </row>
    <row r="1730">
      <c r="F1730" s="17"/>
    </row>
    <row r="1731">
      <c r="F1731" s="17"/>
    </row>
    <row r="1732">
      <c r="F1732" s="17"/>
    </row>
    <row r="1733">
      <c r="F1733" s="17"/>
    </row>
    <row r="1734">
      <c r="F1734" s="17"/>
    </row>
    <row r="1735">
      <c r="F1735" s="17"/>
    </row>
    <row r="1736">
      <c r="F1736" s="17"/>
    </row>
    <row r="1737">
      <c r="F1737" s="17"/>
    </row>
    <row r="1738">
      <c r="F1738" s="17"/>
    </row>
    <row r="1739">
      <c r="F1739" s="17"/>
    </row>
    <row r="1740">
      <c r="F1740" s="17"/>
    </row>
    <row r="1741">
      <c r="F1741" s="17"/>
    </row>
    <row r="1742">
      <c r="F1742" s="17"/>
    </row>
    <row r="1743">
      <c r="F1743" s="17"/>
    </row>
    <row r="1744">
      <c r="F1744" s="17"/>
    </row>
    <row r="1745">
      <c r="F1745" s="17"/>
    </row>
    <row r="1746">
      <c r="F1746" s="17"/>
    </row>
    <row r="1747">
      <c r="F1747" s="17"/>
    </row>
    <row r="1748">
      <c r="F1748" s="17"/>
    </row>
    <row r="1749">
      <c r="F1749" s="17"/>
    </row>
    <row r="1750">
      <c r="F1750" s="17"/>
    </row>
    <row r="1751">
      <c r="F1751" s="17"/>
    </row>
    <row r="1752">
      <c r="F1752" s="17"/>
    </row>
    <row r="1753">
      <c r="F1753" s="17"/>
    </row>
    <row r="1754">
      <c r="F1754" s="17"/>
    </row>
    <row r="1755">
      <c r="F1755" s="17"/>
    </row>
    <row r="1756">
      <c r="F1756" s="17"/>
    </row>
    <row r="1757">
      <c r="F1757" s="17"/>
    </row>
    <row r="1758">
      <c r="F1758" s="17"/>
    </row>
    <row r="1759">
      <c r="F1759" s="17"/>
    </row>
    <row r="1760">
      <c r="F1760" s="17"/>
    </row>
    <row r="1761">
      <c r="F1761" s="17"/>
    </row>
    <row r="1762">
      <c r="F1762" s="17"/>
    </row>
    <row r="1763">
      <c r="F1763" s="17"/>
    </row>
    <row r="1764">
      <c r="F1764" s="17"/>
    </row>
    <row r="1765">
      <c r="F1765" s="17"/>
    </row>
    <row r="1766">
      <c r="F1766" s="17"/>
    </row>
    <row r="1767">
      <c r="F1767" s="17"/>
    </row>
    <row r="1768">
      <c r="F1768" s="17"/>
    </row>
    <row r="1769">
      <c r="F1769" s="17"/>
    </row>
    <row r="1770">
      <c r="F1770" s="17"/>
    </row>
    <row r="1771">
      <c r="F1771" s="17"/>
    </row>
    <row r="1772">
      <c r="F1772" s="17"/>
    </row>
    <row r="1773">
      <c r="F1773" s="17"/>
    </row>
    <row r="1774">
      <c r="F1774" s="17"/>
    </row>
    <row r="1775">
      <c r="F1775" s="17"/>
    </row>
    <row r="1776">
      <c r="F1776" s="17"/>
    </row>
    <row r="1777">
      <c r="F1777" s="17"/>
    </row>
    <row r="1778">
      <c r="F1778" s="17"/>
    </row>
    <row r="1779">
      <c r="F1779" s="17"/>
    </row>
    <row r="1780">
      <c r="F1780" s="17"/>
    </row>
    <row r="1781">
      <c r="F1781" s="17"/>
    </row>
    <row r="1782">
      <c r="F1782" s="17"/>
    </row>
    <row r="1783">
      <c r="F1783" s="17"/>
    </row>
    <row r="1784">
      <c r="F1784" s="17"/>
    </row>
    <row r="1785">
      <c r="F1785" s="17"/>
    </row>
    <row r="1786">
      <c r="F1786" s="17"/>
    </row>
    <row r="1787">
      <c r="F1787" s="17"/>
    </row>
    <row r="1788">
      <c r="F1788" s="17"/>
    </row>
    <row r="1789">
      <c r="F1789" s="17"/>
    </row>
    <row r="1790">
      <c r="F1790" s="17"/>
    </row>
    <row r="1791">
      <c r="F1791" s="17"/>
    </row>
    <row r="1792">
      <c r="F1792" s="17"/>
    </row>
    <row r="1793">
      <c r="F1793" s="17"/>
    </row>
    <row r="1794">
      <c r="F1794" s="17"/>
    </row>
    <row r="1795">
      <c r="F1795" s="17"/>
    </row>
    <row r="1796">
      <c r="F1796" s="17"/>
    </row>
    <row r="1797">
      <c r="F1797" s="17"/>
    </row>
    <row r="1798">
      <c r="F1798" s="17"/>
    </row>
    <row r="1799">
      <c r="F1799" s="17"/>
    </row>
    <row r="1800">
      <c r="F1800" s="17"/>
    </row>
    <row r="1801">
      <c r="F1801" s="17"/>
    </row>
    <row r="1802">
      <c r="F1802" s="17"/>
    </row>
    <row r="1803">
      <c r="F1803" s="17"/>
    </row>
    <row r="1804">
      <c r="F1804" s="17"/>
    </row>
    <row r="1805">
      <c r="F1805" s="17"/>
    </row>
    <row r="1806">
      <c r="F1806" s="17"/>
    </row>
    <row r="1807">
      <c r="F1807" s="17"/>
    </row>
    <row r="1808">
      <c r="F1808" s="17"/>
    </row>
    <row r="1809">
      <c r="F1809" s="17"/>
    </row>
    <row r="1810">
      <c r="F1810" s="17"/>
    </row>
    <row r="1811">
      <c r="F1811" s="17"/>
    </row>
    <row r="1812">
      <c r="F1812" s="17"/>
    </row>
    <row r="1813">
      <c r="F1813" s="17"/>
    </row>
    <row r="1814">
      <c r="F1814" s="17"/>
    </row>
    <row r="1815">
      <c r="F1815" s="17"/>
    </row>
    <row r="1816">
      <c r="F1816" s="17"/>
    </row>
    <row r="1817">
      <c r="F1817" s="17"/>
    </row>
    <row r="1818">
      <c r="F1818" s="17"/>
    </row>
    <row r="1819">
      <c r="F1819" s="17"/>
    </row>
    <row r="1820">
      <c r="F1820" s="17"/>
    </row>
    <row r="1821">
      <c r="F1821" s="17"/>
    </row>
    <row r="1822">
      <c r="F1822" s="17"/>
    </row>
    <row r="1823">
      <c r="F1823" s="17"/>
    </row>
    <row r="1824">
      <c r="F1824" s="17"/>
    </row>
    <row r="1825">
      <c r="F1825" s="17"/>
    </row>
    <row r="1826">
      <c r="F1826" s="17"/>
    </row>
    <row r="1827">
      <c r="F1827" s="17"/>
    </row>
    <row r="1828">
      <c r="F1828" s="17"/>
    </row>
    <row r="1829">
      <c r="F1829" s="17"/>
    </row>
    <row r="1830">
      <c r="F1830" s="17"/>
    </row>
    <row r="1831">
      <c r="F1831" s="17"/>
    </row>
    <row r="1832">
      <c r="F1832" s="17"/>
    </row>
    <row r="1833">
      <c r="F1833" s="17"/>
    </row>
    <row r="1834">
      <c r="F1834" s="17"/>
    </row>
    <row r="1835">
      <c r="F1835" s="17"/>
    </row>
    <row r="1836">
      <c r="F1836" s="17"/>
    </row>
    <row r="1837">
      <c r="F1837" s="17"/>
    </row>
    <row r="1838">
      <c r="F1838" s="17"/>
    </row>
    <row r="1839">
      <c r="F1839" s="17"/>
    </row>
    <row r="1840">
      <c r="F1840" s="17"/>
    </row>
    <row r="1841">
      <c r="F1841" s="17"/>
    </row>
    <row r="1842">
      <c r="F1842" s="17"/>
    </row>
    <row r="1843">
      <c r="F1843" s="17"/>
    </row>
    <row r="1844">
      <c r="F1844" s="17"/>
    </row>
    <row r="1845">
      <c r="F1845" s="17"/>
    </row>
    <row r="1846">
      <c r="F1846" s="17"/>
    </row>
    <row r="1847">
      <c r="F1847" s="17"/>
    </row>
    <row r="1848">
      <c r="F1848" s="17"/>
    </row>
    <row r="1849">
      <c r="F1849" s="17"/>
    </row>
    <row r="1850">
      <c r="F1850" s="17"/>
    </row>
    <row r="1851">
      <c r="F1851" s="17"/>
    </row>
    <row r="1852">
      <c r="F1852" s="17"/>
    </row>
    <row r="1853">
      <c r="F1853" s="17"/>
    </row>
    <row r="1854">
      <c r="F1854" s="17"/>
    </row>
    <row r="1855">
      <c r="F1855" s="17"/>
    </row>
    <row r="1856">
      <c r="F1856" s="17"/>
    </row>
    <row r="1857">
      <c r="F1857" s="17"/>
    </row>
    <row r="1858">
      <c r="F1858" s="17"/>
    </row>
    <row r="1859">
      <c r="F1859" s="17"/>
    </row>
    <row r="1860">
      <c r="F1860" s="17"/>
    </row>
    <row r="1861">
      <c r="F1861" s="17"/>
    </row>
    <row r="1862">
      <c r="F1862" s="17"/>
    </row>
    <row r="1863">
      <c r="F1863" s="17"/>
    </row>
    <row r="1864">
      <c r="F1864" s="17"/>
    </row>
    <row r="1865">
      <c r="F1865" s="17"/>
    </row>
    <row r="1866">
      <c r="F1866" s="17"/>
    </row>
    <row r="1867">
      <c r="F1867" s="17"/>
    </row>
    <row r="1868">
      <c r="F1868" s="17"/>
    </row>
    <row r="1869">
      <c r="F1869" s="17"/>
    </row>
    <row r="1870">
      <c r="F1870" s="17"/>
    </row>
    <row r="1871">
      <c r="F1871" s="17"/>
    </row>
    <row r="1872">
      <c r="F1872" s="17"/>
    </row>
    <row r="1873">
      <c r="F1873" s="17"/>
    </row>
    <row r="1874">
      <c r="F1874" s="17"/>
    </row>
    <row r="1875">
      <c r="F1875" s="17"/>
    </row>
    <row r="1876">
      <c r="F1876" s="17"/>
    </row>
    <row r="1877">
      <c r="F1877" s="17"/>
    </row>
    <row r="1878">
      <c r="F1878" s="17"/>
    </row>
    <row r="1879">
      <c r="F1879" s="17"/>
    </row>
    <row r="1880">
      <c r="F1880" s="17"/>
    </row>
    <row r="1881">
      <c r="F1881" s="17"/>
    </row>
    <row r="1882">
      <c r="F1882" s="17"/>
    </row>
    <row r="1883">
      <c r="F1883" s="17"/>
    </row>
    <row r="1884">
      <c r="F1884" s="17"/>
    </row>
    <row r="1885">
      <c r="F1885" s="17"/>
    </row>
    <row r="1886">
      <c r="F1886" s="17"/>
    </row>
    <row r="1887">
      <c r="F1887" s="17"/>
    </row>
    <row r="1888">
      <c r="F1888" s="17"/>
    </row>
    <row r="1889">
      <c r="F1889" s="17"/>
    </row>
    <row r="1890">
      <c r="F1890" s="17"/>
    </row>
    <row r="1891">
      <c r="F1891" s="17"/>
    </row>
    <row r="1892">
      <c r="F1892" s="17"/>
    </row>
    <row r="1893">
      <c r="F1893" s="17"/>
    </row>
    <row r="1894">
      <c r="F1894" s="17"/>
    </row>
    <row r="1895">
      <c r="F1895" s="17"/>
    </row>
    <row r="1896">
      <c r="F1896" s="17"/>
    </row>
    <row r="1897">
      <c r="F1897" s="17"/>
    </row>
    <row r="1898">
      <c r="F1898" s="17"/>
    </row>
    <row r="1899">
      <c r="F1899" s="17"/>
    </row>
    <row r="1900">
      <c r="F1900" s="17"/>
    </row>
    <row r="1901">
      <c r="F1901" s="17"/>
    </row>
    <row r="1902">
      <c r="F1902" s="17"/>
    </row>
    <row r="1903">
      <c r="F1903" s="17"/>
    </row>
    <row r="1904">
      <c r="F1904" s="17"/>
    </row>
    <row r="1905">
      <c r="F1905" s="17"/>
    </row>
    <row r="1906">
      <c r="F1906" s="17"/>
    </row>
    <row r="1907">
      <c r="F1907" s="17"/>
    </row>
    <row r="1908">
      <c r="F1908" s="17"/>
    </row>
    <row r="1909">
      <c r="F1909" s="17"/>
    </row>
    <row r="1910">
      <c r="F1910" s="17"/>
    </row>
    <row r="1911">
      <c r="F1911" s="17"/>
    </row>
    <row r="1912">
      <c r="F1912" s="17"/>
    </row>
    <row r="1913">
      <c r="F1913" s="17"/>
    </row>
    <row r="1914">
      <c r="F1914" s="17"/>
    </row>
    <row r="1915">
      <c r="F1915" s="17"/>
    </row>
    <row r="1916">
      <c r="F1916" s="17"/>
    </row>
    <row r="1917">
      <c r="F1917" s="17"/>
    </row>
    <row r="1918">
      <c r="F1918" s="17"/>
    </row>
    <row r="1919">
      <c r="F1919" s="17"/>
    </row>
    <row r="1920">
      <c r="F1920" s="17"/>
    </row>
    <row r="1921">
      <c r="F1921" s="17"/>
    </row>
    <row r="1922">
      <c r="F1922" s="17"/>
    </row>
    <row r="1923">
      <c r="F1923" s="17"/>
    </row>
    <row r="1924">
      <c r="F1924" s="17"/>
    </row>
    <row r="1925">
      <c r="F1925" s="17"/>
    </row>
    <row r="1926">
      <c r="F1926" s="17"/>
    </row>
    <row r="1927">
      <c r="F1927" s="17"/>
    </row>
    <row r="1928">
      <c r="F1928" s="17"/>
    </row>
    <row r="1929">
      <c r="F1929" s="17"/>
    </row>
    <row r="1930">
      <c r="F1930" s="17"/>
    </row>
    <row r="1931">
      <c r="F1931" s="17"/>
    </row>
    <row r="1932">
      <c r="F1932" s="17"/>
    </row>
    <row r="1933">
      <c r="F1933" s="17"/>
    </row>
    <row r="1934">
      <c r="F1934" s="17"/>
    </row>
    <row r="1935">
      <c r="F1935" s="17"/>
    </row>
    <row r="1936">
      <c r="F1936" s="17"/>
    </row>
    <row r="1937">
      <c r="F1937" s="17"/>
    </row>
    <row r="1938">
      <c r="F1938" s="17"/>
    </row>
    <row r="1939">
      <c r="F1939" s="17"/>
    </row>
    <row r="1940">
      <c r="F1940" s="17"/>
    </row>
    <row r="1941">
      <c r="F1941" s="17"/>
    </row>
    <row r="1942">
      <c r="F1942" s="17"/>
    </row>
    <row r="1943">
      <c r="F1943" s="17"/>
    </row>
    <row r="1944">
      <c r="F1944" s="17"/>
    </row>
    <row r="1945">
      <c r="F1945" s="17"/>
    </row>
    <row r="1946">
      <c r="F1946" s="17"/>
    </row>
    <row r="1947">
      <c r="F1947" s="17"/>
    </row>
    <row r="1948">
      <c r="F1948" s="17"/>
    </row>
    <row r="1949">
      <c r="F1949" s="17"/>
    </row>
    <row r="1950">
      <c r="F1950" s="17"/>
    </row>
    <row r="1951">
      <c r="F1951" s="17"/>
    </row>
    <row r="1952">
      <c r="F1952" s="17"/>
    </row>
    <row r="1953">
      <c r="F1953" s="17"/>
    </row>
    <row r="1954">
      <c r="F1954" s="17"/>
    </row>
    <row r="1955">
      <c r="F1955" s="17"/>
    </row>
    <row r="1956">
      <c r="F1956" s="17"/>
    </row>
    <row r="1957">
      <c r="F1957" s="17"/>
    </row>
    <row r="1958">
      <c r="F1958" s="17"/>
    </row>
    <row r="1959">
      <c r="F1959" s="17"/>
    </row>
    <row r="1960">
      <c r="F1960" s="17"/>
    </row>
    <row r="1961">
      <c r="F1961" s="17"/>
    </row>
    <row r="1962">
      <c r="F1962" s="17"/>
    </row>
    <row r="1963">
      <c r="F1963" s="17"/>
    </row>
    <row r="1964">
      <c r="F1964" s="17"/>
    </row>
    <row r="1965">
      <c r="F1965" s="17"/>
    </row>
    <row r="1966">
      <c r="F1966" s="17"/>
    </row>
    <row r="1967">
      <c r="F1967" s="17"/>
    </row>
    <row r="1968">
      <c r="F1968" s="17"/>
    </row>
    <row r="1969">
      <c r="F1969" s="17"/>
    </row>
    <row r="1970">
      <c r="F1970" s="17"/>
    </row>
    <row r="1971">
      <c r="F1971" s="17"/>
    </row>
    <row r="1972">
      <c r="F1972" s="17"/>
    </row>
    <row r="1973">
      <c r="F1973" s="17"/>
    </row>
    <row r="1974">
      <c r="F1974" s="17"/>
    </row>
    <row r="1975">
      <c r="F1975" s="17"/>
    </row>
    <row r="1976">
      <c r="F1976" s="17"/>
    </row>
    <row r="1977">
      <c r="F1977" s="17"/>
    </row>
    <row r="1978">
      <c r="F1978" s="17"/>
    </row>
    <row r="1979">
      <c r="F1979" s="17"/>
    </row>
    <row r="1980">
      <c r="F1980" s="17"/>
    </row>
    <row r="1981">
      <c r="F1981" s="17"/>
    </row>
    <row r="1982">
      <c r="F1982" s="17"/>
    </row>
    <row r="1983">
      <c r="F1983" s="17"/>
    </row>
    <row r="1984">
      <c r="F1984" s="17"/>
    </row>
    <row r="1985">
      <c r="F1985" s="17"/>
    </row>
    <row r="1986">
      <c r="F1986" s="17"/>
    </row>
    <row r="1987">
      <c r="F1987" s="17"/>
    </row>
    <row r="1988">
      <c r="F1988" s="17"/>
    </row>
    <row r="1989">
      <c r="F1989" s="17"/>
    </row>
    <row r="1990">
      <c r="F1990" s="17"/>
    </row>
    <row r="1991">
      <c r="F1991" s="17"/>
    </row>
    <row r="1992">
      <c r="F1992" s="17"/>
    </row>
    <row r="1993">
      <c r="F1993" s="17"/>
    </row>
    <row r="1994">
      <c r="F1994" s="17"/>
    </row>
    <row r="1995">
      <c r="F1995" s="17"/>
    </row>
    <row r="1996">
      <c r="F1996" s="17"/>
    </row>
    <row r="1997">
      <c r="F1997" s="17"/>
    </row>
    <row r="1998">
      <c r="F1998" s="17"/>
    </row>
    <row r="1999">
      <c r="F1999" s="17"/>
    </row>
    <row r="2000">
      <c r="F2000" s="17"/>
    </row>
    <row r="2001">
      <c r="F2001" s="17"/>
    </row>
    <row r="2002">
      <c r="F2002" s="17"/>
    </row>
    <row r="2003">
      <c r="F2003" s="17"/>
    </row>
    <row r="2004">
      <c r="F2004" s="17"/>
    </row>
    <row r="2005">
      <c r="F2005" s="17"/>
    </row>
    <row r="2006">
      <c r="F2006" s="17"/>
    </row>
    <row r="2007">
      <c r="F2007" s="17"/>
    </row>
    <row r="2008">
      <c r="F2008" s="17"/>
    </row>
    <row r="2009">
      <c r="F2009" s="17"/>
    </row>
    <row r="2010">
      <c r="F2010" s="17"/>
    </row>
    <row r="2011">
      <c r="F2011" s="17"/>
    </row>
    <row r="2012">
      <c r="F2012" s="17"/>
    </row>
    <row r="2013">
      <c r="F2013" s="17"/>
    </row>
    <row r="2014">
      <c r="F2014" s="17"/>
    </row>
    <row r="2015">
      <c r="F2015" s="17"/>
    </row>
    <row r="2016">
      <c r="F2016" s="17"/>
    </row>
    <row r="2017">
      <c r="F2017" s="17"/>
    </row>
    <row r="2018">
      <c r="F2018" s="17"/>
    </row>
    <row r="2019">
      <c r="F2019" s="17"/>
    </row>
    <row r="2020">
      <c r="F2020" s="17"/>
    </row>
    <row r="2021">
      <c r="F2021" s="17"/>
    </row>
    <row r="2022">
      <c r="F2022" s="17"/>
    </row>
    <row r="2023">
      <c r="F2023" s="17"/>
    </row>
    <row r="2024">
      <c r="F2024" s="17"/>
    </row>
    <row r="2025">
      <c r="F2025" s="17"/>
    </row>
    <row r="2026">
      <c r="F2026" s="17"/>
    </row>
    <row r="2027">
      <c r="F2027" s="17"/>
    </row>
    <row r="2028">
      <c r="F2028" s="17"/>
    </row>
    <row r="2029">
      <c r="F2029" s="17"/>
    </row>
    <row r="2030">
      <c r="F2030" s="17"/>
    </row>
    <row r="2031">
      <c r="F2031" s="17"/>
    </row>
    <row r="2032">
      <c r="F2032" s="17"/>
    </row>
    <row r="2033">
      <c r="F2033" s="17"/>
    </row>
    <row r="2034">
      <c r="F2034" s="17"/>
    </row>
    <row r="2035">
      <c r="F2035" s="17"/>
    </row>
    <row r="2036">
      <c r="F2036" s="17"/>
    </row>
    <row r="2037">
      <c r="F2037" s="17"/>
    </row>
    <row r="2038">
      <c r="F2038" s="17"/>
    </row>
    <row r="2039">
      <c r="F2039" s="17"/>
    </row>
    <row r="2040">
      <c r="F2040" s="17"/>
    </row>
    <row r="2041">
      <c r="F2041" s="17"/>
    </row>
    <row r="2042">
      <c r="F2042" s="17"/>
    </row>
    <row r="2043">
      <c r="F2043" s="17"/>
    </row>
    <row r="2044">
      <c r="F2044" s="17"/>
    </row>
    <row r="2045">
      <c r="F2045" s="17"/>
    </row>
    <row r="2046">
      <c r="F2046" s="17"/>
    </row>
    <row r="2047">
      <c r="F2047" s="17"/>
    </row>
    <row r="2048">
      <c r="F2048" s="17"/>
    </row>
    <row r="2049">
      <c r="F2049" s="17"/>
    </row>
    <row r="2050">
      <c r="F2050" s="17"/>
    </row>
    <row r="2051">
      <c r="F2051" s="17"/>
    </row>
    <row r="2052">
      <c r="F2052" s="17"/>
    </row>
    <row r="2053">
      <c r="F2053" s="17"/>
    </row>
    <row r="2054">
      <c r="F2054" s="17"/>
    </row>
    <row r="2055">
      <c r="F2055" s="17"/>
    </row>
    <row r="2056">
      <c r="F2056" s="17"/>
    </row>
    <row r="2057">
      <c r="F2057" s="17"/>
    </row>
    <row r="2058">
      <c r="F2058" s="17"/>
    </row>
    <row r="2059">
      <c r="F2059" s="17"/>
    </row>
    <row r="2060">
      <c r="F2060" s="17"/>
    </row>
    <row r="2061">
      <c r="F2061" s="17"/>
    </row>
    <row r="2062">
      <c r="F2062" s="17"/>
    </row>
    <row r="2063">
      <c r="F2063" s="17"/>
    </row>
    <row r="2064">
      <c r="F2064" s="17"/>
    </row>
    <row r="2065">
      <c r="F2065" s="17"/>
    </row>
    <row r="2066">
      <c r="F2066" s="17"/>
    </row>
    <row r="2067">
      <c r="F2067" s="17"/>
    </row>
    <row r="2068">
      <c r="F2068" s="17"/>
    </row>
    <row r="2069">
      <c r="F2069" s="17"/>
    </row>
    <row r="2070">
      <c r="F2070" s="17"/>
    </row>
    <row r="2071">
      <c r="F2071" s="17"/>
    </row>
    <row r="2072">
      <c r="F2072" s="17"/>
    </row>
    <row r="2073">
      <c r="F2073" s="17"/>
    </row>
    <row r="2074">
      <c r="F2074" s="17"/>
    </row>
    <row r="2075">
      <c r="F2075" s="17"/>
    </row>
    <row r="2076">
      <c r="F2076" s="17"/>
    </row>
    <row r="2077">
      <c r="F2077" s="17"/>
    </row>
    <row r="2078">
      <c r="F2078" s="17"/>
    </row>
    <row r="2079">
      <c r="F2079" s="17"/>
    </row>
    <row r="2080">
      <c r="F2080" s="17"/>
    </row>
    <row r="2081">
      <c r="F2081" s="17"/>
    </row>
    <row r="2082">
      <c r="F2082" s="17"/>
    </row>
    <row r="2083">
      <c r="F2083" s="17"/>
    </row>
    <row r="2084">
      <c r="F2084" s="17"/>
    </row>
    <row r="2085">
      <c r="F2085" s="17"/>
    </row>
    <row r="2086">
      <c r="F2086" s="17"/>
    </row>
    <row r="2087">
      <c r="F2087" s="17"/>
    </row>
    <row r="2088">
      <c r="F2088" s="17"/>
    </row>
    <row r="2089">
      <c r="F2089" s="17"/>
    </row>
    <row r="2090">
      <c r="F2090" s="17"/>
    </row>
    <row r="2091">
      <c r="F2091" s="17"/>
    </row>
    <row r="2092">
      <c r="F2092" s="17"/>
    </row>
    <row r="2093">
      <c r="F2093" s="17"/>
    </row>
    <row r="2094">
      <c r="F2094" s="17"/>
    </row>
    <row r="2095">
      <c r="F2095" s="17"/>
    </row>
    <row r="2096">
      <c r="F2096" s="17"/>
    </row>
    <row r="2097">
      <c r="F2097" s="17"/>
    </row>
    <row r="2098">
      <c r="F2098" s="17"/>
    </row>
    <row r="2099">
      <c r="F2099" s="17"/>
    </row>
    <row r="2100">
      <c r="F2100" s="17"/>
    </row>
    <row r="2101">
      <c r="F2101" s="17"/>
    </row>
    <row r="2102">
      <c r="F2102" s="17"/>
    </row>
    <row r="2103">
      <c r="F2103" s="17"/>
    </row>
    <row r="2104">
      <c r="F2104" s="17"/>
    </row>
    <row r="2105">
      <c r="F2105" s="17"/>
    </row>
    <row r="2106">
      <c r="F2106" s="17"/>
    </row>
    <row r="2107">
      <c r="F2107" s="17"/>
    </row>
    <row r="2108">
      <c r="F2108" s="17"/>
    </row>
    <row r="2109">
      <c r="F2109" s="17"/>
    </row>
    <row r="2110">
      <c r="F2110" s="17"/>
    </row>
    <row r="2111">
      <c r="F2111" s="17"/>
    </row>
    <row r="2112">
      <c r="F2112" s="17"/>
    </row>
    <row r="2113">
      <c r="F2113" s="17"/>
    </row>
    <row r="2114">
      <c r="F2114" s="17"/>
    </row>
    <row r="2115">
      <c r="F2115" s="17"/>
    </row>
    <row r="2116">
      <c r="F2116" s="17"/>
    </row>
    <row r="2117">
      <c r="F2117" s="17"/>
    </row>
    <row r="2118">
      <c r="F2118" s="17"/>
    </row>
    <row r="2119">
      <c r="F2119" s="17"/>
    </row>
    <row r="2120">
      <c r="F2120" s="17"/>
    </row>
    <row r="2121">
      <c r="F2121" s="17"/>
    </row>
    <row r="2122">
      <c r="F2122" s="17"/>
    </row>
    <row r="2123">
      <c r="F2123" s="17"/>
    </row>
    <row r="2124">
      <c r="F2124" s="17"/>
    </row>
    <row r="2125">
      <c r="F2125" s="17"/>
    </row>
    <row r="2126">
      <c r="F2126" s="17"/>
    </row>
    <row r="2127">
      <c r="F2127" s="17"/>
    </row>
    <row r="2128">
      <c r="F2128" s="17"/>
    </row>
    <row r="2129">
      <c r="F2129" s="17"/>
    </row>
    <row r="2130">
      <c r="F2130" s="17"/>
    </row>
    <row r="2131">
      <c r="F2131" s="17"/>
    </row>
    <row r="2132">
      <c r="F2132" s="17"/>
    </row>
    <row r="2133">
      <c r="F2133" s="17"/>
    </row>
    <row r="2134">
      <c r="F2134" s="17"/>
    </row>
    <row r="2135">
      <c r="F2135" s="17"/>
    </row>
    <row r="2136">
      <c r="F2136" s="17"/>
    </row>
    <row r="2137">
      <c r="F2137" s="17"/>
    </row>
    <row r="2138">
      <c r="F2138" s="17"/>
    </row>
    <row r="2139">
      <c r="F2139" s="17"/>
    </row>
    <row r="2140">
      <c r="F2140" s="17"/>
    </row>
    <row r="2141">
      <c r="F2141" s="17"/>
    </row>
    <row r="2142">
      <c r="F2142" s="17"/>
    </row>
    <row r="2143">
      <c r="F2143" s="17"/>
    </row>
    <row r="2144">
      <c r="F2144" s="17"/>
    </row>
    <row r="2145">
      <c r="F2145" s="17"/>
    </row>
    <row r="2146">
      <c r="F2146" s="17"/>
    </row>
    <row r="2147">
      <c r="F2147" s="17"/>
    </row>
    <row r="2148">
      <c r="F2148" s="17"/>
    </row>
    <row r="2149">
      <c r="F2149" s="17"/>
    </row>
    <row r="2150">
      <c r="F2150" s="17"/>
    </row>
    <row r="2151">
      <c r="F2151" s="17"/>
    </row>
    <row r="2152">
      <c r="F2152" s="17"/>
    </row>
    <row r="2153">
      <c r="F2153" s="17"/>
    </row>
    <row r="2154">
      <c r="F2154" s="17"/>
    </row>
    <row r="2155">
      <c r="F2155" s="17"/>
    </row>
    <row r="2156">
      <c r="F2156" s="17"/>
    </row>
    <row r="2157">
      <c r="F2157" s="17"/>
    </row>
    <row r="2158">
      <c r="F2158" s="17"/>
    </row>
    <row r="2159">
      <c r="F2159" s="17"/>
    </row>
    <row r="2160">
      <c r="F2160" s="17"/>
    </row>
    <row r="2161">
      <c r="F2161" s="17"/>
    </row>
    <row r="2162">
      <c r="F2162" s="17"/>
    </row>
    <row r="2163">
      <c r="F2163" s="17"/>
    </row>
    <row r="2164">
      <c r="F2164" s="17"/>
    </row>
    <row r="2165">
      <c r="F2165" s="17"/>
    </row>
    <row r="2166">
      <c r="F2166" s="17"/>
    </row>
    <row r="2167">
      <c r="F2167" s="17"/>
    </row>
    <row r="2168">
      <c r="F2168" s="17"/>
    </row>
    <row r="2169">
      <c r="F2169" s="17"/>
    </row>
    <row r="2170">
      <c r="F2170" s="17"/>
    </row>
    <row r="2171">
      <c r="F2171" s="17"/>
    </row>
    <row r="2172">
      <c r="F2172" s="17"/>
    </row>
    <row r="2173">
      <c r="F2173" s="17"/>
    </row>
    <row r="2174">
      <c r="F2174" s="17"/>
    </row>
    <row r="2175">
      <c r="F2175" s="17"/>
    </row>
    <row r="2176">
      <c r="F2176" s="17"/>
    </row>
    <row r="2177">
      <c r="F2177" s="17"/>
    </row>
    <row r="2178">
      <c r="F2178" s="17"/>
    </row>
    <row r="2179">
      <c r="F2179" s="17"/>
    </row>
    <row r="2180">
      <c r="F2180" s="17"/>
    </row>
    <row r="2181">
      <c r="F2181" s="17"/>
    </row>
    <row r="2182">
      <c r="F2182" s="17"/>
    </row>
    <row r="2183">
      <c r="F2183" s="17"/>
    </row>
    <row r="2184">
      <c r="F2184" s="17"/>
    </row>
    <row r="2185">
      <c r="F2185" s="17"/>
    </row>
    <row r="2186">
      <c r="F2186" s="17"/>
    </row>
    <row r="2187">
      <c r="F2187" s="17"/>
    </row>
    <row r="2188">
      <c r="F2188" s="17"/>
    </row>
    <row r="2189">
      <c r="F2189" s="17"/>
    </row>
    <row r="2190">
      <c r="F2190" s="17"/>
    </row>
    <row r="2191">
      <c r="F2191" s="17"/>
    </row>
    <row r="2192">
      <c r="F2192" s="17"/>
    </row>
    <row r="2193">
      <c r="F2193" s="17"/>
    </row>
    <row r="2194">
      <c r="F2194" s="17"/>
    </row>
    <row r="2195">
      <c r="F2195" s="17"/>
    </row>
    <row r="2196">
      <c r="F2196" s="17"/>
    </row>
    <row r="2197">
      <c r="F2197" s="17"/>
    </row>
    <row r="2198">
      <c r="F2198" s="17"/>
    </row>
    <row r="2199">
      <c r="F2199" s="17"/>
    </row>
    <row r="2200">
      <c r="F2200" s="17"/>
    </row>
    <row r="2201">
      <c r="F2201" s="17"/>
    </row>
    <row r="2202">
      <c r="F2202" s="17"/>
    </row>
    <row r="2203">
      <c r="F2203" s="17"/>
    </row>
    <row r="2204">
      <c r="F2204" s="17"/>
    </row>
    <row r="2205">
      <c r="F2205" s="17"/>
    </row>
    <row r="2206">
      <c r="F2206" s="17"/>
    </row>
    <row r="2207">
      <c r="F2207" s="17"/>
    </row>
    <row r="2208">
      <c r="F2208" s="17"/>
    </row>
    <row r="2209">
      <c r="F2209" s="17"/>
    </row>
    <row r="2210">
      <c r="F2210" s="17"/>
    </row>
    <row r="2211">
      <c r="F2211" s="17"/>
    </row>
    <row r="2212">
      <c r="F2212" s="17"/>
    </row>
    <row r="2213">
      <c r="F2213" s="17"/>
    </row>
    <row r="2214">
      <c r="F2214" s="17"/>
    </row>
    <row r="2215">
      <c r="F2215" s="17"/>
    </row>
    <row r="2216">
      <c r="F2216" s="17"/>
    </row>
    <row r="2217">
      <c r="F2217" s="17"/>
    </row>
    <row r="2218">
      <c r="F2218" s="17"/>
    </row>
    <row r="2219">
      <c r="F2219" s="17"/>
    </row>
    <row r="2220">
      <c r="F2220" s="17"/>
    </row>
    <row r="2221">
      <c r="F2221" s="17"/>
    </row>
    <row r="2222">
      <c r="F2222" s="17"/>
    </row>
    <row r="2223">
      <c r="F2223" s="17"/>
    </row>
    <row r="2224">
      <c r="F2224" s="17"/>
    </row>
    <row r="2225">
      <c r="F2225" s="17"/>
    </row>
    <row r="2226">
      <c r="F2226" s="17"/>
    </row>
    <row r="2227">
      <c r="F2227" s="17"/>
    </row>
    <row r="2228">
      <c r="F2228" s="17"/>
    </row>
    <row r="2229">
      <c r="F2229" s="17"/>
    </row>
    <row r="2230">
      <c r="F2230" s="17"/>
    </row>
    <row r="2231">
      <c r="F2231" s="17"/>
    </row>
    <row r="2232">
      <c r="F2232" s="17"/>
    </row>
    <row r="2233">
      <c r="F2233" s="17"/>
    </row>
    <row r="2234">
      <c r="F2234" s="17"/>
    </row>
    <row r="2235">
      <c r="F2235" s="17"/>
    </row>
    <row r="2236">
      <c r="F2236" s="17"/>
    </row>
    <row r="2237">
      <c r="F2237" s="17"/>
    </row>
    <row r="2238">
      <c r="F2238" s="17"/>
    </row>
    <row r="2239">
      <c r="F2239" s="17"/>
    </row>
    <row r="2240">
      <c r="F2240" s="17"/>
    </row>
    <row r="2241">
      <c r="F2241" s="17"/>
    </row>
    <row r="2242">
      <c r="F2242" s="17"/>
    </row>
    <row r="2243">
      <c r="F2243" s="17"/>
    </row>
    <row r="2244">
      <c r="F2244" s="17"/>
    </row>
    <row r="2245">
      <c r="F2245" s="17"/>
    </row>
    <row r="2246">
      <c r="F2246" s="17"/>
    </row>
    <row r="2247">
      <c r="F2247" s="17"/>
    </row>
    <row r="2248">
      <c r="F2248" s="17"/>
    </row>
    <row r="2249">
      <c r="F2249" s="17"/>
    </row>
    <row r="2250">
      <c r="F2250" s="17"/>
    </row>
    <row r="2251">
      <c r="F2251" s="17"/>
    </row>
    <row r="2252">
      <c r="F2252" s="17"/>
    </row>
    <row r="2253">
      <c r="F2253" s="17"/>
    </row>
    <row r="2254">
      <c r="F2254" s="17"/>
    </row>
    <row r="2255">
      <c r="F2255" s="17"/>
    </row>
    <row r="2256">
      <c r="F2256" s="17"/>
    </row>
    <row r="2257">
      <c r="F2257" s="17"/>
    </row>
    <row r="2258">
      <c r="F2258" s="17"/>
    </row>
    <row r="2259">
      <c r="F2259" s="17"/>
    </row>
    <row r="2260">
      <c r="F2260" s="17"/>
    </row>
    <row r="2261">
      <c r="F2261" s="17"/>
    </row>
    <row r="2262">
      <c r="F2262" s="17"/>
    </row>
    <row r="2263">
      <c r="F2263" s="17"/>
    </row>
    <row r="2264">
      <c r="F2264" s="17"/>
    </row>
    <row r="2265">
      <c r="F2265" s="17"/>
    </row>
    <row r="2266">
      <c r="F2266" s="17"/>
    </row>
    <row r="2267">
      <c r="F2267" s="17"/>
    </row>
    <row r="2268">
      <c r="F2268" s="17"/>
    </row>
    <row r="2269">
      <c r="F2269" s="17"/>
    </row>
    <row r="2270">
      <c r="F2270" s="17"/>
    </row>
    <row r="2271">
      <c r="F2271" s="17"/>
    </row>
    <row r="2272">
      <c r="F2272" s="17"/>
    </row>
    <row r="2273">
      <c r="F2273" s="17"/>
    </row>
    <row r="2274">
      <c r="F2274" s="17"/>
    </row>
    <row r="2275">
      <c r="F2275" s="17"/>
    </row>
    <row r="2276">
      <c r="F2276" s="17"/>
    </row>
    <row r="2277">
      <c r="F2277" s="17"/>
    </row>
    <row r="2278">
      <c r="F2278" s="17"/>
    </row>
    <row r="2279">
      <c r="F2279" s="17"/>
    </row>
    <row r="2280">
      <c r="F2280" s="17"/>
    </row>
    <row r="2281">
      <c r="F2281" s="17"/>
    </row>
    <row r="2282">
      <c r="F2282" s="17"/>
    </row>
    <row r="2283">
      <c r="F2283" s="17"/>
    </row>
    <row r="2284">
      <c r="F2284" s="17"/>
    </row>
    <row r="2285">
      <c r="F2285" s="17"/>
    </row>
    <row r="2286">
      <c r="F2286" s="17"/>
    </row>
    <row r="2287">
      <c r="F2287" s="17"/>
    </row>
    <row r="2288">
      <c r="F2288" s="17"/>
    </row>
    <row r="2289">
      <c r="F2289" s="17"/>
    </row>
    <row r="2290">
      <c r="F2290" s="17"/>
    </row>
    <row r="2291">
      <c r="F2291" s="17"/>
    </row>
    <row r="2292">
      <c r="F2292" s="17"/>
    </row>
    <row r="2293">
      <c r="F2293" s="17"/>
    </row>
    <row r="2294">
      <c r="F2294" s="17"/>
    </row>
    <row r="2295">
      <c r="F2295" s="17"/>
    </row>
    <row r="2296">
      <c r="F2296" s="17"/>
    </row>
    <row r="2297">
      <c r="F2297" s="17"/>
    </row>
    <row r="2298">
      <c r="F2298" s="17"/>
    </row>
    <row r="2299">
      <c r="F2299" s="17"/>
    </row>
    <row r="2300">
      <c r="F2300" s="17"/>
    </row>
    <row r="2301">
      <c r="F2301" s="17"/>
    </row>
    <row r="2302">
      <c r="F2302" s="17"/>
    </row>
    <row r="2303">
      <c r="F2303" s="17"/>
    </row>
    <row r="2304">
      <c r="F2304" s="17"/>
    </row>
    <row r="2305">
      <c r="F2305" s="17"/>
    </row>
    <row r="2306">
      <c r="F2306" s="17"/>
    </row>
    <row r="2307">
      <c r="F2307" s="17"/>
    </row>
    <row r="2308">
      <c r="F2308" s="17"/>
    </row>
    <row r="2309">
      <c r="F2309" s="17"/>
    </row>
    <row r="2310">
      <c r="F2310" s="17"/>
    </row>
    <row r="2311">
      <c r="F2311" s="17"/>
    </row>
    <row r="2312">
      <c r="F2312" s="17"/>
    </row>
    <row r="2313">
      <c r="F2313" s="17"/>
    </row>
    <row r="2314">
      <c r="F2314" s="17"/>
    </row>
    <row r="2315">
      <c r="F2315" s="17"/>
    </row>
    <row r="2316">
      <c r="F2316" s="17"/>
    </row>
    <row r="2317">
      <c r="F2317" s="17"/>
    </row>
    <row r="2318">
      <c r="F2318" s="17"/>
    </row>
    <row r="2319">
      <c r="F2319" s="17"/>
    </row>
    <row r="2320">
      <c r="F2320" s="17"/>
    </row>
    <row r="2321">
      <c r="F2321" s="17"/>
    </row>
    <row r="2322">
      <c r="F2322" s="17"/>
    </row>
    <row r="2323">
      <c r="F2323" s="17"/>
    </row>
    <row r="2324">
      <c r="F2324" s="17"/>
    </row>
    <row r="2325">
      <c r="F2325" s="17"/>
    </row>
    <row r="2326">
      <c r="F2326" s="17"/>
    </row>
    <row r="2327">
      <c r="F2327" s="17"/>
    </row>
    <row r="2328">
      <c r="F2328" s="17"/>
    </row>
    <row r="2329">
      <c r="F2329" s="17"/>
    </row>
    <row r="2330">
      <c r="F2330" s="17"/>
    </row>
    <row r="2331">
      <c r="F2331" s="17"/>
    </row>
    <row r="2332">
      <c r="F2332" s="17"/>
    </row>
    <row r="2333">
      <c r="F2333" s="17"/>
    </row>
    <row r="2334">
      <c r="F2334" s="17"/>
    </row>
    <row r="2335">
      <c r="F2335" s="17"/>
    </row>
    <row r="2336">
      <c r="F2336" s="17"/>
    </row>
    <row r="2337">
      <c r="F2337" s="17"/>
    </row>
    <row r="2338">
      <c r="F2338" s="17"/>
    </row>
    <row r="2339">
      <c r="F2339" s="17"/>
    </row>
    <row r="2340">
      <c r="F2340" s="17"/>
    </row>
    <row r="2341">
      <c r="F2341" s="17"/>
    </row>
    <row r="2342">
      <c r="F2342" s="17"/>
    </row>
    <row r="2343">
      <c r="F2343" s="17"/>
    </row>
    <row r="2344">
      <c r="F2344" s="17"/>
    </row>
    <row r="2345">
      <c r="F2345" s="17"/>
    </row>
    <row r="2346">
      <c r="F2346" s="17"/>
    </row>
    <row r="2347">
      <c r="F2347" s="17"/>
    </row>
    <row r="2348">
      <c r="F2348" s="17"/>
    </row>
    <row r="2349">
      <c r="F2349" s="17"/>
    </row>
    <row r="2350">
      <c r="F2350" s="17"/>
    </row>
    <row r="2351">
      <c r="F2351" s="17"/>
    </row>
    <row r="2352">
      <c r="F2352" s="17"/>
    </row>
    <row r="2353">
      <c r="F2353" s="17"/>
    </row>
    <row r="2354">
      <c r="F2354" s="17"/>
    </row>
    <row r="2355">
      <c r="F2355" s="17"/>
    </row>
    <row r="2356">
      <c r="F2356" s="17"/>
    </row>
    <row r="2357">
      <c r="F2357" s="17"/>
    </row>
    <row r="2358">
      <c r="F2358" s="17"/>
    </row>
    <row r="2359">
      <c r="F2359" s="17"/>
    </row>
    <row r="2360">
      <c r="F2360" s="17"/>
    </row>
    <row r="2361">
      <c r="F2361" s="17"/>
    </row>
    <row r="2362">
      <c r="F2362" s="17"/>
    </row>
    <row r="2363">
      <c r="F2363" s="17"/>
    </row>
    <row r="2364">
      <c r="F2364" s="17"/>
    </row>
    <row r="2365">
      <c r="F2365" s="17"/>
    </row>
    <row r="2366">
      <c r="F2366" s="17"/>
    </row>
    <row r="2367">
      <c r="F2367" s="17"/>
    </row>
    <row r="2368">
      <c r="F2368" s="17"/>
    </row>
    <row r="2369">
      <c r="F2369" s="17"/>
    </row>
    <row r="2370">
      <c r="F2370" s="17"/>
    </row>
    <row r="2371">
      <c r="F2371" s="17"/>
    </row>
    <row r="2372">
      <c r="F2372" s="17"/>
    </row>
    <row r="2373">
      <c r="F2373" s="17"/>
    </row>
    <row r="2374">
      <c r="F2374" s="17"/>
    </row>
    <row r="2375">
      <c r="F2375" s="17"/>
    </row>
    <row r="2376">
      <c r="F2376" s="17"/>
    </row>
    <row r="2377">
      <c r="F2377" s="17"/>
    </row>
    <row r="2378">
      <c r="F2378" s="17"/>
    </row>
    <row r="2379">
      <c r="F2379" s="17"/>
    </row>
    <row r="2380">
      <c r="F2380" s="17"/>
    </row>
    <row r="2381">
      <c r="F2381" s="17"/>
    </row>
    <row r="2382">
      <c r="F2382" s="17"/>
    </row>
    <row r="2383">
      <c r="F2383" s="17"/>
    </row>
    <row r="2384">
      <c r="F2384" s="17"/>
    </row>
    <row r="2385">
      <c r="F2385" s="17"/>
    </row>
    <row r="2386">
      <c r="F2386" s="17"/>
    </row>
    <row r="2387">
      <c r="F2387" s="17"/>
    </row>
    <row r="2388">
      <c r="F2388" s="17"/>
    </row>
    <row r="2389">
      <c r="F2389" s="17"/>
    </row>
    <row r="2390">
      <c r="F2390" s="17"/>
    </row>
    <row r="2391">
      <c r="F2391" s="17"/>
    </row>
    <row r="2392">
      <c r="F2392" s="17"/>
    </row>
    <row r="2393">
      <c r="F2393" s="17"/>
    </row>
    <row r="2394">
      <c r="F2394" s="17"/>
    </row>
    <row r="2395">
      <c r="F2395" s="17"/>
    </row>
    <row r="2396">
      <c r="F2396" s="17"/>
    </row>
    <row r="2397">
      <c r="F2397" s="17"/>
    </row>
    <row r="2398">
      <c r="F2398" s="17"/>
    </row>
    <row r="2399">
      <c r="F2399" s="17"/>
    </row>
    <row r="2400">
      <c r="F2400" s="17"/>
    </row>
    <row r="2401">
      <c r="F2401" s="17"/>
    </row>
    <row r="2402">
      <c r="F2402" s="17"/>
    </row>
    <row r="2403">
      <c r="F2403" s="17"/>
    </row>
    <row r="2404">
      <c r="F2404" s="17"/>
    </row>
    <row r="2405">
      <c r="F2405" s="17"/>
    </row>
    <row r="2406">
      <c r="F2406" s="17"/>
    </row>
    <row r="2407">
      <c r="F2407" s="17"/>
    </row>
    <row r="2408">
      <c r="F2408" s="17"/>
    </row>
    <row r="2409">
      <c r="F2409" s="17"/>
    </row>
    <row r="2410">
      <c r="F2410" s="17"/>
    </row>
    <row r="2411">
      <c r="F2411" s="17"/>
    </row>
    <row r="2412">
      <c r="F2412" s="17"/>
    </row>
    <row r="2413">
      <c r="F2413" s="17"/>
    </row>
    <row r="2414">
      <c r="F2414" s="17"/>
    </row>
    <row r="2415">
      <c r="F2415" s="17"/>
    </row>
    <row r="2416">
      <c r="F2416" s="17"/>
    </row>
    <row r="2417">
      <c r="F2417" s="17"/>
    </row>
    <row r="2418">
      <c r="F2418" s="17"/>
    </row>
    <row r="2419">
      <c r="F2419" s="17"/>
    </row>
    <row r="2420">
      <c r="F2420" s="17"/>
    </row>
    <row r="2421">
      <c r="F2421" s="17"/>
    </row>
    <row r="2422">
      <c r="F2422" s="17"/>
    </row>
    <row r="2423">
      <c r="F2423" s="17"/>
    </row>
    <row r="2424">
      <c r="F2424" s="17"/>
    </row>
    <row r="2425">
      <c r="F2425" s="17"/>
    </row>
    <row r="2426">
      <c r="F2426" s="17"/>
    </row>
    <row r="2427">
      <c r="F2427" s="17"/>
    </row>
    <row r="2428">
      <c r="F2428" s="17"/>
    </row>
    <row r="2429">
      <c r="F2429" s="17"/>
    </row>
    <row r="2430">
      <c r="F2430" s="17"/>
    </row>
    <row r="2431">
      <c r="F2431" s="17"/>
    </row>
    <row r="2432">
      <c r="F2432" s="17"/>
    </row>
    <row r="2433">
      <c r="F2433" s="17"/>
    </row>
    <row r="2434">
      <c r="F2434" s="17"/>
    </row>
    <row r="2435">
      <c r="F2435" s="17"/>
    </row>
    <row r="2436">
      <c r="F2436" s="17"/>
    </row>
    <row r="2437">
      <c r="F2437" s="17"/>
    </row>
    <row r="2438">
      <c r="F2438" s="17"/>
    </row>
    <row r="2439">
      <c r="F2439" s="17"/>
    </row>
    <row r="2440">
      <c r="F2440" s="17"/>
    </row>
    <row r="2441">
      <c r="F2441" s="17"/>
    </row>
    <row r="2442">
      <c r="F2442" s="17"/>
    </row>
    <row r="2443">
      <c r="F2443" s="17"/>
    </row>
    <row r="2444">
      <c r="F2444" s="17"/>
    </row>
    <row r="2445">
      <c r="F2445" s="17"/>
    </row>
    <row r="2446">
      <c r="F2446" s="17"/>
    </row>
    <row r="2447">
      <c r="F2447" s="17"/>
    </row>
    <row r="2448">
      <c r="F2448" s="17"/>
    </row>
    <row r="2449">
      <c r="F2449" s="17"/>
    </row>
    <row r="2450">
      <c r="F2450" s="17"/>
    </row>
    <row r="2451">
      <c r="F2451" s="17"/>
    </row>
    <row r="2452">
      <c r="F2452" s="17"/>
    </row>
    <row r="2453">
      <c r="F2453" s="17"/>
    </row>
    <row r="2454">
      <c r="F2454" s="17"/>
    </row>
    <row r="2455">
      <c r="F2455" s="17"/>
    </row>
    <row r="2456">
      <c r="F2456" s="17"/>
    </row>
    <row r="2457">
      <c r="F2457" s="17"/>
    </row>
    <row r="2458">
      <c r="F2458" s="17"/>
    </row>
    <row r="2459">
      <c r="F2459" s="17"/>
    </row>
    <row r="2460">
      <c r="F2460" s="17"/>
    </row>
    <row r="2461">
      <c r="F2461" s="17"/>
    </row>
    <row r="2462">
      <c r="F2462" s="17"/>
    </row>
    <row r="2463">
      <c r="F2463" s="17"/>
    </row>
    <row r="2464">
      <c r="F2464" s="17"/>
    </row>
    <row r="2465">
      <c r="F2465" s="17"/>
    </row>
    <row r="2466">
      <c r="F2466" s="17"/>
    </row>
    <row r="2467">
      <c r="F2467" s="17"/>
    </row>
    <row r="2468">
      <c r="F2468" s="17"/>
    </row>
    <row r="2469">
      <c r="F2469" s="17"/>
    </row>
    <row r="2470">
      <c r="F2470" s="17"/>
    </row>
    <row r="2471">
      <c r="F2471" s="17"/>
    </row>
    <row r="2472">
      <c r="F2472" s="17"/>
    </row>
    <row r="2473">
      <c r="F2473" s="17"/>
    </row>
    <row r="2474">
      <c r="F2474" s="17"/>
    </row>
    <row r="2475">
      <c r="F2475" s="17"/>
    </row>
    <row r="2476">
      <c r="F2476" s="17"/>
    </row>
    <row r="2477">
      <c r="F2477" s="17"/>
    </row>
    <row r="2478">
      <c r="F2478" s="17"/>
    </row>
    <row r="2479">
      <c r="F2479" s="17"/>
    </row>
    <row r="2480">
      <c r="F2480" s="17"/>
    </row>
    <row r="2481">
      <c r="F2481" s="17"/>
    </row>
    <row r="2482">
      <c r="F2482" s="17"/>
    </row>
    <row r="2483">
      <c r="F2483" s="17"/>
    </row>
    <row r="2484">
      <c r="F2484" s="17"/>
    </row>
    <row r="2485">
      <c r="F2485" s="17"/>
    </row>
    <row r="2486">
      <c r="F2486" s="17"/>
    </row>
    <row r="2487">
      <c r="F2487" s="17"/>
    </row>
    <row r="2488">
      <c r="F2488" s="17"/>
    </row>
    <row r="2489">
      <c r="F2489" s="17"/>
    </row>
    <row r="2490">
      <c r="F2490" s="17"/>
    </row>
    <row r="2491">
      <c r="F2491" s="17"/>
    </row>
    <row r="2492">
      <c r="F2492" s="17"/>
    </row>
    <row r="2493">
      <c r="F2493" s="17"/>
    </row>
    <row r="2494">
      <c r="F2494" s="17"/>
    </row>
    <row r="2495">
      <c r="F2495" s="17"/>
    </row>
    <row r="2496">
      <c r="F2496" s="17"/>
    </row>
    <row r="2497">
      <c r="F2497" s="17"/>
    </row>
    <row r="2498">
      <c r="F2498" s="17"/>
    </row>
    <row r="2499">
      <c r="F2499" s="17"/>
    </row>
    <row r="2500">
      <c r="F2500" s="17"/>
    </row>
    <row r="2501">
      <c r="F2501" s="17"/>
    </row>
    <row r="2502">
      <c r="F2502" s="17"/>
    </row>
    <row r="2503">
      <c r="F2503" s="17"/>
    </row>
    <row r="2504">
      <c r="F2504" s="17"/>
    </row>
    <row r="2505">
      <c r="F2505" s="17"/>
    </row>
    <row r="2506">
      <c r="F2506" s="17"/>
    </row>
    <row r="2507">
      <c r="F2507" s="17"/>
    </row>
    <row r="2508">
      <c r="F2508" s="17"/>
    </row>
    <row r="2509">
      <c r="F2509" s="17"/>
    </row>
    <row r="2510">
      <c r="F2510" s="17"/>
    </row>
    <row r="2511">
      <c r="F2511" s="17"/>
    </row>
    <row r="2512">
      <c r="F2512" s="17"/>
    </row>
    <row r="2513">
      <c r="F2513" s="17"/>
    </row>
    <row r="2514">
      <c r="F2514" s="17"/>
    </row>
    <row r="2515">
      <c r="F2515" s="17"/>
    </row>
    <row r="2516">
      <c r="F2516" s="17"/>
    </row>
    <row r="2517">
      <c r="F2517" s="17"/>
    </row>
    <row r="2518">
      <c r="F2518" s="17"/>
    </row>
    <row r="2519">
      <c r="F2519" s="17"/>
    </row>
    <row r="2520">
      <c r="F2520" s="17"/>
    </row>
    <row r="2521">
      <c r="F2521" s="17"/>
    </row>
    <row r="2522">
      <c r="F2522" s="17"/>
    </row>
    <row r="2523">
      <c r="F2523" s="17"/>
    </row>
    <row r="2524">
      <c r="F2524" s="17"/>
    </row>
    <row r="2525">
      <c r="F2525" s="17"/>
    </row>
    <row r="2526">
      <c r="F2526" s="17"/>
    </row>
    <row r="2527">
      <c r="F2527" s="17"/>
    </row>
    <row r="2528">
      <c r="F2528" s="17"/>
    </row>
    <row r="2529">
      <c r="F2529" s="17"/>
    </row>
    <row r="2530">
      <c r="F2530" s="17"/>
    </row>
    <row r="2531">
      <c r="F2531" s="17"/>
    </row>
    <row r="2532">
      <c r="F2532" s="17"/>
    </row>
    <row r="2533">
      <c r="F2533" s="17"/>
    </row>
    <row r="2534">
      <c r="F2534" s="17"/>
    </row>
    <row r="2535">
      <c r="F2535" s="17"/>
    </row>
    <row r="2536">
      <c r="F2536" s="17"/>
    </row>
    <row r="2537">
      <c r="F2537" s="17"/>
    </row>
    <row r="2538">
      <c r="F2538" s="17"/>
    </row>
    <row r="2539">
      <c r="F2539" s="17"/>
    </row>
    <row r="2540">
      <c r="F2540" s="17"/>
    </row>
    <row r="2541">
      <c r="F2541" s="17"/>
    </row>
    <row r="2542">
      <c r="F2542" s="17"/>
    </row>
    <row r="2543">
      <c r="F2543" s="17"/>
    </row>
    <row r="2544">
      <c r="F2544" s="17"/>
    </row>
    <row r="2545">
      <c r="F2545" s="17"/>
    </row>
    <row r="2546">
      <c r="F2546" s="17"/>
    </row>
    <row r="2547">
      <c r="F2547" s="17"/>
    </row>
    <row r="2548">
      <c r="F2548" s="17"/>
    </row>
    <row r="2549">
      <c r="F2549" s="17"/>
    </row>
    <row r="2550">
      <c r="F2550" s="17"/>
    </row>
    <row r="2551">
      <c r="F2551" s="17"/>
    </row>
    <row r="2552">
      <c r="F2552" s="17"/>
    </row>
    <row r="2553">
      <c r="F2553" s="17"/>
    </row>
    <row r="2554">
      <c r="F2554" s="17"/>
    </row>
    <row r="2555">
      <c r="F2555" s="17"/>
    </row>
    <row r="2556">
      <c r="F2556" s="17"/>
    </row>
    <row r="2557">
      <c r="F2557" s="17"/>
    </row>
    <row r="2558">
      <c r="F2558" s="17"/>
    </row>
    <row r="2559">
      <c r="F2559" s="17"/>
    </row>
    <row r="2560">
      <c r="F2560" s="17"/>
    </row>
    <row r="2561">
      <c r="F2561" s="17"/>
    </row>
    <row r="2562">
      <c r="F2562" s="17"/>
    </row>
    <row r="2563">
      <c r="F2563" s="17"/>
    </row>
    <row r="2564">
      <c r="F2564" s="17"/>
    </row>
    <row r="2565">
      <c r="F2565" s="17"/>
    </row>
    <row r="2566">
      <c r="F2566" s="17"/>
    </row>
    <row r="2567">
      <c r="F2567" s="17"/>
    </row>
    <row r="2568">
      <c r="F2568" s="17"/>
    </row>
    <row r="2569">
      <c r="F2569" s="17"/>
    </row>
    <row r="2570">
      <c r="F2570" s="17"/>
    </row>
    <row r="2571">
      <c r="F2571" s="17"/>
    </row>
    <row r="2572">
      <c r="F2572" s="17"/>
    </row>
    <row r="2573">
      <c r="F2573" s="17"/>
    </row>
    <row r="2574">
      <c r="F2574" s="17"/>
    </row>
    <row r="2575">
      <c r="F2575" s="17"/>
    </row>
    <row r="2576">
      <c r="F2576" s="17"/>
    </row>
    <row r="2577">
      <c r="F2577" s="17"/>
    </row>
    <row r="2578">
      <c r="F2578" s="17"/>
    </row>
    <row r="2579">
      <c r="F2579" s="17"/>
    </row>
    <row r="2580">
      <c r="F2580" s="17"/>
    </row>
    <row r="2581">
      <c r="F2581" s="17"/>
    </row>
    <row r="2582">
      <c r="F2582" s="17"/>
    </row>
    <row r="2583">
      <c r="F2583" s="17"/>
    </row>
    <row r="2584">
      <c r="F2584" s="17"/>
    </row>
    <row r="2585">
      <c r="F2585" s="17"/>
    </row>
    <row r="2586">
      <c r="F2586" s="17"/>
    </row>
    <row r="2587">
      <c r="F2587" s="17"/>
    </row>
    <row r="2588">
      <c r="F2588" s="17"/>
    </row>
    <row r="2589">
      <c r="F2589" s="17"/>
    </row>
    <row r="2590">
      <c r="F2590" s="17"/>
    </row>
    <row r="2591">
      <c r="F2591" s="17"/>
    </row>
    <row r="2592">
      <c r="F2592" s="17"/>
    </row>
    <row r="2593">
      <c r="F2593" s="17"/>
    </row>
    <row r="2594">
      <c r="F2594" s="17"/>
    </row>
    <row r="2595">
      <c r="F2595" s="17"/>
    </row>
    <row r="2596">
      <c r="F2596" s="17"/>
    </row>
    <row r="2597">
      <c r="F2597" s="17"/>
    </row>
    <row r="2598">
      <c r="F2598" s="17"/>
    </row>
    <row r="2599">
      <c r="F2599" s="17"/>
    </row>
    <row r="2600">
      <c r="F2600" s="17"/>
    </row>
    <row r="2601">
      <c r="F2601" s="17"/>
    </row>
    <row r="2602">
      <c r="F2602" s="17"/>
    </row>
    <row r="2603">
      <c r="F2603" s="17"/>
    </row>
    <row r="2604">
      <c r="F2604" s="17"/>
    </row>
    <row r="2605">
      <c r="F2605" s="17"/>
    </row>
    <row r="2606">
      <c r="F2606" s="17"/>
    </row>
    <row r="2607">
      <c r="F2607" s="17"/>
    </row>
    <row r="2608">
      <c r="F2608" s="17"/>
    </row>
    <row r="2609">
      <c r="F2609" s="17"/>
    </row>
    <row r="2610">
      <c r="F2610" s="17"/>
    </row>
    <row r="2611">
      <c r="F2611" s="17"/>
    </row>
    <row r="2612">
      <c r="F2612" s="17"/>
    </row>
    <row r="2613">
      <c r="F2613" s="17"/>
    </row>
    <row r="2614">
      <c r="F2614" s="17"/>
    </row>
    <row r="2615">
      <c r="F2615" s="17"/>
    </row>
    <row r="2616">
      <c r="F2616" s="17"/>
    </row>
    <row r="2617">
      <c r="F2617" s="17"/>
    </row>
    <row r="2618">
      <c r="F2618" s="17"/>
    </row>
    <row r="2619">
      <c r="F2619" s="17"/>
    </row>
    <row r="2620">
      <c r="F2620" s="17"/>
    </row>
    <row r="2621">
      <c r="F2621" s="17"/>
    </row>
    <row r="2622">
      <c r="F2622" s="17"/>
    </row>
    <row r="2623">
      <c r="F2623" s="17"/>
    </row>
    <row r="2624">
      <c r="F2624" s="17"/>
    </row>
    <row r="2625">
      <c r="F2625" s="17"/>
    </row>
    <row r="2626">
      <c r="F2626" s="17"/>
    </row>
    <row r="2627">
      <c r="F2627" s="17"/>
    </row>
    <row r="2628">
      <c r="F2628" s="17"/>
    </row>
    <row r="2629">
      <c r="F2629" s="17"/>
    </row>
    <row r="2630">
      <c r="F2630" s="17"/>
    </row>
    <row r="2631">
      <c r="F2631" s="17"/>
    </row>
    <row r="2632">
      <c r="F2632" s="17"/>
    </row>
    <row r="2633">
      <c r="F2633" s="17"/>
    </row>
    <row r="2634">
      <c r="F2634" s="17"/>
    </row>
    <row r="2635">
      <c r="F2635" s="17"/>
    </row>
    <row r="2636">
      <c r="F2636" s="17"/>
    </row>
    <row r="2637">
      <c r="F2637" s="17"/>
    </row>
    <row r="2638">
      <c r="F2638" s="17"/>
    </row>
    <row r="2639">
      <c r="F2639" s="17"/>
    </row>
    <row r="2640">
      <c r="F2640" s="17"/>
    </row>
    <row r="2641">
      <c r="F2641" s="17"/>
    </row>
    <row r="2642">
      <c r="F2642" s="17"/>
    </row>
    <row r="2643">
      <c r="F2643" s="17"/>
    </row>
    <row r="2644">
      <c r="F2644" s="17"/>
    </row>
    <row r="2645">
      <c r="F2645" s="17"/>
    </row>
    <row r="2646">
      <c r="F2646" s="17"/>
    </row>
    <row r="2647">
      <c r="F2647" s="17"/>
    </row>
    <row r="2648">
      <c r="F2648" s="17"/>
    </row>
    <row r="2649">
      <c r="F2649" s="17"/>
    </row>
    <row r="2650">
      <c r="F2650" s="17"/>
    </row>
    <row r="2651">
      <c r="F2651" s="17"/>
    </row>
    <row r="2652">
      <c r="F2652" s="17"/>
    </row>
    <row r="2653">
      <c r="F2653" s="17"/>
    </row>
    <row r="2654">
      <c r="F2654" s="17"/>
    </row>
    <row r="2655">
      <c r="F2655" s="17"/>
    </row>
    <row r="2656">
      <c r="F2656" s="17"/>
    </row>
    <row r="2657">
      <c r="F2657" s="17"/>
    </row>
    <row r="2658">
      <c r="F2658" s="17"/>
    </row>
    <row r="2659">
      <c r="F2659" s="17"/>
    </row>
    <row r="2660">
      <c r="F2660" s="17"/>
    </row>
    <row r="2661">
      <c r="F2661" s="17"/>
    </row>
    <row r="2662">
      <c r="F2662" s="17"/>
    </row>
    <row r="2663">
      <c r="F2663" s="17"/>
    </row>
    <row r="2664">
      <c r="F2664" s="17"/>
    </row>
    <row r="2665">
      <c r="F2665" s="17"/>
    </row>
    <row r="2666">
      <c r="F2666" s="17"/>
    </row>
    <row r="2667">
      <c r="F2667" s="17"/>
    </row>
    <row r="2668">
      <c r="F2668" s="17"/>
    </row>
    <row r="2669">
      <c r="F2669" s="17"/>
    </row>
    <row r="2670">
      <c r="F2670" s="17"/>
    </row>
    <row r="2671">
      <c r="F2671" s="17"/>
    </row>
    <row r="2672">
      <c r="F2672" s="17"/>
    </row>
    <row r="2673">
      <c r="F2673" s="17"/>
    </row>
    <row r="2674">
      <c r="F2674" s="17"/>
    </row>
    <row r="2675">
      <c r="F2675" s="17"/>
    </row>
    <row r="2676">
      <c r="F2676" s="17"/>
    </row>
    <row r="2677">
      <c r="F2677" s="17"/>
    </row>
    <row r="2678">
      <c r="F2678" s="17"/>
    </row>
    <row r="2679">
      <c r="F2679" s="17"/>
    </row>
    <row r="2680">
      <c r="F2680" s="17"/>
    </row>
    <row r="2681">
      <c r="F2681" s="17"/>
    </row>
    <row r="2682">
      <c r="F2682" s="17"/>
    </row>
    <row r="2683">
      <c r="F2683" s="17"/>
    </row>
    <row r="2684">
      <c r="F2684" s="17"/>
    </row>
    <row r="2685">
      <c r="F2685" s="17"/>
    </row>
    <row r="2686">
      <c r="F2686" s="17"/>
    </row>
    <row r="2687">
      <c r="F2687" s="17"/>
    </row>
    <row r="2688">
      <c r="F2688" s="17"/>
    </row>
    <row r="2689">
      <c r="F2689" s="17"/>
    </row>
    <row r="2690">
      <c r="F2690" s="17"/>
    </row>
    <row r="2691">
      <c r="F2691" s="17"/>
    </row>
    <row r="2692">
      <c r="F2692" s="17"/>
    </row>
    <row r="2693">
      <c r="F2693" s="17"/>
    </row>
    <row r="2694">
      <c r="F2694" s="17"/>
    </row>
    <row r="2695">
      <c r="F2695" s="17"/>
    </row>
    <row r="2696">
      <c r="F2696" s="17"/>
    </row>
    <row r="2697">
      <c r="F2697" s="17"/>
    </row>
    <row r="2698">
      <c r="F2698" s="17"/>
    </row>
    <row r="2699">
      <c r="F2699" s="17"/>
    </row>
    <row r="2700">
      <c r="F2700" s="17"/>
    </row>
    <row r="2701">
      <c r="F2701" s="17"/>
    </row>
    <row r="2702">
      <c r="F2702" s="17"/>
    </row>
    <row r="2703">
      <c r="F2703" s="17"/>
    </row>
    <row r="2704">
      <c r="F2704" s="17"/>
    </row>
    <row r="2705">
      <c r="F2705" s="17"/>
    </row>
    <row r="2706">
      <c r="F2706" s="17"/>
    </row>
    <row r="2707">
      <c r="F2707" s="17"/>
    </row>
    <row r="2708">
      <c r="F2708" s="17"/>
    </row>
    <row r="2709">
      <c r="F2709" s="17"/>
    </row>
    <row r="2710">
      <c r="F2710" s="17"/>
    </row>
    <row r="2711">
      <c r="F2711" s="17"/>
    </row>
    <row r="2712">
      <c r="F2712" s="17"/>
    </row>
    <row r="2713">
      <c r="F2713" s="17"/>
    </row>
    <row r="2714">
      <c r="F2714" s="17"/>
    </row>
    <row r="2715">
      <c r="F2715" s="17"/>
    </row>
    <row r="2716">
      <c r="F2716" s="17"/>
    </row>
    <row r="2717">
      <c r="F2717" s="17"/>
    </row>
    <row r="2718">
      <c r="F2718" s="17"/>
    </row>
    <row r="2719">
      <c r="F2719" s="17"/>
    </row>
    <row r="2720">
      <c r="F2720" s="17"/>
    </row>
    <row r="2721">
      <c r="F2721" s="17"/>
    </row>
    <row r="2722">
      <c r="F2722" s="17"/>
    </row>
    <row r="2723">
      <c r="F2723" s="17"/>
    </row>
    <row r="2724">
      <c r="F2724" s="17"/>
    </row>
    <row r="2725">
      <c r="F2725" s="17"/>
    </row>
    <row r="2726">
      <c r="F2726" s="17"/>
    </row>
    <row r="2727">
      <c r="F2727" s="17"/>
    </row>
    <row r="2728">
      <c r="F2728" s="17"/>
    </row>
    <row r="2729">
      <c r="F2729" s="17"/>
    </row>
    <row r="2730">
      <c r="F2730" s="17"/>
    </row>
    <row r="2731">
      <c r="F2731" s="17"/>
    </row>
    <row r="2732">
      <c r="F2732" s="17"/>
    </row>
    <row r="2733">
      <c r="F2733" s="17"/>
    </row>
    <row r="2734">
      <c r="F2734" s="17"/>
    </row>
    <row r="2735">
      <c r="F2735" s="17"/>
    </row>
    <row r="2736">
      <c r="F2736" s="17"/>
    </row>
    <row r="2737">
      <c r="F2737" s="17"/>
    </row>
    <row r="2738">
      <c r="F2738" s="17"/>
    </row>
    <row r="2739">
      <c r="F2739" s="17"/>
    </row>
    <row r="2740">
      <c r="F2740" s="17"/>
    </row>
    <row r="2741">
      <c r="F2741" s="17"/>
    </row>
    <row r="2742">
      <c r="F2742" s="17"/>
    </row>
    <row r="2743">
      <c r="F2743" s="17"/>
    </row>
    <row r="2744">
      <c r="F2744" s="17"/>
    </row>
    <row r="2745">
      <c r="F2745" s="17"/>
    </row>
    <row r="2746">
      <c r="F2746" s="17"/>
    </row>
    <row r="2747">
      <c r="F2747" s="17"/>
    </row>
    <row r="2748">
      <c r="F2748" s="17"/>
    </row>
    <row r="2749">
      <c r="F2749" s="17"/>
    </row>
    <row r="2750">
      <c r="F2750" s="17"/>
    </row>
    <row r="2751">
      <c r="F2751" s="17"/>
    </row>
    <row r="2752">
      <c r="F2752" s="17"/>
    </row>
    <row r="2753">
      <c r="F2753" s="17"/>
    </row>
    <row r="2754">
      <c r="F2754" s="17"/>
    </row>
    <row r="2755">
      <c r="F2755" s="17"/>
    </row>
    <row r="2756">
      <c r="F2756" s="17"/>
    </row>
    <row r="2757">
      <c r="F2757" s="17"/>
    </row>
    <row r="2758">
      <c r="F2758" s="17"/>
    </row>
    <row r="2759">
      <c r="F2759" s="17"/>
    </row>
    <row r="2760">
      <c r="F2760" s="17"/>
    </row>
    <row r="2761">
      <c r="F2761" s="17"/>
    </row>
    <row r="2762">
      <c r="F2762" s="17"/>
    </row>
    <row r="2763">
      <c r="F2763" s="17"/>
    </row>
    <row r="2764">
      <c r="F2764" s="17"/>
    </row>
    <row r="2765">
      <c r="F2765" s="17"/>
    </row>
    <row r="2766">
      <c r="F2766" s="17"/>
    </row>
    <row r="2767">
      <c r="F2767" s="17"/>
    </row>
    <row r="2768">
      <c r="F2768" s="17"/>
    </row>
    <row r="2769">
      <c r="F2769" s="17"/>
    </row>
    <row r="2770">
      <c r="F2770" s="17"/>
    </row>
    <row r="2771">
      <c r="F2771" s="17"/>
    </row>
    <row r="2772">
      <c r="F2772" s="17"/>
    </row>
    <row r="2773">
      <c r="F2773" s="17"/>
    </row>
    <row r="2774">
      <c r="F2774" s="17"/>
    </row>
    <row r="2775">
      <c r="F2775" s="17"/>
    </row>
    <row r="2776">
      <c r="F2776" s="17"/>
    </row>
    <row r="2777">
      <c r="F2777" s="17"/>
    </row>
    <row r="2778">
      <c r="F2778" s="17"/>
    </row>
    <row r="2779">
      <c r="F2779" s="17"/>
    </row>
    <row r="2780">
      <c r="F2780" s="17"/>
    </row>
    <row r="2781">
      <c r="F2781" s="17"/>
    </row>
    <row r="2782">
      <c r="F2782" s="17"/>
    </row>
    <row r="2783">
      <c r="F2783" s="17"/>
    </row>
    <row r="2784">
      <c r="F2784" s="17"/>
    </row>
    <row r="2785">
      <c r="F2785" s="17"/>
    </row>
    <row r="2786">
      <c r="F2786" s="17"/>
    </row>
    <row r="2787">
      <c r="F2787" s="17"/>
    </row>
    <row r="2788">
      <c r="F2788" s="17"/>
    </row>
    <row r="2789">
      <c r="F2789" s="17"/>
    </row>
    <row r="2790">
      <c r="F2790" s="17"/>
    </row>
    <row r="2791">
      <c r="F2791" s="17"/>
    </row>
    <row r="2792">
      <c r="F2792" s="17"/>
    </row>
    <row r="2793">
      <c r="F2793" s="17"/>
    </row>
    <row r="2794">
      <c r="F2794" s="17"/>
    </row>
    <row r="2795">
      <c r="F2795" s="17"/>
    </row>
    <row r="2796">
      <c r="F2796" s="17"/>
    </row>
    <row r="2797">
      <c r="F2797" s="17"/>
    </row>
    <row r="2798">
      <c r="F2798" s="17"/>
    </row>
    <row r="2799">
      <c r="F2799" s="17"/>
    </row>
    <row r="2800">
      <c r="F2800" s="17"/>
    </row>
    <row r="2801">
      <c r="F2801" s="17"/>
    </row>
    <row r="2802">
      <c r="F2802" s="17"/>
    </row>
    <row r="2803">
      <c r="F2803" s="17"/>
    </row>
    <row r="2804">
      <c r="F2804" s="17"/>
    </row>
    <row r="2805">
      <c r="F2805" s="17"/>
    </row>
    <row r="2806">
      <c r="F2806" s="17"/>
    </row>
    <row r="2807">
      <c r="F2807" s="17"/>
    </row>
    <row r="2808">
      <c r="F2808" s="17"/>
    </row>
    <row r="2809">
      <c r="F2809" s="17"/>
    </row>
    <row r="2810">
      <c r="F2810" s="17"/>
    </row>
    <row r="2811">
      <c r="F2811" s="17"/>
    </row>
    <row r="2812">
      <c r="F2812" s="17"/>
    </row>
    <row r="2813">
      <c r="F2813" s="17"/>
    </row>
    <row r="2814">
      <c r="F2814" s="17"/>
    </row>
    <row r="2815">
      <c r="F2815" s="17"/>
    </row>
    <row r="2816">
      <c r="F2816" s="17"/>
    </row>
    <row r="2817">
      <c r="F2817" s="17"/>
    </row>
    <row r="2818">
      <c r="F2818" s="17"/>
    </row>
    <row r="2819">
      <c r="F2819" s="17"/>
    </row>
    <row r="2820">
      <c r="F2820" s="17"/>
    </row>
    <row r="2821">
      <c r="F2821" s="17"/>
    </row>
    <row r="2822">
      <c r="F2822" s="17"/>
    </row>
    <row r="2823">
      <c r="F2823" s="17"/>
    </row>
    <row r="2824">
      <c r="F2824" s="17"/>
    </row>
    <row r="2825">
      <c r="F2825" s="17"/>
    </row>
    <row r="2826">
      <c r="F2826" s="17"/>
    </row>
    <row r="2827">
      <c r="F2827" s="17"/>
    </row>
    <row r="2828">
      <c r="F2828" s="17"/>
    </row>
    <row r="2829">
      <c r="F2829" s="17"/>
    </row>
    <row r="2830">
      <c r="F2830" s="17"/>
    </row>
    <row r="2831">
      <c r="F2831" s="17"/>
    </row>
    <row r="2832">
      <c r="F2832" s="17"/>
    </row>
    <row r="2833">
      <c r="F2833" s="17"/>
    </row>
    <row r="2834">
      <c r="F2834" s="17"/>
    </row>
    <row r="2835">
      <c r="F2835" s="17"/>
    </row>
    <row r="2836">
      <c r="F2836" s="17"/>
    </row>
    <row r="2837">
      <c r="F2837" s="17"/>
    </row>
    <row r="2838">
      <c r="F2838" s="17"/>
    </row>
    <row r="2839">
      <c r="F2839" s="17"/>
    </row>
    <row r="2840">
      <c r="F2840" s="17"/>
    </row>
    <row r="2841">
      <c r="F2841" s="17"/>
    </row>
    <row r="2842">
      <c r="F2842" s="17"/>
    </row>
    <row r="2843">
      <c r="F2843" s="17"/>
    </row>
    <row r="2844">
      <c r="F2844" s="17"/>
    </row>
    <row r="2845">
      <c r="F2845" s="17"/>
    </row>
    <row r="2846">
      <c r="F2846" s="17"/>
    </row>
    <row r="2847">
      <c r="F2847" s="17"/>
    </row>
    <row r="2848">
      <c r="F2848" s="17"/>
    </row>
    <row r="2849">
      <c r="F2849" s="17"/>
    </row>
    <row r="2850">
      <c r="F2850" s="17"/>
    </row>
    <row r="2851">
      <c r="F2851" s="17"/>
    </row>
    <row r="2852">
      <c r="F2852" s="17"/>
    </row>
    <row r="2853">
      <c r="F2853" s="17"/>
    </row>
    <row r="2854">
      <c r="F2854" s="17"/>
    </row>
    <row r="2855">
      <c r="F2855" s="17"/>
    </row>
    <row r="2856">
      <c r="F2856" s="17"/>
    </row>
    <row r="2857">
      <c r="F2857" s="17"/>
    </row>
    <row r="2858">
      <c r="F2858" s="17"/>
    </row>
    <row r="2859">
      <c r="F2859" s="17"/>
    </row>
    <row r="2860">
      <c r="F2860" s="17"/>
    </row>
    <row r="2861">
      <c r="F2861" s="17"/>
    </row>
    <row r="2862">
      <c r="F2862" s="17"/>
    </row>
    <row r="2863">
      <c r="F2863" s="17"/>
    </row>
    <row r="2864">
      <c r="F2864" s="17"/>
    </row>
    <row r="2865">
      <c r="F2865" s="17"/>
    </row>
    <row r="2866">
      <c r="F2866" s="17"/>
    </row>
    <row r="2867">
      <c r="F2867" s="17"/>
    </row>
    <row r="2868">
      <c r="F2868" s="17"/>
    </row>
    <row r="2869">
      <c r="F2869" s="17"/>
    </row>
    <row r="2870">
      <c r="F2870" s="17"/>
    </row>
    <row r="2871">
      <c r="F2871" s="17"/>
    </row>
    <row r="2872">
      <c r="F2872" s="17"/>
    </row>
    <row r="2873">
      <c r="F2873" s="17"/>
    </row>
    <row r="2874">
      <c r="F2874" s="17"/>
    </row>
    <row r="2875">
      <c r="F2875" s="17"/>
    </row>
    <row r="2876">
      <c r="F2876" s="17"/>
    </row>
    <row r="2877">
      <c r="F2877" s="17"/>
    </row>
    <row r="2878">
      <c r="F2878" s="17"/>
    </row>
    <row r="2879">
      <c r="F2879" s="17"/>
    </row>
    <row r="2880">
      <c r="F2880" s="17"/>
    </row>
    <row r="2881">
      <c r="F2881" s="17"/>
    </row>
    <row r="2882">
      <c r="F2882" s="17"/>
    </row>
    <row r="2883">
      <c r="F2883" s="17"/>
    </row>
    <row r="2884">
      <c r="F2884" s="17"/>
    </row>
    <row r="2885">
      <c r="F2885" s="17"/>
    </row>
    <row r="2886">
      <c r="F2886" s="17"/>
    </row>
    <row r="2887">
      <c r="F2887" s="17"/>
    </row>
    <row r="2888">
      <c r="F2888" s="17"/>
    </row>
    <row r="2889">
      <c r="F2889" s="17"/>
    </row>
    <row r="2890">
      <c r="F2890" s="17"/>
    </row>
    <row r="2891">
      <c r="F2891" s="17"/>
    </row>
    <row r="2892">
      <c r="F2892" s="17"/>
    </row>
    <row r="2893">
      <c r="F2893" s="17"/>
    </row>
    <row r="2894">
      <c r="F2894" s="17"/>
    </row>
    <row r="2895">
      <c r="F2895" s="17"/>
    </row>
    <row r="2896">
      <c r="F2896" s="17"/>
    </row>
    <row r="2897">
      <c r="F2897" s="17"/>
    </row>
    <row r="2898">
      <c r="F2898" s="17"/>
    </row>
    <row r="2899">
      <c r="F2899" s="17"/>
    </row>
    <row r="2900">
      <c r="F2900" s="17"/>
    </row>
    <row r="2901">
      <c r="F2901" s="17"/>
    </row>
    <row r="2902">
      <c r="F2902" s="17"/>
    </row>
    <row r="2903">
      <c r="F2903" s="17"/>
    </row>
    <row r="2904">
      <c r="F2904" s="17"/>
    </row>
    <row r="2905">
      <c r="F2905" s="17"/>
    </row>
    <row r="2906">
      <c r="F2906" s="17"/>
    </row>
    <row r="2907">
      <c r="F2907" s="17"/>
    </row>
    <row r="2908">
      <c r="F2908" s="17"/>
    </row>
    <row r="2909">
      <c r="F2909" s="17"/>
    </row>
    <row r="2910">
      <c r="F2910" s="17"/>
    </row>
    <row r="2911">
      <c r="F2911" s="17"/>
    </row>
    <row r="2912">
      <c r="F2912" s="17"/>
    </row>
    <row r="2913">
      <c r="F2913" s="17"/>
    </row>
    <row r="2914">
      <c r="F2914" s="17"/>
    </row>
    <row r="2915">
      <c r="F2915" s="17"/>
    </row>
    <row r="2916">
      <c r="F2916" s="17"/>
    </row>
    <row r="2917">
      <c r="F2917" s="17"/>
    </row>
    <row r="2918">
      <c r="F2918" s="17"/>
    </row>
    <row r="2919">
      <c r="F2919" s="17"/>
    </row>
    <row r="2920">
      <c r="F2920" s="17"/>
    </row>
    <row r="2921">
      <c r="F2921" s="17"/>
    </row>
    <row r="2922">
      <c r="F2922" s="17"/>
    </row>
    <row r="2923">
      <c r="F2923" s="17"/>
    </row>
    <row r="2924">
      <c r="F2924" s="17"/>
    </row>
    <row r="2925">
      <c r="F2925" s="17"/>
    </row>
    <row r="2926">
      <c r="F2926" s="17"/>
    </row>
    <row r="2927">
      <c r="F2927" s="17"/>
    </row>
    <row r="2928">
      <c r="F2928" s="17"/>
    </row>
    <row r="2929">
      <c r="F2929" s="17"/>
    </row>
    <row r="2930">
      <c r="F2930" s="17"/>
    </row>
    <row r="2931">
      <c r="F2931" s="17"/>
    </row>
    <row r="2932">
      <c r="F2932" s="17"/>
    </row>
    <row r="2933">
      <c r="F2933" s="17"/>
    </row>
    <row r="2934">
      <c r="F2934" s="17"/>
    </row>
    <row r="2935">
      <c r="F2935" s="17"/>
    </row>
    <row r="2936">
      <c r="F2936" s="17"/>
    </row>
    <row r="2937">
      <c r="F2937" s="17"/>
    </row>
    <row r="2938">
      <c r="F2938" s="17"/>
    </row>
    <row r="2939">
      <c r="F2939" s="17"/>
    </row>
    <row r="2940">
      <c r="F2940" s="17"/>
    </row>
    <row r="2941">
      <c r="F2941" s="17"/>
    </row>
    <row r="2942">
      <c r="F2942" s="17"/>
    </row>
    <row r="2943">
      <c r="F2943" s="17"/>
    </row>
    <row r="2944">
      <c r="F2944" s="17"/>
    </row>
    <row r="2945">
      <c r="F2945" s="17"/>
    </row>
    <row r="2946">
      <c r="F2946" s="17"/>
    </row>
    <row r="2947">
      <c r="F2947" s="17"/>
    </row>
    <row r="2948">
      <c r="F2948" s="17"/>
    </row>
    <row r="2949">
      <c r="F2949" s="17"/>
    </row>
    <row r="2950">
      <c r="F2950" s="17"/>
    </row>
    <row r="2951">
      <c r="F2951" s="17"/>
    </row>
    <row r="2952">
      <c r="F2952" s="17"/>
    </row>
    <row r="2953">
      <c r="F2953" s="17"/>
    </row>
    <row r="2954">
      <c r="F2954" s="17"/>
    </row>
    <row r="2955">
      <c r="F2955" s="17"/>
    </row>
    <row r="2956">
      <c r="F2956" s="17"/>
    </row>
    <row r="2957">
      <c r="F2957" s="17"/>
    </row>
    <row r="2958">
      <c r="F2958" s="17"/>
    </row>
    <row r="2959">
      <c r="F2959" s="17"/>
    </row>
    <row r="2960">
      <c r="F2960" s="17"/>
    </row>
    <row r="2961">
      <c r="F2961" s="17"/>
    </row>
    <row r="2962">
      <c r="F2962" s="17"/>
    </row>
    <row r="2963">
      <c r="F2963" s="17"/>
    </row>
    <row r="2964">
      <c r="F2964" s="17"/>
    </row>
    <row r="2965">
      <c r="F2965" s="17"/>
    </row>
    <row r="2966">
      <c r="F2966" s="17"/>
    </row>
    <row r="2967">
      <c r="F2967" s="17"/>
    </row>
    <row r="2968">
      <c r="F2968" s="17"/>
    </row>
    <row r="2969">
      <c r="F2969" s="17"/>
    </row>
    <row r="2970">
      <c r="F2970" s="17"/>
    </row>
    <row r="2971">
      <c r="F2971" s="17"/>
    </row>
    <row r="2972">
      <c r="F2972" s="17"/>
    </row>
    <row r="2973">
      <c r="F2973" s="17"/>
    </row>
    <row r="2974">
      <c r="F2974" s="17"/>
    </row>
    <row r="2975">
      <c r="F2975" s="17"/>
    </row>
    <row r="2976">
      <c r="F2976" s="17"/>
    </row>
    <row r="2977">
      <c r="F2977" s="17"/>
    </row>
    <row r="2978">
      <c r="F2978" s="17"/>
    </row>
    <row r="2979">
      <c r="F2979" s="17"/>
    </row>
    <row r="2980">
      <c r="F2980" s="17"/>
    </row>
    <row r="2981">
      <c r="F2981" s="17"/>
    </row>
    <row r="2982">
      <c r="F2982" s="17"/>
    </row>
    <row r="2983">
      <c r="F2983" s="17"/>
    </row>
    <row r="2984">
      <c r="F2984" s="17"/>
    </row>
    <row r="2985">
      <c r="F2985" s="17"/>
    </row>
    <row r="2986">
      <c r="F2986" s="17"/>
    </row>
    <row r="2987">
      <c r="F2987" s="17"/>
    </row>
    <row r="2988">
      <c r="F2988" s="17"/>
    </row>
    <row r="2989">
      <c r="F2989" s="17"/>
    </row>
    <row r="2990">
      <c r="F2990" s="17"/>
    </row>
    <row r="2991">
      <c r="F2991" s="17"/>
    </row>
    <row r="2992">
      <c r="F2992" s="17"/>
    </row>
    <row r="2993">
      <c r="F2993" s="17"/>
    </row>
    <row r="2994">
      <c r="F2994" s="17"/>
    </row>
    <row r="2995">
      <c r="F2995" s="17"/>
    </row>
    <row r="2996">
      <c r="F2996" s="17"/>
    </row>
    <row r="2997">
      <c r="F2997" s="17"/>
    </row>
    <row r="2998">
      <c r="F2998" s="17"/>
    </row>
    <row r="2999">
      <c r="F2999" s="17"/>
    </row>
    <row r="3000">
      <c r="F3000" s="17"/>
    </row>
    <row r="3001">
      <c r="F3001" s="17"/>
    </row>
    <row r="3002">
      <c r="F3002" s="17"/>
    </row>
    <row r="3003">
      <c r="F3003" s="17"/>
    </row>
    <row r="3004">
      <c r="F3004" s="17"/>
    </row>
    <row r="3005">
      <c r="F3005" s="17"/>
    </row>
    <row r="3006">
      <c r="F3006" s="17"/>
    </row>
    <row r="3007">
      <c r="F3007" s="17"/>
    </row>
    <row r="3008">
      <c r="F3008" s="17"/>
    </row>
    <row r="3009">
      <c r="F3009" s="17"/>
    </row>
    <row r="3010">
      <c r="F3010" s="17"/>
    </row>
    <row r="3011">
      <c r="F3011" s="17"/>
    </row>
    <row r="3012">
      <c r="F3012" s="17"/>
    </row>
    <row r="3013">
      <c r="F3013" s="17"/>
    </row>
    <row r="3014">
      <c r="F3014" s="17"/>
    </row>
    <row r="3015">
      <c r="F3015" s="17"/>
    </row>
    <row r="3016">
      <c r="F3016" s="17"/>
    </row>
    <row r="3017">
      <c r="F3017" s="17"/>
    </row>
    <row r="3018">
      <c r="F3018" s="17"/>
    </row>
    <row r="3019">
      <c r="F3019" s="17"/>
    </row>
    <row r="3020">
      <c r="F3020" s="17"/>
    </row>
    <row r="3021">
      <c r="F3021" s="17"/>
    </row>
    <row r="3022">
      <c r="F3022" s="17"/>
    </row>
    <row r="3023">
      <c r="F3023" s="17"/>
    </row>
    <row r="3024">
      <c r="F3024" s="17"/>
    </row>
    <row r="3025">
      <c r="F3025" s="17"/>
    </row>
    <row r="3026">
      <c r="F3026" s="17"/>
    </row>
    <row r="3027">
      <c r="F3027" s="17"/>
    </row>
    <row r="3028">
      <c r="F3028" s="17"/>
    </row>
    <row r="3029">
      <c r="F3029" s="17"/>
    </row>
    <row r="3030">
      <c r="F3030" s="17"/>
    </row>
    <row r="3031">
      <c r="F3031" s="17"/>
    </row>
    <row r="3032">
      <c r="F3032" s="17"/>
    </row>
    <row r="3033">
      <c r="F3033" s="17"/>
    </row>
    <row r="3034">
      <c r="F3034" s="17"/>
    </row>
    <row r="3035">
      <c r="F3035" s="17"/>
    </row>
    <row r="3036">
      <c r="F3036" s="17"/>
    </row>
    <row r="3037">
      <c r="F3037" s="17"/>
    </row>
    <row r="3038">
      <c r="F3038" s="17"/>
    </row>
    <row r="3039">
      <c r="F3039" s="17"/>
    </row>
    <row r="3040">
      <c r="F3040" s="17"/>
    </row>
    <row r="3041">
      <c r="F3041" s="17"/>
    </row>
    <row r="3042">
      <c r="F3042" s="17"/>
    </row>
    <row r="3043">
      <c r="F3043" s="17"/>
    </row>
    <row r="3044">
      <c r="F3044" s="17"/>
    </row>
    <row r="3045">
      <c r="F3045" s="17"/>
    </row>
    <row r="3046">
      <c r="F3046" s="17"/>
    </row>
    <row r="3047">
      <c r="F3047" s="17"/>
    </row>
    <row r="3048">
      <c r="F3048" s="17"/>
    </row>
    <row r="3049">
      <c r="F3049" s="17"/>
    </row>
    <row r="3050">
      <c r="F3050" s="17"/>
    </row>
    <row r="3051">
      <c r="F3051" s="17"/>
    </row>
    <row r="3052">
      <c r="F3052" s="17"/>
    </row>
    <row r="3053">
      <c r="F3053" s="17"/>
    </row>
    <row r="3054">
      <c r="F3054" s="17"/>
    </row>
    <row r="3055">
      <c r="F3055" s="17"/>
    </row>
    <row r="3056">
      <c r="F3056" s="17"/>
    </row>
    <row r="3057">
      <c r="F3057" s="17"/>
    </row>
    <row r="3058">
      <c r="F3058" s="17"/>
    </row>
    <row r="3059">
      <c r="F3059" s="17"/>
    </row>
    <row r="3060">
      <c r="F3060" s="17"/>
    </row>
    <row r="3061">
      <c r="F3061" s="17"/>
    </row>
    <row r="3062">
      <c r="F3062" s="17"/>
    </row>
    <row r="3063">
      <c r="F3063" s="17"/>
    </row>
    <row r="3064">
      <c r="F3064" s="17"/>
    </row>
    <row r="3065">
      <c r="F3065" s="17"/>
    </row>
    <row r="3066">
      <c r="F3066" s="17"/>
    </row>
    <row r="3067">
      <c r="F3067" s="17"/>
    </row>
    <row r="3068">
      <c r="F3068" s="17"/>
    </row>
    <row r="3069">
      <c r="F3069" s="17"/>
    </row>
    <row r="3070">
      <c r="F3070" s="17"/>
    </row>
    <row r="3071">
      <c r="F3071" s="17"/>
    </row>
    <row r="3072">
      <c r="F3072" s="17"/>
    </row>
    <row r="3073">
      <c r="F3073" s="17"/>
    </row>
    <row r="3074">
      <c r="F3074" s="17"/>
    </row>
    <row r="3075">
      <c r="F3075" s="17"/>
    </row>
    <row r="3076">
      <c r="F3076" s="17"/>
    </row>
    <row r="3077">
      <c r="F3077" s="17"/>
    </row>
    <row r="3078">
      <c r="F3078" s="17"/>
    </row>
    <row r="3079">
      <c r="F3079" s="17"/>
    </row>
    <row r="3080">
      <c r="F3080" s="17"/>
    </row>
    <row r="3081">
      <c r="F3081" s="17"/>
    </row>
    <row r="3082">
      <c r="F3082" s="17"/>
    </row>
    <row r="3083">
      <c r="F3083" s="17"/>
    </row>
    <row r="3084">
      <c r="F3084" s="17"/>
    </row>
    <row r="3085">
      <c r="F3085" s="17"/>
    </row>
    <row r="3086">
      <c r="F3086" s="17"/>
    </row>
    <row r="3087">
      <c r="F3087" s="17"/>
    </row>
    <row r="3088">
      <c r="F3088" s="17"/>
    </row>
    <row r="3089">
      <c r="F3089" s="17"/>
    </row>
    <row r="3090">
      <c r="F3090" s="17"/>
    </row>
    <row r="3091">
      <c r="F3091" s="17"/>
    </row>
    <row r="3092">
      <c r="F3092" s="17"/>
    </row>
    <row r="3093">
      <c r="F3093" s="17"/>
    </row>
    <row r="3094">
      <c r="F3094" s="17"/>
    </row>
    <row r="3095">
      <c r="F3095" s="17"/>
    </row>
    <row r="3096">
      <c r="F3096" s="17"/>
    </row>
    <row r="3097">
      <c r="F3097" s="17"/>
    </row>
    <row r="3098">
      <c r="F3098" s="17"/>
    </row>
    <row r="3099">
      <c r="F3099" s="17"/>
    </row>
    <row r="3100">
      <c r="F3100" s="17"/>
    </row>
    <row r="3101">
      <c r="F3101" s="17"/>
    </row>
    <row r="3102">
      <c r="F3102" s="17"/>
    </row>
    <row r="3103">
      <c r="F3103" s="17"/>
    </row>
    <row r="3104">
      <c r="F3104" s="17"/>
    </row>
    <row r="3105">
      <c r="F3105" s="17"/>
    </row>
    <row r="3106">
      <c r="F3106" s="17"/>
    </row>
    <row r="3107">
      <c r="F3107" s="17"/>
    </row>
    <row r="3108">
      <c r="F3108" s="17"/>
    </row>
    <row r="3109">
      <c r="F3109" s="17"/>
    </row>
    <row r="3110">
      <c r="F3110" s="17"/>
    </row>
    <row r="3111">
      <c r="F3111" s="17"/>
    </row>
    <row r="3112">
      <c r="F3112" s="17"/>
    </row>
    <row r="3113">
      <c r="F3113" s="17"/>
    </row>
    <row r="3114">
      <c r="F3114" s="17"/>
    </row>
    <row r="3115">
      <c r="F3115" s="17"/>
    </row>
    <row r="3116">
      <c r="F3116" s="17"/>
    </row>
    <row r="3117">
      <c r="F3117" s="17"/>
    </row>
    <row r="3118">
      <c r="F3118" s="17"/>
    </row>
    <row r="3119">
      <c r="F3119" s="17"/>
    </row>
    <row r="3120">
      <c r="F3120" s="17"/>
    </row>
    <row r="3121">
      <c r="F3121" s="17"/>
    </row>
    <row r="3122">
      <c r="F3122" s="17"/>
    </row>
    <row r="3123">
      <c r="F3123" s="17"/>
    </row>
    <row r="3124">
      <c r="F3124" s="17"/>
    </row>
    <row r="3125">
      <c r="F3125" s="17"/>
    </row>
    <row r="3126">
      <c r="F3126" s="17"/>
    </row>
    <row r="3127">
      <c r="F3127" s="17"/>
    </row>
    <row r="3128">
      <c r="F3128" s="17"/>
    </row>
    <row r="3129">
      <c r="F3129" s="17"/>
    </row>
    <row r="3130">
      <c r="F3130" s="17"/>
    </row>
    <row r="3131">
      <c r="F3131" s="17"/>
    </row>
    <row r="3132">
      <c r="F3132" s="17"/>
    </row>
    <row r="3133">
      <c r="F3133" s="17"/>
    </row>
    <row r="3134">
      <c r="F3134" s="17"/>
    </row>
    <row r="3135">
      <c r="F3135" s="17"/>
    </row>
    <row r="3136">
      <c r="F3136" s="17"/>
    </row>
    <row r="3137">
      <c r="F3137" s="17"/>
    </row>
    <row r="3138">
      <c r="F3138" s="17"/>
    </row>
    <row r="3139">
      <c r="F3139" s="17"/>
    </row>
    <row r="3140">
      <c r="F3140" s="17"/>
    </row>
    <row r="3141">
      <c r="F3141" s="17"/>
    </row>
    <row r="3142">
      <c r="F3142" s="17"/>
    </row>
    <row r="3143">
      <c r="F3143" s="17"/>
    </row>
    <row r="3144">
      <c r="F3144" s="17"/>
    </row>
    <row r="3145">
      <c r="F3145" s="17"/>
    </row>
    <row r="3146">
      <c r="F3146" s="17"/>
    </row>
    <row r="3147">
      <c r="F3147" s="17"/>
    </row>
    <row r="3148">
      <c r="F3148" s="17"/>
    </row>
    <row r="3149">
      <c r="F3149" s="17"/>
    </row>
    <row r="3150">
      <c r="F3150" s="17"/>
    </row>
    <row r="3151">
      <c r="F3151" s="17"/>
    </row>
    <row r="3152">
      <c r="F3152" s="17"/>
    </row>
    <row r="3153">
      <c r="F3153" s="17"/>
    </row>
    <row r="3154">
      <c r="F3154" s="17"/>
    </row>
    <row r="3155">
      <c r="F3155" s="17"/>
    </row>
    <row r="3156">
      <c r="F3156" s="17"/>
    </row>
    <row r="3157">
      <c r="F3157" s="17"/>
    </row>
    <row r="3158">
      <c r="F3158" s="17"/>
    </row>
    <row r="3159">
      <c r="F3159" s="17"/>
    </row>
    <row r="3160">
      <c r="F3160" s="17"/>
    </row>
    <row r="3161">
      <c r="F3161" s="17"/>
    </row>
    <row r="3162">
      <c r="F3162" s="17"/>
    </row>
    <row r="3163">
      <c r="F3163" s="17"/>
    </row>
    <row r="3164">
      <c r="F3164" s="17"/>
    </row>
    <row r="3165">
      <c r="F3165" s="17"/>
    </row>
    <row r="3166">
      <c r="F3166" s="17"/>
    </row>
    <row r="3167">
      <c r="F3167" s="17"/>
    </row>
    <row r="3168">
      <c r="F3168" s="17"/>
    </row>
    <row r="3169">
      <c r="F3169" s="17"/>
    </row>
    <row r="3170">
      <c r="F3170" s="17"/>
    </row>
    <row r="3171">
      <c r="F3171" s="17"/>
    </row>
    <row r="3172">
      <c r="F3172" s="17"/>
    </row>
    <row r="3173">
      <c r="F3173" s="17"/>
    </row>
    <row r="3174">
      <c r="F3174" s="17"/>
    </row>
    <row r="3175">
      <c r="F3175" s="17"/>
    </row>
    <row r="3176">
      <c r="F3176" s="17"/>
    </row>
    <row r="3177">
      <c r="F3177" s="17"/>
    </row>
    <row r="3178">
      <c r="F3178" s="17"/>
    </row>
    <row r="3179">
      <c r="F3179" s="17"/>
    </row>
    <row r="3180">
      <c r="F3180" s="17"/>
    </row>
    <row r="3181">
      <c r="F3181" s="17"/>
    </row>
    <row r="3182">
      <c r="F3182" s="17"/>
    </row>
    <row r="3183">
      <c r="F3183" s="17"/>
    </row>
    <row r="3184">
      <c r="F3184" s="17"/>
    </row>
    <row r="3185">
      <c r="F3185" s="17"/>
    </row>
    <row r="3186">
      <c r="F3186" s="17"/>
    </row>
    <row r="3187">
      <c r="F3187" s="17"/>
    </row>
    <row r="3188">
      <c r="F3188" s="17"/>
    </row>
    <row r="3189">
      <c r="F3189" s="17"/>
    </row>
    <row r="3190">
      <c r="F3190" s="17"/>
    </row>
    <row r="3191">
      <c r="F3191" s="17"/>
    </row>
    <row r="3192">
      <c r="F3192" s="17"/>
    </row>
    <row r="3193">
      <c r="F3193" s="17"/>
    </row>
    <row r="3194">
      <c r="F3194" s="17"/>
    </row>
    <row r="3195">
      <c r="F3195" s="17"/>
    </row>
    <row r="3196">
      <c r="F3196" s="17"/>
    </row>
    <row r="3197">
      <c r="F3197" s="17"/>
    </row>
    <row r="3198">
      <c r="F3198" s="17"/>
    </row>
    <row r="3199">
      <c r="F3199" s="17"/>
    </row>
    <row r="3200">
      <c r="F3200" s="17"/>
    </row>
    <row r="3201">
      <c r="F3201" s="17"/>
    </row>
    <row r="3202">
      <c r="F3202" s="17"/>
    </row>
    <row r="3203">
      <c r="F3203" s="17"/>
    </row>
    <row r="3204">
      <c r="F3204" s="17"/>
    </row>
    <row r="3205">
      <c r="F3205" s="17"/>
    </row>
    <row r="3206">
      <c r="F3206" s="17"/>
    </row>
    <row r="3207">
      <c r="F3207" s="17"/>
    </row>
    <row r="3208">
      <c r="F3208" s="17"/>
    </row>
    <row r="3209">
      <c r="F3209" s="17"/>
    </row>
    <row r="3210">
      <c r="F3210" s="17"/>
    </row>
    <row r="3211">
      <c r="F3211" s="17"/>
    </row>
    <row r="3212">
      <c r="F3212" s="17"/>
    </row>
    <row r="3213">
      <c r="F3213" s="17"/>
    </row>
    <row r="3214">
      <c r="F3214" s="17"/>
    </row>
    <row r="3215">
      <c r="F3215" s="17"/>
    </row>
    <row r="3216">
      <c r="F3216" s="17"/>
    </row>
    <row r="3217">
      <c r="F3217" s="17"/>
    </row>
    <row r="3218">
      <c r="F3218" s="17"/>
    </row>
    <row r="3219">
      <c r="F3219" s="17"/>
    </row>
    <row r="3220">
      <c r="F3220" s="17"/>
    </row>
    <row r="3221">
      <c r="F3221" s="17"/>
    </row>
    <row r="3222">
      <c r="F3222" s="17"/>
    </row>
    <row r="3223">
      <c r="F3223" s="17"/>
    </row>
    <row r="3224">
      <c r="F3224" s="17"/>
    </row>
    <row r="3225">
      <c r="F3225" s="17"/>
    </row>
    <row r="3226">
      <c r="F3226" s="17"/>
    </row>
    <row r="3227">
      <c r="F3227" s="17"/>
    </row>
    <row r="3228">
      <c r="F3228" s="17"/>
    </row>
    <row r="3229">
      <c r="F3229" s="17"/>
    </row>
    <row r="3230">
      <c r="F3230" s="17"/>
    </row>
    <row r="3231">
      <c r="F3231" s="17"/>
    </row>
    <row r="3232">
      <c r="F3232" s="17"/>
    </row>
    <row r="3233">
      <c r="F3233" s="17"/>
    </row>
    <row r="3234">
      <c r="F3234" s="17"/>
    </row>
    <row r="3235">
      <c r="F3235" s="17"/>
    </row>
    <row r="3236">
      <c r="F3236" s="17"/>
    </row>
    <row r="3237">
      <c r="F3237" s="17"/>
    </row>
    <row r="3238">
      <c r="F3238" s="17"/>
    </row>
    <row r="3239">
      <c r="F3239" s="17"/>
    </row>
    <row r="3240">
      <c r="F3240" s="17"/>
    </row>
    <row r="3241">
      <c r="F3241" s="17"/>
    </row>
    <row r="3242">
      <c r="F3242" s="17"/>
    </row>
    <row r="3243">
      <c r="F3243" s="17"/>
    </row>
    <row r="3244">
      <c r="F3244" s="17"/>
    </row>
    <row r="3245">
      <c r="F3245" s="17"/>
    </row>
    <row r="3246">
      <c r="F3246" s="17"/>
    </row>
    <row r="3247">
      <c r="F3247" s="17"/>
    </row>
    <row r="3248">
      <c r="F3248" s="17"/>
    </row>
    <row r="3249">
      <c r="F3249" s="17"/>
    </row>
    <row r="3250">
      <c r="F3250" s="17"/>
    </row>
    <row r="3251">
      <c r="F3251" s="17"/>
    </row>
    <row r="3252">
      <c r="F3252" s="17"/>
    </row>
    <row r="3253">
      <c r="F3253" s="17"/>
    </row>
    <row r="3254">
      <c r="F3254" s="17"/>
    </row>
    <row r="3255">
      <c r="F3255" s="17"/>
    </row>
    <row r="3256">
      <c r="F3256" s="17"/>
    </row>
    <row r="3257">
      <c r="F3257" s="17"/>
    </row>
    <row r="3258">
      <c r="F3258" s="17"/>
    </row>
    <row r="3259">
      <c r="F3259" s="17"/>
    </row>
    <row r="3260">
      <c r="F3260" s="17"/>
    </row>
    <row r="3261">
      <c r="F3261" s="17"/>
    </row>
    <row r="3262">
      <c r="F3262" s="17"/>
    </row>
    <row r="3263">
      <c r="F3263" s="17"/>
    </row>
    <row r="3264">
      <c r="F3264" s="17"/>
    </row>
    <row r="3265">
      <c r="F3265" s="17"/>
    </row>
    <row r="3266">
      <c r="F3266" s="17"/>
    </row>
    <row r="3267">
      <c r="F3267" s="17"/>
    </row>
    <row r="3268">
      <c r="F3268" s="17"/>
    </row>
    <row r="3269">
      <c r="F3269" s="17"/>
    </row>
    <row r="3270">
      <c r="F3270" s="17"/>
    </row>
    <row r="3271">
      <c r="F3271" s="17"/>
    </row>
    <row r="3272">
      <c r="F3272" s="17"/>
    </row>
    <row r="3273">
      <c r="F3273" s="17"/>
    </row>
    <row r="3274">
      <c r="F3274" s="17"/>
    </row>
    <row r="3275">
      <c r="F3275" s="17"/>
    </row>
    <row r="3276">
      <c r="F3276" s="17"/>
    </row>
    <row r="3277">
      <c r="F3277" s="17"/>
    </row>
    <row r="3278">
      <c r="F3278" s="17"/>
    </row>
    <row r="3279">
      <c r="F3279" s="17"/>
    </row>
    <row r="3280">
      <c r="F3280" s="17"/>
    </row>
    <row r="3281">
      <c r="F3281" s="17"/>
    </row>
    <row r="3282">
      <c r="F3282" s="17"/>
    </row>
    <row r="3283">
      <c r="F3283" s="17"/>
    </row>
    <row r="3284">
      <c r="F3284" s="17"/>
    </row>
    <row r="3285">
      <c r="F3285" s="17"/>
    </row>
    <row r="3286">
      <c r="F3286" s="17"/>
    </row>
    <row r="3287">
      <c r="F3287" s="17"/>
    </row>
    <row r="3288">
      <c r="F3288" s="17"/>
    </row>
    <row r="3289">
      <c r="F3289" s="17"/>
    </row>
    <row r="3290">
      <c r="F3290" s="17"/>
    </row>
    <row r="3291">
      <c r="F3291" s="17"/>
    </row>
    <row r="3292">
      <c r="F3292" s="17"/>
    </row>
    <row r="3293">
      <c r="F3293" s="17"/>
    </row>
    <row r="3294">
      <c r="F3294" s="17"/>
    </row>
    <row r="3295">
      <c r="F3295" s="17"/>
    </row>
    <row r="3296">
      <c r="F3296" s="17"/>
    </row>
    <row r="3297">
      <c r="F3297" s="17"/>
    </row>
    <row r="3298">
      <c r="F3298" s="17"/>
    </row>
    <row r="3299">
      <c r="F3299" s="17"/>
    </row>
    <row r="3300">
      <c r="F3300" s="17"/>
    </row>
    <row r="3301">
      <c r="F3301" s="17"/>
    </row>
    <row r="3302">
      <c r="F3302" s="17"/>
    </row>
    <row r="3303">
      <c r="F3303" s="17"/>
    </row>
    <row r="3304">
      <c r="F3304" s="17"/>
    </row>
    <row r="3305">
      <c r="F3305" s="17"/>
    </row>
    <row r="3306">
      <c r="F3306" s="17"/>
    </row>
    <row r="3307">
      <c r="F3307" s="17"/>
    </row>
    <row r="3308">
      <c r="F3308" s="17"/>
    </row>
    <row r="3309">
      <c r="F3309" s="17"/>
    </row>
    <row r="3310">
      <c r="F3310" s="17"/>
    </row>
    <row r="3311">
      <c r="F3311" s="17"/>
    </row>
    <row r="3312">
      <c r="F3312" s="17"/>
    </row>
    <row r="3313">
      <c r="F3313" s="17"/>
    </row>
    <row r="3314">
      <c r="F3314" s="17"/>
    </row>
    <row r="3315">
      <c r="F3315" s="17"/>
    </row>
    <row r="3316">
      <c r="F3316" s="17"/>
    </row>
    <row r="3317">
      <c r="F3317" s="17"/>
    </row>
    <row r="3318">
      <c r="F3318" s="17"/>
    </row>
    <row r="3319">
      <c r="F3319" s="17"/>
    </row>
    <row r="3320">
      <c r="F3320" s="17"/>
    </row>
    <row r="3321">
      <c r="F3321" s="17"/>
    </row>
    <row r="3322">
      <c r="F3322" s="17"/>
    </row>
    <row r="3323">
      <c r="F3323" s="17"/>
    </row>
    <row r="3324">
      <c r="F3324" s="17"/>
    </row>
    <row r="3325">
      <c r="F3325" s="17"/>
    </row>
    <row r="3326">
      <c r="F3326" s="17"/>
    </row>
    <row r="3327">
      <c r="F3327" s="17"/>
    </row>
    <row r="3328">
      <c r="F3328" s="17"/>
    </row>
    <row r="3329">
      <c r="F3329" s="17"/>
    </row>
    <row r="3330">
      <c r="F3330" s="17"/>
    </row>
    <row r="3331">
      <c r="F3331" s="17"/>
    </row>
    <row r="3332">
      <c r="F3332" s="17"/>
    </row>
    <row r="3333">
      <c r="F3333" s="17"/>
    </row>
    <row r="3334">
      <c r="F3334" s="17"/>
    </row>
    <row r="3335">
      <c r="F3335" s="17"/>
    </row>
    <row r="3336">
      <c r="F3336" s="17"/>
    </row>
    <row r="3337">
      <c r="F3337" s="17"/>
    </row>
    <row r="3338">
      <c r="F3338" s="17"/>
    </row>
    <row r="3339">
      <c r="F3339" s="17"/>
    </row>
    <row r="3340">
      <c r="F3340" s="17"/>
    </row>
    <row r="3341">
      <c r="F3341" s="17"/>
    </row>
    <row r="3342">
      <c r="F3342" s="17"/>
    </row>
    <row r="3343">
      <c r="F3343" s="17"/>
    </row>
    <row r="3344">
      <c r="F3344" s="17"/>
    </row>
    <row r="3345">
      <c r="F3345" s="17"/>
    </row>
    <row r="3346">
      <c r="F3346" s="17"/>
    </row>
    <row r="3347">
      <c r="F3347" s="17"/>
    </row>
    <row r="3348">
      <c r="F3348" s="17"/>
    </row>
    <row r="3349">
      <c r="F3349" s="17"/>
    </row>
    <row r="3350">
      <c r="F3350" s="17"/>
    </row>
    <row r="3351">
      <c r="F3351" s="17"/>
    </row>
    <row r="3352">
      <c r="F3352" s="17"/>
    </row>
    <row r="3353">
      <c r="F3353" s="17"/>
    </row>
    <row r="3354">
      <c r="F3354" s="17"/>
    </row>
    <row r="3355">
      <c r="F3355" s="17"/>
    </row>
    <row r="3356">
      <c r="F3356" s="17"/>
    </row>
    <row r="3357">
      <c r="F3357" s="17"/>
    </row>
    <row r="3358">
      <c r="F3358" s="17"/>
    </row>
    <row r="3359">
      <c r="F3359" s="17"/>
    </row>
    <row r="3360">
      <c r="F3360" s="17"/>
    </row>
    <row r="3361">
      <c r="F3361" s="17"/>
    </row>
    <row r="3362">
      <c r="F3362" s="17"/>
    </row>
    <row r="3363">
      <c r="F3363" s="17"/>
    </row>
    <row r="3364">
      <c r="F3364" s="17"/>
    </row>
    <row r="3365">
      <c r="F3365" s="17"/>
    </row>
    <row r="3366">
      <c r="F3366" s="17"/>
    </row>
    <row r="3367">
      <c r="F3367" s="17"/>
    </row>
    <row r="3368">
      <c r="F3368" s="17"/>
    </row>
    <row r="3369">
      <c r="F3369" s="17"/>
    </row>
    <row r="3370">
      <c r="F3370" s="17"/>
    </row>
    <row r="3371">
      <c r="F3371" s="17"/>
    </row>
    <row r="3372">
      <c r="F3372" s="17"/>
    </row>
    <row r="3373">
      <c r="F3373" s="17"/>
    </row>
    <row r="3374">
      <c r="F3374" s="17"/>
    </row>
    <row r="3375">
      <c r="F3375" s="17"/>
    </row>
    <row r="3376">
      <c r="F3376" s="17"/>
    </row>
    <row r="3377">
      <c r="F3377" s="17"/>
    </row>
    <row r="3378">
      <c r="F3378" s="17"/>
    </row>
    <row r="3379">
      <c r="F3379" s="17"/>
    </row>
    <row r="3380">
      <c r="F3380" s="17"/>
    </row>
    <row r="3381">
      <c r="F3381" s="17"/>
    </row>
    <row r="3382">
      <c r="F3382" s="17"/>
    </row>
    <row r="3383">
      <c r="F3383" s="17"/>
    </row>
    <row r="3384">
      <c r="F3384" s="17"/>
    </row>
    <row r="3385">
      <c r="F3385" s="17"/>
    </row>
    <row r="3386">
      <c r="F3386" s="17"/>
    </row>
    <row r="3387">
      <c r="F3387" s="17"/>
    </row>
    <row r="3388">
      <c r="F3388" s="17"/>
    </row>
    <row r="3389">
      <c r="F3389" s="17"/>
    </row>
    <row r="3390">
      <c r="F3390" s="17"/>
    </row>
    <row r="3391">
      <c r="F3391" s="17"/>
    </row>
    <row r="3392">
      <c r="F3392" s="17"/>
    </row>
    <row r="3393">
      <c r="F3393" s="17"/>
    </row>
    <row r="3394">
      <c r="F3394" s="17"/>
    </row>
    <row r="3395">
      <c r="F3395" s="17"/>
    </row>
    <row r="3396">
      <c r="F3396" s="17"/>
    </row>
    <row r="3397">
      <c r="F3397" s="17"/>
    </row>
    <row r="3398">
      <c r="F3398" s="17"/>
    </row>
    <row r="3399">
      <c r="F3399" s="17"/>
    </row>
    <row r="3400">
      <c r="F3400" s="17"/>
    </row>
    <row r="3401">
      <c r="F3401" s="17"/>
    </row>
    <row r="3402">
      <c r="F3402" s="17"/>
    </row>
    <row r="3403">
      <c r="F3403" s="17"/>
    </row>
    <row r="3404">
      <c r="F3404" s="17"/>
    </row>
    <row r="3405">
      <c r="F3405" s="17"/>
    </row>
    <row r="3406">
      <c r="F3406" s="17"/>
    </row>
    <row r="3407">
      <c r="F3407" s="17"/>
    </row>
    <row r="3408">
      <c r="F3408" s="17"/>
    </row>
    <row r="3409">
      <c r="F3409" s="17"/>
    </row>
    <row r="3410">
      <c r="F3410" s="17"/>
    </row>
    <row r="3411">
      <c r="F3411" s="17"/>
    </row>
    <row r="3412">
      <c r="F3412" s="17"/>
    </row>
    <row r="3413">
      <c r="F3413" s="17"/>
    </row>
    <row r="3414">
      <c r="F3414" s="17"/>
    </row>
    <row r="3415">
      <c r="F3415" s="17"/>
    </row>
    <row r="3416">
      <c r="F3416" s="17"/>
    </row>
    <row r="3417">
      <c r="F3417" s="17"/>
    </row>
    <row r="3418">
      <c r="F3418" s="17"/>
    </row>
    <row r="3419">
      <c r="F3419" s="17"/>
    </row>
    <row r="3420">
      <c r="F3420" s="17"/>
    </row>
    <row r="3421">
      <c r="F3421" s="17"/>
    </row>
    <row r="3422">
      <c r="F3422" s="17"/>
    </row>
    <row r="3423">
      <c r="F3423" s="17"/>
    </row>
    <row r="3424">
      <c r="F3424" s="17"/>
    </row>
    <row r="3425">
      <c r="F3425" s="17"/>
    </row>
    <row r="3426">
      <c r="F3426" s="17"/>
    </row>
    <row r="3427">
      <c r="F3427" s="17"/>
    </row>
    <row r="3428">
      <c r="F3428" s="17"/>
    </row>
    <row r="3429">
      <c r="F3429" s="17"/>
    </row>
    <row r="3430">
      <c r="F3430" s="17"/>
    </row>
    <row r="3431">
      <c r="F3431" s="17"/>
    </row>
    <row r="3432">
      <c r="F3432" s="17"/>
    </row>
    <row r="3433">
      <c r="F3433" s="17"/>
    </row>
    <row r="3434">
      <c r="F3434" s="17"/>
    </row>
    <row r="3435">
      <c r="F3435" s="17"/>
    </row>
    <row r="3436">
      <c r="F3436" s="17"/>
    </row>
    <row r="3437">
      <c r="F3437" s="17"/>
    </row>
    <row r="3438">
      <c r="F3438" s="17"/>
    </row>
    <row r="3439">
      <c r="F3439" s="17"/>
    </row>
    <row r="3440">
      <c r="F3440" s="17"/>
    </row>
    <row r="3441">
      <c r="F3441" s="17"/>
    </row>
    <row r="3442">
      <c r="F3442" s="17"/>
    </row>
    <row r="3443">
      <c r="F3443" s="17"/>
    </row>
    <row r="3444">
      <c r="F3444" s="17"/>
    </row>
    <row r="3445">
      <c r="F3445" s="17"/>
    </row>
    <row r="3446">
      <c r="F3446" s="17"/>
    </row>
    <row r="3447">
      <c r="F3447" s="17"/>
    </row>
    <row r="3448">
      <c r="F3448" s="17"/>
    </row>
    <row r="3449">
      <c r="F3449" s="17"/>
    </row>
    <row r="3450">
      <c r="F3450" s="17"/>
    </row>
    <row r="3451">
      <c r="F3451" s="17"/>
    </row>
    <row r="3452">
      <c r="F3452" s="17"/>
    </row>
    <row r="3453">
      <c r="F3453" s="17"/>
    </row>
    <row r="3454">
      <c r="F3454" s="17"/>
    </row>
    <row r="3455">
      <c r="F3455" s="17"/>
    </row>
    <row r="3456">
      <c r="F3456" s="17"/>
    </row>
    <row r="3457">
      <c r="F3457" s="17"/>
    </row>
    <row r="3458">
      <c r="F3458" s="17"/>
    </row>
    <row r="3459">
      <c r="F3459" s="17"/>
    </row>
    <row r="3460">
      <c r="F3460" s="17"/>
    </row>
    <row r="3461">
      <c r="F3461" s="17"/>
    </row>
    <row r="3462">
      <c r="F3462" s="17"/>
    </row>
    <row r="3463">
      <c r="F3463" s="17"/>
    </row>
    <row r="3464">
      <c r="F3464" s="17"/>
    </row>
    <row r="3465">
      <c r="F3465" s="17"/>
    </row>
    <row r="3466">
      <c r="F3466" s="17"/>
    </row>
    <row r="3467">
      <c r="F3467" s="17"/>
    </row>
    <row r="3468">
      <c r="F3468" s="17"/>
    </row>
    <row r="3469">
      <c r="F3469" s="17"/>
    </row>
    <row r="3470">
      <c r="F3470" s="17"/>
    </row>
    <row r="3471">
      <c r="F3471" s="17"/>
    </row>
    <row r="3472">
      <c r="F3472" s="17"/>
    </row>
    <row r="3473">
      <c r="F3473" s="17"/>
    </row>
    <row r="3474">
      <c r="F3474" s="17"/>
    </row>
    <row r="3475">
      <c r="F3475" s="17"/>
    </row>
    <row r="3476">
      <c r="F3476" s="17"/>
    </row>
    <row r="3477">
      <c r="F3477" s="17"/>
    </row>
    <row r="3478">
      <c r="F3478" s="17"/>
    </row>
    <row r="3479">
      <c r="F3479" s="17"/>
    </row>
    <row r="3480">
      <c r="F3480" s="17"/>
    </row>
    <row r="3481">
      <c r="F3481" s="17"/>
    </row>
    <row r="3482">
      <c r="F3482" s="17"/>
    </row>
    <row r="3483">
      <c r="F3483" s="17"/>
    </row>
    <row r="3484">
      <c r="F3484" s="17"/>
    </row>
    <row r="3485">
      <c r="F3485" s="17"/>
    </row>
    <row r="3486">
      <c r="F3486" s="17"/>
    </row>
    <row r="3487">
      <c r="F3487" s="17"/>
    </row>
    <row r="3488">
      <c r="F3488" s="17"/>
    </row>
    <row r="3489">
      <c r="F3489" s="17"/>
    </row>
    <row r="3490">
      <c r="F3490" s="17"/>
    </row>
    <row r="3491">
      <c r="F3491" s="17"/>
    </row>
    <row r="3492">
      <c r="F3492" s="17"/>
    </row>
    <row r="3493">
      <c r="F3493" s="17"/>
    </row>
    <row r="3494">
      <c r="F3494" s="17"/>
    </row>
    <row r="3495">
      <c r="F3495" s="17"/>
    </row>
    <row r="3496">
      <c r="F3496" s="17"/>
    </row>
    <row r="3497">
      <c r="F3497" s="17"/>
    </row>
    <row r="3498">
      <c r="F3498" s="17"/>
    </row>
    <row r="3499">
      <c r="F3499" s="17"/>
    </row>
    <row r="3500">
      <c r="F3500" s="17"/>
    </row>
    <row r="3501">
      <c r="F3501" s="17"/>
    </row>
    <row r="3502">
      <c r="F3502" s="17"/>
    </row>
    <row r="3503">
      <c r="F3503" s="17"/>
    </row>
    <row r="3504">
      <c r="F3504" s="17"/>
    </row>
    <row r="3505">
      <c r="F3505" s="17"/>
    </row>
    <row r="3506">
      <c r="F3506" s="17"/>
    </row>
    <row r="3507">
      <c r="F3507" s="17"/>
    </row>
    <row r="3508">
      <c r="F3508" s="17"/>
    </row>
    <row r="3509">
      <c r="F3509" s="17"/>
    </row>
    <row r="3510">
      <c r="F3510" s="17"/>
    </row>
    <row r="3511">
      <c r="F3511" s="17"/>
    </row>
    <row r="3512">
      <c r="F3512" s="17"/>
    </row>
    <row r="3513">
      <c r="F3513" s="17"/>
    </row>
    <row r="3514">
      <c r="F3514" s="17"/>
    </row>
    <row r="3515">
      <c r="F3515" s="17"/>
    </row>
    <row r="3516">
      <c r="F3516" s="17"/>
    </row>
    <row r="3517">
      <c r="F3517" s="17"/>
    </row>
    <row r="3518">
      <c r="F3518" s="17"/>
    </row>
    <row r="3519">
      <c r="F3519" s="17"/>
    </row>
    <row r="3520">
      <c r="F3520" s="17"/>
    </row>
    <row r="3521">
      <c r="F3521" s="17"/>
    </row>
    <row r="3522">
      <c r="F3522" s="17"/>
    </row>
    <row r="3523">
      <c r="F3523" s="17"/>
    </row>
    <row r="3524">
      <c r="F3524" s="17"/>
    </row>
    <row r="3525">
      <c r="F3525" s="17"/>
    </row>
    <row r="3526">
      <c r="F3526" s="17"/>
    </row>
    <row r="3527">
      <c r="F3527" s="17"/>
    </row>
    <row r="3528">
      <c r="F3528" s="17"/>
    </row>
    <row r="3529">
      <c r="F3529" s="17"/>
    </row>
    <row r="3530">
      <c r="F3530" s="17"/>
    </row>
    <row r="3531">
      <c r="F3531" s="17"/>
    </row>
    <row r="3532">
      <c r="F3532" s="17"/>
    </row>
    <row r="3533">
      <c r="F3533" s="17"/>
    </row>
    <row r="3534">
      <c r="F3534" s="17"/>
    </row>
    <row r="3535">
      <c r="F3535" s="17"/>
    </row>
    <row r="3536">
      <c r="F3536" s="17"/>
    </row>
    <row r="3537">
      <c r="F3537" s="17"/>
    </row>
    <row r="3538">
      <c r="F3538" s="17"/>
    </row>
    <row r="3539">
      <c r="F3539" s="17"/>
    </row>
    <row r="3540">
      <c r="F3540" s="17"/>
    </row>
    <row r="3541">
      <c r="F3541" s="17"/>
    </row>
    <row r="3542">
      <c r="F3542" s="17"/>
    </row>
    <row r="3543">
      <c r="F3543" s="17"/>
    </row>
    <row r="3544">
      <c r="F3544" s="17"/>
    </row>
    <row r="3545">
      <c r="F3545" s="17"/>
    </row>
    <row r="3546">
      <c r="F3546" s="17"/>
    </row>
    <row r="3547">
      <c r="F3547" s="17"/>
    </row>
    <row r="3548">
      <c r="F3548" s="17"/>
    </row>
    <row r="3549">
      <c r="F3549" s="17"/>
    </row>
    <row r="3550">
      <c r="F3550" s="17"/>
    </row>
    <row r="3551">
      <c r="F3551" s="17"/>
    </row>
    <row r="3552">
      <c r="F3552" s="17"/>
    </row>
    <row r="3553">
      <c r="F3553" s="17"/>
    </row>
    <row r="3554">
      <c r="F3554" s="17"/>
    </row>
    <row r="3555">
      <c r="F3555" s="17"/>
    </row>
    <row r="3556">
      <c r="F3556" s="17"/>
    </row>
    <row r="3557">
      <c r="F3557" s="17"/>
    </row>
    <row r="3558">
      <c r="F3558" s="17"/>
    </row>
    <row r="3559">
      <c r="F3559" s="17"/>
    </row>
    <row r="3560">
      <c r="F3560" s="17"/>
    </row>
    <row r="3561">
      <c r="F3561" s="17"/>
    </row>
    <row r="3562">
      <c r="F3562" s="17"/>
    </row>
    <row r="3563">
      <c r="F3563" s="17"/>
    </row>
    <row r="3564">
      <c r="F3564" s="17"/>
    </row>
    <row r="3565">
      <c r="F3565" s="17"/>
    </row>
    <row r="3566">
      <c r="F3566" s="17"/>
    </row>
    <row r="3567">
      <c r="F3567" s="17"/>
    </row>
    <row r="3568">
      <c r="F3568" s="17"/>
    </row>
    <row r="3569">
      <c r="F3569" s="17"/>
    </row>
    <row r="3570">
      <c r="F3570" s="17"/>
    </row>
    <row r="3571">
      <c r="F3571" s="17"/>
    </row>
    <row r="3572">
      <c r="F3572" s="17"/>
    </row>
    <row r="3573">
      <c r="F3573" s="17"/>
    </row>
    <row r="3574">
      <c r="F3574" s="17"/>
    </row>
    <row r="3575">
      <c r="F3575" s="17"/>
    </row>
    <row r="3576">
      <c r="F3576" s="17"/>
    </row>
    <row r="3577">
      <c r="F3577" s="17"/>
    </row>
    <row r="3578">
      <c r="F3578" s="17"/>
    </row>
    <row r="3579">
      <c r="F3579" s="17"/>
    </row>
    <row r="3580">
      <c r="F3580" s="17"/>
    </row>
    <row r="3581">
      <c r="F3581" s="17"/>
    </row>
    <row r="3582">
      <c r="F3582" s="17"/>
    </row>
    <row r="3583">
      <c r="F3583" s="17"/>
    </row>
    <row r="3584">
      <c r="F3584" s="17"/>
    </row>
    <row r="3585">
      <c r="F3585" s="17"/>
    </row>
    <row r="3586">
      <c r="F3586" s="17"/>
    </row>
    <row r="3587">
      <c r="F3587" s="17"/>
    </row>
    <row r="3588">
      <c r="F3588" s="17"/>
    </row>
    <row r="3589">
      <c r="F3589" s="17"/>
    </row>
    <row r="3590">
      <c r="F3590" s="17"/>
    </row>
    <row r="3591">
      <c r="F3591" s="17"/>
    </row>
    <row r="3592">
      <c r="F3592" s="17"/>
    </row>
    <row r="3593">
      <c r="F3593" s="17"/>
    </row>
    <row r="3594">
      <c r="F3594" s="17"/>
    </row>
    <row r="3595">
      <c r="F3595" s="17"/>
    </row>
    <row r="3596">
      <c r="F3596" s="17"/>
    </row>
    <row r="3597">
      <c r="F3597" s="17"/>
    </row>
    <row r="3598">
      <c r="F3598" s="17"/>
    </row>
    <row r="3599">
      <c r="F3599" s="17"/>
    </row>
    <row r="3600">
      <c r="F3600" s="17"/>
    </row>
    <row r="3601">
      <c r="F3601" s="17"/>
    </row>
    <row r="3602">
      <c r="F3602" s="17"/>
    </row>
    <row r="3603">
      <c r="F3603" s="17"/>
    </row>
    <row r="3604">
      <c r="F3604" s="17"/>
    </row>
    <row r="3605">
      <c r="F3605" s="17"/>
    </row>
    <row r="3606">
      <c r="F3606" s="17"/>
    </row>
    <row r="3607">
      <c r="F3607" s="17"/>
    </row>
    <row r="3608">
      <c r="F3608" s="17"/>
    </row>
    <row r="3609">
      <c r="F3609" s="17"/>
    </row>
    <row r="3610">
      <c r="F3610" s="17"/>
    </row>
    <row r="3611">
      <c r="F3611" s="17"/>
    </row>
    <row r="3612">
      <c r="F3612" s="17"/>
    </row>
    <row r="3613">
      <c r="F3613" s="17"/>
    </row>
    <row r="3614">
      <c r="F3614" s="17"/>
    </row>
    <row r="3615">
      <c r="F3615" s="17"/>
    </row>
    <row r="3616">
      <c r="F3616" s="17"/>
    </row>
    <row r="3617">
      <c r="F3617" s="17"/>
    </row>
    <row r="3618">
      <c r="F3618" s="17"/>
    </row>
    <row r="3619">
      <c r="F3619" s="17"/>
    </row>
    <row r="3620">
      <c r="F3620" s="17"/>
    </row>
    <row r="3621">
      <c r="F3621" s="17"/>
    </row>
    <row r="3622">
      <c r="F3622" s="17"/>
    </row>
    <row r="3623">
      <c r="F3623" s="17"/>
    </row>
    <row r="3624">
      <c r="F3624" s="17"/>
    </row>
    <row r="3625">
      <c r="F3625" s="17"/>
    </row>
    <row r="3626">
      <c r="F3626" s="17"/>
    </row>
    <row r="3627">
      <c r="F3627" s="17"/>
    </row>
    <row r="3628">
      <c r="F3628" s="17"/>
    </row>
    <row r="3629">
      <c r="F3629" s="17"/>
    </row>
    <row r="3630">
      <c r="F3630" s="17"/>
    </row>
    <row r="3631">
      <c r="F3631" s="17"/>
    </row>
    <row r="3632">
      <c r="F3632" s="17"/>
    </row>
    <row r="3633">
      <c r="F3633" s="17"/>
    </row>
    <row r="3634">
      <c r="F3634" s="17"/>
    </row>
    <row r="3635">
      <c r="F3635" s="17"/>
    </row>
    <row r="3636">
      <c r="F3636" s="17"/>
    </row>
    <row r="3637">
      <c r="F3637" s="17"/>
    </row>
    <row r="3638">
      <c r="F3638" s="17"/>
    </row>
    <row r="3639">
      <c r="F3639" s="17"/>
    </row>
    <row r="3640">
      <c r="F3640" s="17"/>
    </row>
    <row r="3641">
      <c r="F3641" s="17"/>
    </row>
    <row r="3642">
      <c r="F3642" s="17"/>
    </row>
    <row r="3643">
      <c r="F3643" s="17"/>
    </row>
    <row r="3644">
      <c r="F3644" s="17"/>
    </row>
    <row r="3645">
      <c r="F3645" s="17"/>
    </row>
    <row r="3646">
      <c r="F3646" s="17"/>
    </row>
    <row r="3647">
      <c r="F3647" s="17"/>
    </row>
    <row r="3648">
      <c r="F3648" s="17"/>
    </row>
    <row r="3649">
      <c r="F3649" s="17"/>
    </row>
    <row r="3650">
      <c r="F3650" s="17"/>
    </row>
    <row r="3651">
      <c r="F3651" s="17"/>
    </row>
    <row r="3652">
      <c r="F3652" s="17"/>
    </row>
    <row r="3653">
      <c r="F3653" s="17"/>
    </row>
    <row r="3654">
      <c r="F3654" s="17"/>
    </row>
    <row r="3655">
      <c r="F3655" s="17"/>
    </row>
    <row r="3656">
      <c r="F3656" s="17"/>
    </row>
    <row r="3657">
      <c r="F3657" s="17"/>
    </row>
    <row r="3658">
      <c r="F3658" s="17"/>
    </row>
    <row r="3659">
      <c r="F3659" s="17"/>
    </row>
    <row r="3660">
      <c r="F3660" s="17"/>
    </row>
    <row r="3661">
      <c r="F3661" s="17"/>
    </row>
    <row r="3662">
      <c r="F3662" s="17"/>
    </row>
    <row r="3663">
      <c r="F3663" s="17"/>
    </row>
    <row r="3664">
      <c r="F3664" s="17"/>
    </row>
    <row r="3665">
      <c r="F3665" s="17"/>
    </row>
    <row r="3666">
      <c r="F3666" s="17"/>
    </row>
    <row r="3667">
      <c r="F3667" s="17"/>
    </row>
    <row r="3668">
      <c r="F3668" s="17"/>
    </row>
    <row r="3669">
      <c r="F3669" s="17"/>
    </row>
    <row r="3670">
      <c r="F3670" s="17"/>
    </row>
    <row r="3671">
      <c r="F3671" s="17"/>
    </row>
    <row r="3672">
      <c r="F3672" s="17"/>
    </row>
    <row r="3673">
      <c r="F3673" s="17"/>
    </row>
    <row r="3674">
      <c r="F3674" s="17"/>
    </row>
    <row r="3675">
      <c r="F3675" s="17"/>
    </row>
    <row r="3676">
      <c r="F3676" s="17"/>
    </row>
    <row r="3677">
      <c r="F3677" s="17"/>
    </row>
    <row r="3678">
      <c r="F3678" s="17"/>
    </row>
    <row r="3679">
      <c r="F3679" s="17"/>
    </row>
    <row r="3680">
      <c r="F3680" s="17"/>
    </row>
    <row r="3681">
      <c r="F3681" s="17"/>
    </row>
    <row r="3682">
      <c r="F3682" s="17"/>
    </row>
    <row r="3683">
      <c r="F3683" s="17"/>
    </row>
    <row r="3684">
      <c r="F3684" s="17"/>
    </row>
    <row r="3685">
      <c r="F3685" s="17"/>
    </row>
    <row r="3686">
      <c r="F3686" s="17"/>
    </row>
    <row r="3687">
      <c r="F3687" s="17"/>
    </row>
    <row r="3688">
      <c r="F3688" s="17"/>
    </row>
    <row r="3689">
      <c r="F3689" s="17"/>
    </row>
    <row r="3690">
      <c r="F3690" s="17"/>
    </row>
    <row r="3691">
      <c r="F3691" s="17"/>
    </row>
    <row r="3692">
      <c r="F3692" s="17"/>
    </row>
    <row r="3693">
      <c r="F3693" s="17"/>
    </row>
    <row r="3694">
      <c r="F3694" s="17"/>
    </row>
    <row r="3695">
      <c r="F3695" s="17"/>
    </row>
    <row r="3696">
      <c r="F3696" s="17"/>
    </row>
    <row r="3697">
      <c r="F3697" s="17"/>
    </row>
    <row r="3698">
      <c r="F3698" s="17"/>
    </row>
    <row r="3699">
      <c r="F3699" s="17"/>
    </row>
    <row r="3700">
      <c r="F3700" s="17"/>
    </row>
    <row r="3701">
      <c r="F3701" s="17"/>
    </row>
    <row r="3702">
      <c r="F3702" s="17"/>
    </row>
    <row r="3703">
      <c r="F3703" s="17"/>
    </row>
    <row r="3704">
      <c r="F3704" s="17"/>
    </row>
    <row r="3705">
      <c r="F3705" s="17"/>
    </row>
    <row r="3706">
      <c r="F3706" s="17"/>
    </row>
    <row r="3707">
      <c r="F3707" s="17"/>
    </row>
    <row r="3708">
      <c r="F3708" s="17"/>
    </row>
    <row r="3709">
      <c r="F3709" s="17"/>
    </row>
    <row r="3710">
      <c r="F3710" s="17"/>
    </row>
    <row r="3711">
      <c r="F3711" s="17"/>
    </row>
    <row r="3712">
      <c r="F3712" s="17"/>
    </row>
    <row r="3713">
      <c r="F3713" s="17"/>
    </row>
    <row r="3714">
      <c r="F3714" s="17"/>
    </row>
    <row r="3715">
      <c r="F3715" s="17"/>
    </row>
    <row r="3716">
      <c r="F3716" s="17"/>
    </row>
    <row r="3717">
      <c r="F3717" s="17"/>
    </row>
    <row r="3718">
      <c r="F3718" s="17"/>
    </row>
    <row r="3719">
      <c r="F3719" s="17"/>
    </row>
    <row r="3720">
      <c r="F3720" s="17"/>
    </row>
    <row r="3721">
      <c r="F3721" s="17"/>
    </row>
    <row r="3722">
      <c r="F3722" s="17"/>
    </row>
    <row r="3723">
      <c r="F3723" s="17"/>
    </row>
    <row r="3724">
      <c r="F3724" s="17"/>
    </row>
    <row r="3725">
      <c r="F3725" s="17"/>
    </row>
    <row r="3726">
      <c r="F3726" s="17"/>
    </row>
    <row r="3727">
      <c r="F3727" s="17"/>
    </row>
    <row r="3728">
      <c r="F3728" s="17"/>
    </row>
    <row r="3729">
      <c r="F3729" s="17"/>
    </row>
    <row r="3730">
      <c r="F3730" s="17"/>
    </row>
    <row r="3731">
      <c r="F3731" s="17"/>
    </row>
    <row r="3732">
      <c r="F3732" s="17"/>
    </row>
    <row r="3733">
      <c r="F3733" s="17"/>
    </row>
    <row r="3734">
      <c r="F3734" s="17"/>
    </row>
    <row r="3735">
      <c r="F3735" s="17"/>
    </row>
    <row r="3736">
      <c r="F3736" s="17"/>
    </row>
    <row r="3737">
      <c r="F3737" s="17"/>
    </row>
    <row r="3738">
      <c r="F3738" s="17"/>
    </row>
    <row r="3739">
      <c r="F3739" s="17"/>
    </row>
    <row r="3740">
      <c r="F3740" s="17"/>
    </row>
    <row r="3741">
      <c r="F3741" s="17"/>
    </row>
    <row r="3742">
      <c r="F3742" s="17"/>
    </row>
    <row r="3743">
      <c r="F3743" s="17"/>
    </row>
    <row r="3744">
      <c r="F3744" s="17"/>
    </row>
    <row r="3745">
      <c r="F3745" s="17"/>
    </row>
    <row r="3746">
      <c r="F3746" s="17"/>
    </row>
    <row r="3747">
      <c r="F3747" s="17"/>
    </row>
    <row r="3748">
      <c r="F3748" s="17"/>
    </row>
    <row r="3749">
      <c r="F3749" s="17"/>
    </row>
    <row r="3750">
      <c r="F3750" s="17"/>
    </row>
    <row r="3751">
      <c r="F3751" s="17"/>
    </row>
    <row r="3752">
      <c r="F3752" s="17"/>
    </row>
    <row r="3753">
      <c r="F3753" s="17"/>
    </row>
    <row r="3754">
      <c r="F3754" s="17"/>
    </row>
    <row r="3755">
      <c r="F3755" s="17"/>
    </row>
    <row r="3756">
      <c r="F3756" s="17"/>
    </row>
    <row r="3757">
      <c r="F3757" s="17"/>
    </row>
    <row r="3758">
      <c r="F3758" s="17"/>
    </row>
    <row r="3759">
      <c r="F3759" s="17"/>
    </row>
    <row r="3760">
      <c r="F3760" s="17"/>
    </row>
    <row r="3761">
      <c r="F3761" s="17"/>
    </row>
    <row r="3762">
      <c r="F3762" s="17"/>
    </row>
    <row r="3763">
      <c r="F3763" s="17"/>
    </row>
    <row r="3764">
      <c r="F3764" s="17"/>
    </row>
    <row r="3765">
      <c r="F3765" s="17"/>
    </row>
    <row r="3766">
      <c r="F3766" s="17"/>
    </row>
    <row r="3767">
      <c r="F3767" s="17"/>
    </row>
    <row r="3768">
      <c r="F3768" s="17"/>
    </row>
    <row r="3769">
      <c r="F3769" s="17"/>
    </row>
    <row r="3770">
      <c r="F3770" s="17"/>
    </row>
    <row r="3771">
      <c r="F3771" s="17"/>
    </row>
    <row r="3772">
      <c r="F3772" s="17"/>
    </row>
    <row r="3773">
      <c r="F3773" s="17"/>
    </row>
    <row r="3774">
      <c r="F3774" s="17"/>
    </row>
    <row r="3775">
      <c r="F3775" s="17"/>
    </row>
    <row r="3776">
      <c r="F3776" s="17"/>
    </row>
    <row r="3777">
      <c r="F3777" s="17"/>
    </row>
    <row r="3778">
      <c r="F3778" s="17"/>
    </row>
    <row r="3779">
      <c r="F3779" s="17"/>
    </row>
    <row r="3780">
      <c r="F3780" s="17"/>
    </row>
    <row r="3781">
      <c r="F3781" s="17"/>
    </row>
    <row r="3782">
      <c r="F3782" s="17"/>
    </row>
    <row r="3783">
      <c r="F3783" s="17"/>
    </row>
    <row r="3784">
      <c r="F3784" s="17"/>
    </row>
    <row r="3785">
      <c r="F3785" s="17"/>
    </row>
    <row r="3786">
      <c r="F3786" s="17"/>
    </row>
    <row r="3787">
      <c r="F3787" s="17"/>
    </row>
    <row r="3788">
      <c r="F3788" s="17"/>
    </row>
    <row r="3789">
      <c r="F3789" s="17"/>
    </row>
    <row r="3790">
      <c r="F3790" s="17"/>
    </row>
    <row r="3791">
      <c r="F3791" s="17"/>
    </row>
    <row r="3792">
      <c r="F3792" s="17"/>
    </row>
    <row r="3793">
      <c r="F3793" s="17"/>
    </row>
    <row r="3794">
      <c r="F3794" s="17"/>
    </row>
    <row r="3795">
      <c r="F3795" s="17"/>
    </row>
    <row r="3796">
      <c r="F3796" s="17"/>
    </row>
    <row r="3797">
      <c r="F3797" s="17"/>
    </row>
    <row r="3798">
      <c r="F3798" s="17"/>
    </row>
    <row r="3799">
      <c r="F3799" s="17"/>
    </row>
    <row r="3800">
      <c r="F3800" s="17"/>
    </row>
    <row r="3801">
      <c r="F3801" s="17"/>
    </row>
    <row r="3802">
      <c r="F3802" s="17"/>
    </row>
    <row r="3803">
      <c r="F3803" s="17"/>
    </row>
    <row r="3804">
      <c r="F3804" s="17"/>
    </row>
    <row r="3805">
      <c r="F3805" s="17"/>
    </row>
    <row r="3806">
      <c r="F3806" s="17"/>
    </row>
    <row r="3807">
      <c r="F3807" s="17"/>
    </row>
    <row r="3808">
      <c r="F3808" s="17"/>
    </row>
    <row r="3809">
      <c r="F3809" s="17"/>
    </row>
    <row r="3810">
      <c r="F3810" s="17"/>
    </row>
    <row r="3811">
      <c r="F3811" s="17"/>
    </row>
    <row r="3812">
      <c r="F3812" s="17"/>
    </row>
    <row r="3813">
      <c r="F3813" s="17"/>
    </row>
    <row r="3814">
      <c r="F3814" s="17"/>
    </row>
    <row r="3815">
      <c r="F3815" s="17"/>
    </row>
    <row r="3816">
      <c r="F3816" s="17"/>
    </row>
    <row r="3817">
      <c r="F3817" s="17"/>
    </row>
    <row r="3818">
      <c r="F3818" s="17"/>
    </row>
    <row r="3819">
      <c r="F3819" s="17"/>
    </row>
    <row r="3820">
      <c r="F3820" s="17"/>
    </row>
    <row r="3821">
      <c r="F3821" s="17"/>
    </row>
    <row r="3822">
      <c r="F3822" s="17"/>
    </row>
    <row r="3823">
      <c r="F3823" s="17"/>
    </row>
    <row r="3824">
      <c r="F3824" s="17"/>
    </row>
    <row r="3825">
      <c r="F3825" s="17"/>
    </row>
    <row r="3826">
      <c r="F3826" s="17"/>
    </row>
    <row r="3827">
      <c r="F3827" s="17"/>
    </row>
    <row r="3828">
      <c r="F3828" s="17"/>
    </row>
    <row r="3829">
      <c r="F3829" s="17"/>
    </row>
    <row r="3830">
      <c r="F3830" s="17"/>
    </row>
    <row r="3831">
      <c r="F3831" s="17"/>
    </row>
    <row r="3832">
      <c r="F3832" s="17"/>
    </row>
    <row r="3833">
      <c r="F3833" s="17"/>
    </row>
    <row r="3834">
      <c r="F3834" s="17"/>
    </row>
    <row r="3835">
      <c r="F3835" s="17"/>
    </row>
    <row r="3836">
      <c r="F3836" s="17"/>
    </row>
    <row r="3837">
      <c r="F3837" s="17"/>
    </row>
    <row r="3838">
      <c r="F3838" s="17"/>
    </row>
    <row r="3839">
      <c r="F3839" s="17"/>
    </row>
    <row r="3840">
      <c r="F3840" s="17"/>
    </row>
    <row r="3841">
      <c r="F3841" s="17"/>
    </row>
    <row r="3842">
      <c r="F3842" s="17"/>
    </row>
    <row r="3843">
      <c r="F3843" s="17"/>
    </row>
    <row r="3844">
      <c r="F3844" s="17"/>
    </row>
    <row r="3845">
      <c r="F3845" s="17"/>
    </row>
    <row r="3846">
      <c r="F3846" s="17"/>
    </row>
    <row r="3847">
      <c r="F3847" s="17"/>
    </row>
    <row r="3848">
      <c r="F3848" s="17"/>
    </row>
    <row r="3849">
      <c r="F3849" s="17"/>
    </row>
    <row r="3850">
      <c r="F3850" s="17"/>
    </row>
    <row r="3851">
      <c r="F3851" s="17"/>
    </row>
    <row r="3852">
      <c r="F3852" s="17"/>
    </row>
    <row r="3853">
      <c r="F3853" s="17"/>
    </row>
    <row r="3854">
      <c r="F3854" s="17"/>
    </row>
    <row r="3855">
      <c r="F3855" s="17"/>
    </row>
    <row r="3856">
      <c r="F3856" s="17"/>
    </row>
    <row r="3857">
      <c r="F3857" s="17"/>
    </row>
    <row r="3858">
      <c r="F3858" s="17"/>
    </row>
    <row r="3859">
      <c r="F3859" s="17"/>
    </row>
    <row r="3860">
      <c r="F3860" s="17"/>
    </row>
    <row r="3861">
      <c r="F3861" s="17"/>
    </row>
    <row r="3862">
      <c r="F3862" s="17"/>
    </row>
    <row r="3863">
      <c r="F3863" s="17"/>
    </row>
    <row r="3864">
      <c r="F3864" s="17"/>
    </row>
    <row r="3865">
      <c r="F3865" s="17"/>
    </row>
    <row r="3866">
      <c r="F3866" s="17"/>
    </row>
    <row r="3867">
      <c r="F3867" s="17"/>
    </row>
    <row r="3868">
      <c r="F3868" s="17"/>
    </row>
    <row r="3869">
      <c r="F3869" s="17"/>
    </row>
    <row r="3870">
      <c r="F3870" s="17"/>
    </row>
    <row r="3871">
      <c r="F3871" s="17"/>
    </row>
    <row r="3872">
      <c r="F3872" s="17"/>
    </row>
    <row r="3873">
      <c r="F3873" s="17"/>
    </row>
    <row r="3874">
      <c r="F3874" s="17"/>
    </row>
    <row r="3875">
      <c r="F3875" s="17"/>
    </row>
    <row r="3876">
      <c r="F3876" s="17"/>
    </row>
    <row r="3877">
      <c r="F3877" s="17"/>
    </row>
    <row r="3878">
      <c r="F3878" s="17"/>
    </row>
    <row r="3879">
      <c r="F3879" s="17"/>
    </row>
    <row r="3880">
      <c r="F3880" s="17"/>
    </row>
    <row r="3881">
      <c r="F3881" s="17"/>
    </row>
    <row r="3882">
      <c r="F3882" s="17"/>
    </row>
    <row r="3883">
      <c r="F3883" s="17"/>
    </row>
    <row r="3884">
      <c r="F3884" s="17"/>
    </row>
    <row r="3885">
      <c r="F3885" s="17"/>
    </row>
    <row r="3886">
      <c r="F3886" s="17"/>
    </row>
    <row r="3887">
      <c r="F3887" s="17"/>
    </row>
    <row r="3888">
      <c r="F3888" s="17"/>
    </row>
    <row r="3889">
      <c r="F3889" s="17"/>
    </row>
    <row r="3890">
      <c r="F3890" s="17"/>
    </row>
    <row r="3891">
      <c r="F3891" s="17"/>
    </row>
    <row r="3892">
      <c r="F3892" s="17"/>
    </row>
    <row r="3893">
      <c r="F3893" s="17"/>
    </row>
    <row r="3894">
      <c r="F3894" s="17"/>
    </row>
    <row r="3895">
      <c r="F3895" s="17"/>
    </row>
    <row r="3896">
      <c r="F3896" s="17"/>
    </row>
    <row r="3897">
      <c r="F3897" s="17"/>
    </row>
    <row r="3898">
      <c r="F3898" s="17"/>
    </row>
    <row r="3899">
      <c r="F3899" s="17"/>
    </row>
    <row r="3900">
      <c r="F3900" s="17"/>
    </row>
    <row r="3901">
      <c r="F3901" s="17"/>
    </row>
    <row r="3902">
      <c r="F3902" s="17"/>
    </row>
    <row r="3903">
      <c r="F3903" s="17"/>
    </row>
    <row r="3904">
      <c r="F3904" s="17"/>
    </row>
    <row r="3905">
      <c r="F3905" s="17"/>
    </row>
    <row r="3906">
      <c r="F3906" s="17"/>
    </row>
    <row r="3907">
      <c r="F3907" s="17"/>
    </row>
    <row r="3908">
      <c r="F3908" s="17"/>
    </row>
    <row r="3909">
      <c r="F3909" s="17"/>
    </row>
    <row r="3910">
      <c r="F3910" s="17"/>
    </row>
    <row r="3911">
      <c r="F3911" s="17"/>
    </row>
    <row r="3912">
      <c r="F3912" s="17"/>
    </row>
    <row r="3913">
      <c r="F3913" s="17"/>
    </row>
    <row r="3914">
      <c r="F3914" s="17"/>
    </row>
    <row r="3915">
      <c r="F3915" s="17"/>
    </row>
    <row r="3916">
      <c r="F3916" s="17"/>
    </row>
    <row r="3917">
      <c r="F3917" s="17"/>
    </row>
    <row r="3918">
      <c r="F3918" s="17"/>
    </row>
    <row r="3919">
      <c r="F3919" s="17"/>
    </row>
    <row r="3920">
      <c r="F3920" s="17"/>
    </row>
    <row r="3921">
      <c r="F3921" s="17"/>
    </row>
    <row r="3922">
      <c r="F3922" s="17"/>
    </row>
    <row r="3923">
      <c r="F3923" s="17"/>
    </row>
    <row r="3924">
      <c r="F3924" s="17"/>
    </row>
    <row r="3925">
      <c r="F3925" s="17"/>
    </row>
    <row r="3926">
      <c r="F3926" s="17"/>
    </row>
    <row r="3927">
      <c r="F3927" s="17"/>
    </row>
    <row r="3928">
      <c r="F3928" s="17"/>
    </row>
    <row r="3929">
      <c r="F3929" s="17"/>
    </row>
    <row r="3930">
      <c r="F3930" s="17"/>
    </row>
    <row r="3931">
      <c r="F3931" s="17"/>
    </row>
    <row r="3932">
      <c r="F3932" s="17"/>
    </row>
    <row r="3933">
      <c r="F3933" s="17"/>
    </row>
    <row r="3934">
      <c r="F3934" s="17"/>
    </row>
    <row r="3935">
      <c r="F3935" s="17"/>
    </row>
    <row r="3936">
      <c r="F3936" s="17"/>
    </row>
    <row r="3937">
      <c r="F3937" s="17"/>
    </row>
    <row r="3938">
      <c r="F3938" s="17"/>
    </row>
    <row r="3939">
      <c r="F3939" s="17"/>
    </row>
    <row r="3940">
      <c r="F3940" s="17"/>
    </row>
    <row r="3941">
      <c r="F3941" s="17"/>
    </row>
    <row r="3942">
      <c r="F3942" s="17"/>
    </row>
    <row r="3943">
      <c r="F3943" s="17"/>
    </row>
    <row r="3944">
      <c r="F3944" s="17"/>
    </row>
    <row r="3945">
      <c r="F3945" s="17"/>
    </row>
    <row r="3946">
      <c r="F3946" s="17"/>
    </row>
    <row r="3947">
      <c r="F3947" s="17"/>
    </row>
    <row r="3948">
      <c r="F3948" s="17"/>
    </row>
    <row r="3949">
      <c r="F3949" s="17"/>
    </row>
    <row r="3950">
      <c r="F3950" s="17"/>
    </row>
    <row r="3951">
      <c r="F3951" s="17"/>
    </row>
    <row r="3952">
      <c r="F3952" s="17"/>
    </row>
    <row r="3953">
      <c r="F3953" s="17"/>
    </row>
    <row r="3954">
      <c r="F3954" s="17"/>
    </row>
    <row r="3955">
      <c r="F3955" s="17"/>
    </row>
    <row r="3956">
      <c r="F3956" s="17"/>
    </row>
    <row r="3957">
      <c r="F3957" s="17"/>
    </row>
    <row r="3958">
      <c r="F3958" s="17"/>
    </row>
    <row r="3959">
      <c r="F3959" s="17"/>
    </row>
    <row r="3960">
      <c r="F3960" s="17"/>
    </row>
    <row r="3961">
      <c r="F3961" s="17"/>
    </row>
    <row r="3962">
      <c r="F3962" s="17"/>
    </row>
    <row r="3963">
      <c r="F3963" s="17"/>
    </row>
    <row r="3964">
      <c r="F3964" s="17"/>
    </row>
    <row r="3965">
      <c r="F3965" s="17"/>
    </row>
    <row r="3966">
      <c r="F3966" s="17"/>
    </row>
    <row r="3967">
      <c r="F3967" s="17"/>
    </row>
    <row r="3968">
      <c r="F3968" s="17"/>
    </row>
    <row r="3969">
      <c r="F3969" s="17"/>
    </row>
    <row r="3970">
      <c r="F3970" s="17"/>
    </row>
    <row r="3971">
      <c r="F3971" s="17"/>
    </row>
    <row r="3972">
      <c r="F3972" s="17"/>
    </row>
    <row r="3973">
      <c r="F3973" s="17"/>
    </row>
    <row r="3974">
      <c r="F3974" s="17"/>
    </row>
    <row r="3975">
      <c r="F3975" s="17"/>
    </row>
    <row r="3976">
      <c r="F3976" s="17"/>
    </row>
    <row r="3977">
      <c r="F3977" s="17"/>
    </row>
    <row r="3978">
      <c r="F3978" s="17"/>
    </row>
    <row r="3979">
      <c r="F3979" s="17"/>
    </row>
    <row r="3980">
      <c r="F3980" s="17"/>
    </row>
    <row r="3981">
      <c r="F3981" s="17"/>
    </row>
    <row r="3982">
      <c r="F3982" s="17"/>
    </row>
    <row r="3983">
      <c r="F3983" s="17"/>
    </row>
    <row r="3984">
      <c r="F3984" s="17"/>
    </row>
    <row r="3985">
      <c r="F3985" s="17"/>
    </row>
    <row r="3986">
      <c r="F3986" s="17"/>
    </row>
    <row r="3987">
      <c r="F3987" s="17"/>
    </row>
    <row r="3988">
      <c r="F3988" s="17"/>
    </row>
    <row r="3989">
      <c r="F3989" s="17"/>
    </row>
    <row r="3990">
      <c r="F3990" s="17"/>
    </row>
    <row r="3991">
      <c r="F3991" s="17"/>
    </row>
    <row r="3992">
      <c r="F3992" s="17"/>
    </row>
    <row r="3993">
      <c r="F3993" s="17"/>
    </row>
    <row r="3994">
      <c r="F3994" s="17"/>
    </row>
    <row r="3995">
      <c r="F3995" s="17"/>
    </row>
    <row r="3996">
      <c r="F3996" s="17"/>
    </row>
    <row r="3997">
      <c r="F3997" s="17"/>
    </row>
    <row r="3998">
      <c r="F3998" s="17"/>
    </row>
    <row r="3999">
      <c r="F3999" s="17"/>
    </row>
    <row r="4000">
      <c r="F4000" s="17"/>
    </row>
    <row r="4001">
      <c r="F4001" s="17"/>
    </row>
    <row r="4002">
      <c r="F4002" s="17"/>
    </row>
    <row r="4003">
      <c r="F4003" s="17"/>
    </row>
    <row r="4004">
      <c r="F4004" s="17"/>
    </row>
    <row r="4005">
      <c r="F4005" s="17"/>
    </row>
    <row r="4006">
      <c r="F4006" s="17"/>
    </row>
    <row r="4007">
      <c r="F4007" s="17"/>
    </row>
    <row r="4008">
      <c r="F4008" s="17"/>
    </row>
    <row r="4009">
      <c r="F4009" s="17"/>
    </row>
    <row r="4010">
      <c r="F4010" s="17"/>
    </row>
    <row r="4011">
      <c r="F4011" s="17"/>
    </row>
    <row r="4012">
      <c r="F4012" s="17"/>
    </row>
    <row r="4013">
      <c r="F4013" s="17"/>
    </row>
    <row r="4014">
      <c r="F4014" s="17"/>
    </row>
    <row r="4015">
      <c r="F4015" s="17"/>
    </row>
    <row r="4016">
      <c r="F4016" s="17"/>
    </row>
    <row r="4017">
      <c r="F4017" s="17"/>
    </row>
    <row r="4018">
      <c r="F4018" s="17"/>
    </row>
    <row r="4019">
      <c r="F4019" s="17"/>
    </row>
    <row r="4020">
      <c r="F4020" s="17"/>
    </row>
    <row r="4021">
      <c r="F4021" s="17"/>
    </row>
    <row r="4022">
      <c r="F4022" s="17"/>
    </row>
    <row r="4023">
      <c r="F4023" s="17"/>
    </row>
    <row r="4024">
      <c r="F4024" s="17"/>
    </row>
    <row r="4025">
      <c r="F4025" s="17"/>
    </row>
    <row r="4026">
      <c r="F4026" s="17"/>
    </row>
    <row r="4027">
      <c r="F4027" s="17"/>
    </row>
    <row r="4028">
      <c r="F4028" s="17"/>
    </row>
    <row r="4029">
      <c r="F4029" s="17"/>
    </row>
    <row r="4030">
      <c r="F4030" s="17"/>
    </row>
    <row r="4031">
      <c r="F4031" s="17"/>
    </row>
    <row r="4032">
      <c r="F4032" s="17"/>
    </row>
    <row r="4033">
      <c r="F4033" s="17"/>
    </row>
    <row r="4034">
      <c r="F4034" s="17"/>
    </row>
    <row r="4035">
      <c r="F4035" s="17"/>
    </row>
    <row r="4036">
      <c r="F4036" s="17"/>
    </row>
    <row r="4037">
      <c r="F4037" s="17"/>
    </row>
    <row r="4038">
      <c r="F4038" s="17"/>
    </row>
    <row r="4039">
      <c r="F4039" s="17"/>
    </row>
    <row r="4040">
      <c r="F4040" s="17"/>
    </row>
    <row r="4041">
      <c r="F4041" s="17"/>
    </row>
    <row r="4042">
      <c r="F4042" s="17"/>
    </row>
    <row r="4043">
      <c r="F4043" s="17"/>
    </row>
    <row r="4044">
      <c r="F4044" s="17"/>
    </row>
    <row r="4045">
      <c r="F4045" s="17"/>
    </row>
    <row r="4046">
      <c r="F4046" s="17"/>
    </row>
    <row r="4047">
      <c r="F4047" s="17"/>
    </row>
    <row r="4048">
      <c r="F4048" s="17"/>
    </row>
    <row r="4049">
      <c r="F4049" s="17"/>
    </row>
    <row r="4050">
      <c r="F4050" s="17"/>
    </row>
    <row r="4051">
      <c r="F4051" s="17"/>
    </row>
    <row r="4052">
      <c r="F4052" s="17"/>
    </row>
    <row r="4053">
      <c r="F4053" s="17"/>
    </row>
    <row r="4054">
      <c r="F4054" s="17"/>
    </row>
    <row r="4055">
      <c r="F4055" s="17"/>
    </row>
    <row r="4056">
      <c r="F4056" s="17"/>
    </row>
    <row r="4057">
      <c r="F4057" s="17"/>
    </row>
    <row r="4058">
      <c r="F4058" s="17"/>
    </row>
    <row r="4059">
      <c r="F4059" s="17"/>
    </row>
    <row r="4060">
      <c r="F4060" s="17"/>
    </row>
    <row r="4061">
      <c r="F4061" s="17"/>
    </row>
    <row r="4062">
      <c r="F4062" s="17"/>
    </row>
    <row r="4063">
      <c r="F4063" s="17"/>
    </row>
    <row r="4064">
      <c r="F4064" s="17"/>
    </row>
    <row r="4065">
      <c r="F4065" s="17"/>
    </row>
    <row r="4066">
      <c r="F4066" s="17"/>
    </row>
    <row r="4067">
      <c r="F4067" s="17"/>
    </row>
    <row r="4068">
      <c r="F4068" s="17"/>
    </row>
    <row r="4069">
      <c r="F4069" s="17"/>
    </row>
    <row r="4070">
      <c r="F4070" s="17"/>
    </row>
    <row r="4071">
      <c r="F4071" s="17"/>
    </row>
    <row r="4072">
      <c r="F4072" s="17"/>
    </row>
    <row r="4073">
      <c r="F4073" s="17"/>
    </row>
    <row r="4074">
      <c r="F4074" s="17"/>
    </row>
    <row r="4075">
      <c r="F4075" s="17"/>
    </row>
    <row r="4076">
      <c r="F4076" s="17"/>
    </row>
    <row r="4077">
      <c r="F4077" s="17"/>
    </row>
    <row r="4078">
      <c r="F4078" s="17"/>
    </row>
    <row r="4079">
      <c r="F4079" s="17"/>
    </row>
    <row r="4080">
      <c r="F4080" s="17"/>
    </row>
    <row r="4081">
      <c r="F4081" s="17"/>
    </row>
    <row r="4082">
      <c r="F4082" s="17"/>
    </row>
    <row r="4083">
      <c r="F4083" s="17"/>
    </row>
    <row r="4084">
      <c r="F4084" s="17"/>
    </row>
    <row r="4085">
      <c r="F4085" s="17"/>
    </row>
    <row r="4086">
      <c r="F4086" s="17"/>
    </row>
    <row r="4087">
      <c r="F4087" s="17"/>
    </row>
    <row r="4088">
      <c r="F4088" s="17"/>
    </row>
    <row r="4089">
      <c r="F4089" s="17"/>
    </row>
    <row r="4090">
      <c r="F4090" s="17"/>
    </row>
    <row r="4091">
      <c r="F4091" s="17"/>
    </row>
    <row r="4092">
      <c r="F4092" s="17"/>
    </row>
    <row r="4093">
      <c r="F4093" s="17"/>
    </row>
    <row r="4094">
      <c r="F4094" s="17"/>
    </row>
    <row r="4095">
      <c r="F4095" s="17"/>
    </row>
    <row r="4096">
      <c r="F4096" s="17"/>
    </row>
    <row r="4097">
      <c r="F4097" s="17"/>
    </row>
    <row r="4098">
      <c r="F4098" s="17"/>
    </row>
    <row r="4099">
      <c r="F4099" s="17"/>
    </row>
    <row r="4100">
      <c r="F4100" s="17"/>
    </row>
    <row r="4101">
      <c r="F4101" s="17"/>
    </row>
    <row r="4102">
      <c r="F4102" s="17"/>
    </row>
    <row r="4103">
      <c r="F4103" s="17"/>
    </row>
    <row r="4104">
      <c r="F4104" s="17"/>
    </row>
    <row r="4105">
      <c r="F4105" s="17"/>
    </row>
    <row r="4106">
      <c r="F4106" s="17"/>
    </row>
    <row r="4107">
      <c r="F4107" s="17"/>
    </row>
    <row r="4108">
      <c r="F4108" s="17"/>
    </row>
    <row r="4109">
      <c r="F4109" s="17"/>
    </row>
    <row r="4110">
      <c r="F4110" s="17"/>
    </row>
    <row r="4111">
      <c r="F4111" s="17"/>
    </row>
    <row r="4112">
      <c r="F4112" s="17"/>
    </row>
    <row r="4113">
      <c r="F4113" s="17"/>
    </row>
    <row r="4114">
      <c r="F4114" s="17"/>
    </row>
    <row r="4115">
      <c r="F4115" s="17"/>
    </row>
    <row r="4116">
      <c r="F4116" s="17"/>
    </row>
    <row r="4117">
      <c r="F4117" s="17"/>
    </row>
    <row r="4118">
      <c r="F4118" s="17"/>
    </row>
    <row r="4119">
      <c r="F4119" s="17"/>
    </row>
    <row r="4120">
      <c r="F4120" s="17"/>
    </row>
    <row r="4121">
      <c r="F4121" s="17"/>
    </row>
    <row r="4122">
      <c r="F4122" s="17"/>
    </row>
    <row r="4123">
      <c r="F4123" s="17"/>
    </row>
    <row r="4124">
      <c r="F4124" s="17"/>
    </row>
    <row r="4125">
      <c r="F4125" s="17"/>
    </row>
    <row r="4126">
      <c r="F4126" s="17"/>
    </row>
    <row r="4127">
      <c r="F4127" s="17"/>
    </row>
    <row r="4128">
      <c r="F4128" s="17"/>
    </row>
    <row r="4129">
      <c r="F4129" s="17"/>
    </row>
    <row r="4130">
      <c r="F4130" s="17"/>
    </row>
    <row r="4131">
      <c r="F4131" s="17"/>
    </row>
    <row r="4132">
      <c r="F4132" s="17"/>
    </row>
    <row r="4133">
      <c r="F4133" s="17"/>
    </row>
    <row r="4134">
      <c r="F4134" s="17"/>
    </row>
    <row r="4135">
      <c r="F4135" s="17"/>
    </row>
    <row r="4136">
      <c r="F4136" s="17"/>
    </row>
    <row r="4137">
      <c r="F4137" s="17"/>
    </row>
    <row r="4138">
      <c r="F4138" s="17"/>
    </row>
    <row r="4139">
      <c r="F4139" s="17"/>
    </row>
    <row r="4140">
      <c r="F4140" s="17"/>
    </row>
    <row r="4141">
      <c r="F4141" s="17"/>
    </row>
    <row r="4142">
      <c r="F4142" s="17"/>
    </row>
    <row r="4143">
      <c r="F4143" s="17"/>
    </row>
    <row r="4144">
      <c r="F4144" s="17"/>
    </row>
    <row r="4145">
      <c r="F4145" s="17"/>
    </row>
    <row r="4146">
      <c r="F4146" s="17"/>
    </row>
    <row r="4147">
      <c r="F4147" s="17"/>
    </row>
    <row r="4148">
      <c r="F4148" s="17"/>
    </row>
    <row r="4149">
      <c r="F4149" s="17"/>
    </row>
    <row r="4150">
      <c r="F4150" s="17"/>
    </row>
    <row r="4151">
      <c r="F4151" s="17"/>
    </row>
    <row r="4152">
      <c r="F4152" s="17"/>
    </row>
    <row r="4153">
      <c r="F4153" s="17"/>
    </row>
    <row r="4154">
      <c r="F4154" s="17"/>
    </row>
    <row r="4155">
      <c r="F4155" s="17"/>
    </row>
    <row r="4156">
      <c r="F4156" s="17"/>
    </row>
    <row r="4157">
      <c r="F4157" s="17"/>
    </row>
    <row r="4158">
      <c r="F4158" s="17"/>
    </row>
    <row r="4159">
      <c r="F4159" s="17"/>
    </row>
    <row r="4160">
      <c r="F4160" s="17"/>
    </row>
    <row r="4161">
      <c r="F4161" s="17"/>
    </row>
    <row r="4162">
      <c r="F4162" s="17"/>
    </row>
    <row r="4163">
      <c r="F4163" s="17"/>
    </row>
    <row r="4164">
      <c r="F4164" s="17"/>
    </row>
    <row r="4165">
      <c r="F4165" s="17"/>
    </row>
    <row r="4166">
      <c r="F4166" s="17"/>
    </row>
    <row r="4167">
      <c r="F4167" s="17"/>
    </row>
    <row r="4168">
      <c r="F4168" s="17"/>
    </row>
    <row r="4169">
      <c r="F4169" s="17"/>
    </row>
    <row r="4170">
      <c r="F4170" s="17"/>
    </row>
    <row r="4171">
      <c r="F4171" s="17"/>
    </row>
    <row r="4172">
      <c r="F4172" s="17"/>
    </row>
    <row r="4173">
      <c r="F4173" s="17"/>
    </row>
    <row r="4174">
      <c r="F4174" s="17"/>
    </row>
    <row r="4175">
      <c r="F4175" s="17"/>
    </row>
    <row r="4176">
      <c r="F4176" s="17"/>
    </row>
    <row r="4177">
      <c r="F4177" s="17"/>
    </row>
    <row r="4178">
      <c r="F4178" s="17"/>
    </row>
    <row r="4179">
      <c r="F4179" s="17"/>
    </row>
    <row r="4180">
      <c r="F4180" s="17"/>
    </row>
    <row r="4181">
      <c r="F4181" s="17"/>
    </row>
    <row r="4182">
      <c r="F4182" s="17"/>
    </row>
    <row r="4183">
      <c r="F4183" s="17"/>
    </row>
    <row r="4184">
      <c r="F4184" s="17"/>
    </row>
    <row r="4185">
      <c r="F4185" s="17"/>
    </row>
    <row r="4186">
      <c r="F4186" s="17"/>
    </row>
    <row r="4187">
      <c r="F4187" s="17"/>
    </row>
    <row r="4188">
      <c r="F4188" s="17"/>
    </row>
    <row r="4189">
      <c r="F4189" s="17"/>
    </row>
    <row r="4190">
      <c r="F4190" s="17"/>
    </row>
    <row r="4191">
      <c r="F4191" s="17"/>
    </row>
    <row r="4192">
      <c r="F4192" s="17"/>
    </row>
    <row r="4193">
      <c r="F4193" s="17"/>
    </row>
    <row r="4194">
      <c r="F4194" s="17"/>
    </row>
    <row r="4195">
      <c r="F4195" s="17"/>
    </row>
    <row r="4196">
      <c r="F4196" s="17"/>
    </row>
    <row r="4197">
      <c r="F4197" s="17"/>
    </row>
    <row r="4198">
      <c r="F4198" s="17"/>
    </row>
    <row r="4199">
      <c r="F4199" s="17"/>
    </row>
    <row r="4200">
      <c r="F4200" s="17"/>
    </row>
    <row r="4201">
      <c r="F4201" s="17"/>
    </row>
    <row r="4202">
      <c r="F4202" s="17"/>
    </row>
    <row r="4203">
      <c r="F4203" s="17"/>
    </row>
    <row r="4204">
      <c r="F4204" s="17"/>
    </row>
    <row r="4205">
      <c r="F4205" s="17"/>
    </row>
    <row r="4206">
      <c r="F4206" s="17"/>
    </row>
    <row r="4207">
      <c r="F4207" s="17"/>
    </row>
    <row r="4208">
      <c r="F4208" s="17"/>
    </row>
    <row r="4209">
      <c r="F4209" s="17"/>
    </row>
    <row r="4210">
      <c r="F4210" s="17"/>
    </row>
    <row r="4211">
      <c r="F4211" s="17"/>
    </row>
    <row r="4212">
      <c r="F4212" s="17"/>
    </row>
    <row r="4213">
      <c r="F4213" s="17"/>
    </row>
    <row r="4214">
      <c r="F4214" s="17"/>
    </row>
    <row r="4215">
      <c r="F4215" s="17"/>
    </row>
    <row r="4216">
      <c r="F4216" s="17"/>
    </row>
    <row r="4217">
      <c r="F4217" s="17"/>
    </row>
    <row r="4218">
      <c r="F4218" s="17"/>
    </row>
    <row r="4219">
      <c r="F4219" s="17"/>
    </row>
    <row r="4220">
      <c r="F4220" s="17"/>
    </row>
    <row r="4221">
      <c r="F4221" s="17"/>
    </row>
    <row r="4222">
      <c r="F4222" s="17"/>
    </row>
    <row r="4223">
      <c r="F4223" s="17"/>
    </row>
    <row r="4224">
      <c r="F4224" s="17"/>
    </row>
    <row r="4225">
      <c r="F4225" s="17"/>
    </row>
    <row r="4226">
      <c r="F4226" s="17"/>
    </row>
    <row r="4227">
      <c r="F4227" s="17"/>
    </row>
    <row r="4228">
      <c r="F4228" s="17"/>
    </row>
    <row r="4229">
      <c r="F4229" s="17"/>
    </row>
    <row r="4230">
      <c r="F4230" s="17"/>
    </row>
    <row r="4231">
      <c r="F4231" s="17"/>
    </row>
    <row r="4232">
      <c r="F4232" s="17"/>
    </row>
    <row r="4233">
      <c r="F4233" s="17"/>
    </row>
    <row r="4234">
      <c r="F4234" s="17"/>
    </row>
    <row r="4235">
      <c r="F4235" s="17"/>
    </row>
    <row r="4236">
      <c r="F4236" s="17"/>
    </row>
    <row r="4237">
      <c r="F4237" s="17"/>
    </row>
    <row r="4238">
      <c r="F4238" s="17"/>
    </row>
    <row r="4239">
      <c r="F4239" s="17"/>
    </row>
    <row r="4240">
      <c r="F4240" s="17"/>
    </row>
    <row r="4241">
      <c r="F4241" s="17"/>
    </row>
    <row r="4242">
      <c r="F4242" s="17"/>
    </row>
    <row r="4243">
      <c r="F4243" s="17"/>
    </row>
    <row r="4244">
      <c r="F4244" s="17"/>
    </row>
    <row r="4245">
      <c r="F4245" s="17"/>
    </row>
    <row r="4246">
      <c r="F4246" s="17"/>
    </row>
    <row r="4247">
      <c r="F4247" s="17"/>
    </row>
    <row r="4248">
      <c r="F4248" s="17"/>
    </row>
    <row r="4249">
      <c r="F4249" s="17"/>
    </row>
    <row r="4250">
      <c r="F4250" s="17"/>
    </row>
    <row r="4251">
      <c r="F4251" s="17"/>
    </row>
    <row r="4252">
      <c r="F4252" s="17"/>
    </row>
    <row r="4253">
      <c r="F4253" s="17"/>
    </row>
    <row r="4254">
      <c r="F4254" s="17"/>
    </row>
    <row r="4255">
      <c r="F4255" s="17"/>
    </row>
    <row r="4256">
      <c r="F4256" s="17"/>
    </row>
    <row r="4257">
      <c r="F4257" s="17"/>
    </row>
    <row r="4258">
      <c r="F4258" s="17"/>
    </row>
    <row r="4259">
      <c r="F4259" s="17"/>
    </row>
    <row r="4260">
      <c r="F4260" s="17"/>
    </row>
    <row r="4261">
      <c r="F4261" s="17"/>
    </row>
    <row r="4262">
      <c r="F4262" s="17"/>
    </row>
    <row r="4263">
      <c r="F4263" s="17"/>
    </row>
    <row r="4264">
      <c r="F4264" s="17"/>
    </row>
    <row r="4265">
      <c r="F4265" s="17"/>
    </row>
    <row r="4266">
      <c r="F4266" s="17"/>
    </row>
    <row r="4267">
      <c r="F4267" s="17"/>
    </row>
    <row r="4268">
      <c r="F4268" s="17"/>
    </row>
    <row r="4269">
      <c r="F4269" s="17"/>
    </row>
    <row r="4270">
      <c r="F4270" s="17"/>
    </row>
    <row r="4271">
      <c r="F4271" s="17"/>
    </row>
    <row r="4272">
      <c r="F4272" s="17"/>
    </row>
    <row r="4273">
      <c r="F4273" s="17"/>
    </row>
    <row r="4274">
      <c r="F4274" s="17"/>
    </row>
    <row r="4275">
      <c r="F4275" s="17"/>
    </row>
    <row r="4276">
      <c r="F4276" s="17"/>
    </row>
    <row r="4277">
      <c r="F4277" s="17"/>
    </row>
    <row r="4278">
      <c r="F4278" s="17"/>
    </row>
    <row r="4279">
      <c r="F4279" s="17"/>
    </row>
    <row r="4280">
      <c r="F4280" s="17"/>
    </row>
    <row r="4281">
      <c r="F4281" s="17"/>
    </row>
    <row r="4282">
      <c r="F4282" s="17"/>
    </row>
    <row r="4283">
      <c r="F4283" s="17"/>
    </row>
    <row r="4284">
      <c r="F4284" s="17"/>
    </row>
    <row r="4285">
      <c r="F4285" s="17"/>
    </row>
    <row r="4286">
      <c r="F4286" s="17"/>
    </row>
    <row r="4287">
      <c r="F4287" s="17"/>
    </row>
    <row r="4288">
      <c r="F4288" s="17"/>
    </row>
    <row r="4289">
      <c r="F4289" s="17"/>
    </row>
    <row r="4290">
      <c r="F4290" s="17"/>
    </row>
    <row r="4291">
      <c r="F4291" s="17"/>
    </row>
    <row r="4292">
      <c r="F4292" s="17"/>
    </row>
    <row r="4293">
      <c r="F4293" s="17"/>
    </row>
    <row r="4294">
      <c r="F4294" s="17"/>
    </row>
    <row r="4295">
      <c r="F4295" s="17"/>
    </row>
    <row r="4296">
      <c r="F4296" s="17"/>
    </row>
    <row r="4297">
      <c r="F4297" s="17"/>
    </row>
    <row r="4298">
      <c r="F4298" s="17"/>
    </row>
    <row r="4299">
      <c r="F4299" s="17"/>
    </row>
    <row r="4300">
      <c r="F4300" s="17"/>
    </row>
    <row r="4301">
      <c r="F4301" s="17"/>
    </row>
    <row r="4302">
      <c r="F4302" s="17"/>
    </row>
    <row r="4303">
      <c r="F4303" s="17"/>
    </row>
    <row r="4304">
      <c r="F4304" s="17"/>
    </row>
    <row r="4305">
      <c r="F4305" s="17"/>
    </row>
    <row r="4306">
      <c r="F4306" s="17"/>
    </row>
    <row r="4307">
      <c r="F4307" s="17"/>
    </row>
    <row r="4308">
      <c r="F4308" s="17"/>
    </row>
    <row r="4309">
      <c r="F4309" s="17"/>
    </row>
    <row r="4310">
      <c r="F4310" s="17"/>
    </row>
    <row r="4311">
      <c r="F4311" s="17"/>
    </row>
    <row r="4312">
      <c r="F4312" s="17"/>
    </row>
    <row r="4313">
      <c r="F4313" s="17"/>
    </row>
    <row r="4314">
      <c r="F4314" s="17"/>
    </row>
    <row r="4315">
      <c r="F4315" s="17"/>
    </row>
    <row r="4316">
      <c r="F4316" s="17"/>
    </row>
    <row r="4317">
      <c r="F4317" s="17"/>
    </row>
    <row r="4318">
      <c r="F4318" s="17"/>
    </row>
    <row r="4319">
      <c r="F4319" s="17"/>
    </row>
    <row r="4320">
      <c r="F4320" s="17"/>
    </row>
    <row r="4321">
      <c r="F4321" s="17"/>
    </row>
    <row r="4322">
      <c r="F4322" s="17"/>
    </row>
    <row r="4323">
      <c r="F4323" s="17"/>
    </row>
    <row r="4324">
      <c r="F4324" s="17"/>
    </row>
    <row r="4325">
      <c r="F4325" s="17"/>
    </row>
    <row r="4326">
      <c r="F4326" s="17"/>
    </row>
    <row r="4327">
      <c r="F4327" s="17"/>
    </row>
    <row r="4328">
      <c r="F4328" s="17"/>
    </row>
    <row r="4329">
      <c r="F4329" s="17"/>
    </row>
    <row r="4330">
      <c r="F4330" s="17"/>
    </row>
    <row r="4331">
      <c r="F4331" s="17"/>
    </row>
    <row r="4332">
      <c r="F4332" s="17"/>
    </row>
    <row r="4333">
      <c r="F4333" s="17"/>
    </row>
    <row r="4334">
      <c r="F4334" s="17"/>
    </row>
    <row r="4335">
      <c r="F4335" s="17"/>
    </row>
    <row r="4336">
      <c r="F4336" s="17"/>
    </row>
    <row r="4337">
      <c r="F4337" s="17"/>
    </row>
    <row r="4338">
      <c r="F4338" s="17"/>
    </row>
    <row r="4339">
      <c r="F4339" s="17"/>
    </row>
    <row r="4340">
      <c r="F4340" s="17"/>
    </row>
    <row r="4341">
      <c r="F4341" s="17"/>
    </row>
    <row r="4342">
      <c r="F4342" s="17"/>
    </row>
    <row r="4343">
      <c r="F4343" s="17"/>
    </row>
    <row r="4344">
      <c r="F4344" s="17"/>
    </row>
    <row r="4345">
      <c r="F4345" s="17"/>
    </row>
    <row r="4346">
      <c r="F4346" s="17"/>
    </row>
    <row r="4347">
      <c r="F4347" s="17"/>
    </row>
    <row r="4348">
      <c r="F4348" s="17"/>
    </row>
    <row r="4349">
      <c r="F4349" s="17"/>
    </row>
    <row r="4350">
      <c r="F4350" s="17"/>
    </row>
    <row r="4351">
      <c r="F4351" s="17"/>
    </row>
    <row r="4352">
      <c r="F4352" s="17"/>
    </row>
    <row r="4353">
      <c r="F4353" s="17"/>
    </row>
    <row r="4354">
      <c r="F4354" s="17"/>
    </row>
    <row r="4355">
      <c r="F4355" s="17"/>
    </row>
    <row r="4356">
      <c r="F4356" s="17"/>
    </row>
    <row r="4357">
      <c r="F4357" s="17"/>
    </row>
    <row r="4358">
      <c r="F4358" s="17"/>
    </row>
    <row r="4359">
      <c r="F4359" s="17"/>
    </row>
    <row r="4360">
      <c r="F4360" s="17"/>
    </row>
    <row r="4361">
      <c r="F4361" s="17"/>
    </row>
    <row r="4362">
      <c r="F4362" s="17"/>
    </row>
    <row r="4363">
      <c r="F4363" s="17"/>
    </row>
    <row r="4364">
      <c r="F4364" s="17"/>
    </row>
    <row r="4365">
      <c r="F4365" s="17"/>
    </row>
    <row r="4366">
      <c r="F4366" s="17"/>
    </row>
    <row r="4367">
      <c r="F4367" s="17"/>
    </row>
    <row r="4368">
      <c r="F4368" s="17"/>
    </row>
    <row r="4369">
      <c r="F4369" s="17"/>
    </row>
    <row r="4370">
      <c r="F4370" s="17"/>
    </row>
    <row r="4371">
      <c r="F4371" s="17"/>
    </row>
    <row r="4372">
      <c r="F4372" s="17"/>
    </row>
    <row r="4373">
      <c r="F4373" s="17"/>
    </row>
    <row r="4374">
      <c r="F4374" s="17"/>
    </row>
    <row r="4375">
      <c r="F4375" s="17"/>
    </row>
    <row r="4376">
      <c r="F4376" s="17"/>
    </row>
    <row r="4377">
      <c r="F4377" s="17"/>
    </row>
    <row r="4378">
      <c r="F4378" s="17"/>
    </row>
    <row r="4379">
      <c r="F4379" s="17"/>
    </row>
    <row r="4380">
      <c r="F4380" s="17"/>
    </row>
    <row r="4381">
      <c r="F4381" s="17"/>
    </row>
    <row r="4382">
      <c r="F4382" s="17"/>
    </row>
    <row r="4383">
      <c r="F4383" s="17"/>
    </row>
    <row r="4384">
      <c r="F4384" s="17"/>
    </row>
    <row r="4385">
      <c r="F4385" s="17"/>
    </row>
    <row r="4386">
      <c r="F4386" s="17"/>
    </row>
    <row r="4387">
      <c r="F4387" s="17"/>
    </row>
    <row r="4388">
      <c r="F4388" s="17"/>
    </row>
    <row r="4389">
      <c r="F4389" s="17"/>
    </row>
    <row r="4390">
      <c r="F4390" s="17"/>
    </row>
    <row r="4391">
      <c r="F4391" s="17"/>
    </row>
    <row r="4392">
      <c r="F4392" s="17"/>
    </row>
    <row r="4393">
      <c r="F4393" s="17"/>
    </row>
    <row r="4394">
      <c r="F4394" s="17"/>
    </row>
    <row r="4395">
      <c r="F4395" s="17"/>
    </row>
    <row r="4396">
      <c r="F4396" s="17"/>
    </row>
    <row r="4397">
      <c r="F4397" s="17"/>
    </row>
    <row r="4398">
      <c r="F4398" s="17"/>
    </row>
    <row r="4399">
      <c r="F4399" s="17"/>
    </row>
    <row r="4400">
      <c r="F4400" s="17"/>
    </row>
    <row r="4401">
      <c r="F4401" s="17"/>
    </row>
    <row r="4402">
      <c r="F4402" s="17"/>
    </row>
    <row r="4403">
      <c r="F4403" s="17"/>
    </row>
    <row r="4404">
      <c r="F4404" s="17"/>
    </row>
    <row r="4405">
      <c r="F4405" s="17"/>
    </row>
    <row r="4406">
      <c r="F4406" s="17"/>
    </row>
    <row r="4407">
      <c r="F4407" s="17"/>
    </row>
    <row r="4408">
      <c r="F4408" s="17"/>
    </row>
    <row r="4409">
      <c r="F4409" s="17"/>
    </row>
    <row r="4410">
      <c r="F4410" s="17"/>
    </row>
    <row r="4411">
      <c r="F4411" s="17"/>
    </row>
    <row r="4412">
      <c r="F4412" s="17"/>
    </row>
    <row r="4413">
      <c r="F4413" s="17"/>
    </row>
    <row r="4414">
      <c r="F4414" s="17"/>
    </row>
    <row r="4415">
      <c r="F4415" s="17"/>
    </row>
    <row r="4416">
      <c r="F4416" s="17"/>
    </row>
    <row r="4417">
      <c r="F4417" s="17"/>
    </row>
    <row r="4418">
      <c r="F4418" s="17"/>
    </row>
    <row r="4419">
      <c r="F4419" s="17"/>
    </row>
    <row r="4420">
      <c r="F4420" s="17"/>
    </row>
    <row r="4421">
      <c r="F4421" s="17"/>
    </row>
    <row r="4422">
      <c r="F4422" s="17"/>
    </row>
    <row r="4423">
      <c r="F4423" s="17"/>
    </row>
    <row r="4424">
      <c r="F4424" s="17"/>
    </row>
    <row r="4425">
      <c r="F4425" s="17"/>
    </row>
    <row r="4426">
      <c r="F4426" s="17"/>
    </row>
    <row r="4427">
      <c r="F4427" s="17"/>
    </row>
    <row r="4428">
      <c r="F4428" s="17"/>
    </row>
    <row r="4429">
      <c r="F4429" s="17"/>
    </row>
    <row r="4430">
      <c r="F4430" s="17"/>
    </row>
    <row r="4431">
      <c r="F4431" s="17"/>
    </row>
    <row r="4432">
      <c r="F4432" s="17"/>
    </row>
    <row r="4433">
      <c r="F4433" s="17"/>
    </row>
    <row r="4434">
      <c r="F4434" s="17"/>
    </row>
    <row r="4435">
      <c r="F4435" s="17"/>
    </row>
    <row r="4436">
      <c r="F4436" s="17"/>
    </row>
    <row r="4437">
      <c r="F4437" s="17"/>
    </row>
    <row r="4438">
      <c r="F4438" s="17"/>
    </row>
    <row r="4439">
      <c r="F4439" s="17"/>
    </row>
    <row r="4440">
      <c r="F4440" s="17"/>
    </row>
    <row r="4441">
      <c r="F4441" s="17"/>
    </row>
    <row r="4442">
      <c r="F4442" s="17"/>
    </row>
    <row r="4443">
      <c r="F4443" s="17"/>
    </row>
    <row r="4444">
      <c r="F4444" s="17"/>
    </row>
    <row r="4445">
      <c r="F4445" s="17"/>
    </row>
    <row r="4446">
      <c r="F4446" s="17"/>
    </row>
    <row r="4447">
      <c r="F4447" s="17"/>
    </row>
    <row r="4448">
      <c r="F4448" s="17"/>
    </row>
    <row r="4449">
      <c r="F4449" s="17"/>
    </row>
    <row r="4450">
      <c r="F4450" s="17"/>
    </row>
    <row r="4451">
      <c r="F4451" s="17"/>
    </row>
    <row r="4452">
      <c r="F4452" s="17"/>
    </row>
    <row r="4453">
      <c r="F4453" s="17"/>
    </row>
    <row r="4454">
      <c r="F4454" s="17"/>
    </row>
    <row r="4455">
      <c r="F4455" s="17"/>
    </row>
    <row r="4456">
      <c r="F4456" s="17"/>
    </row>
    <row r="4457">
      <c r="F4457" s="17"/>
    </row>
    <row r="4458">
      <c r="F4458" s="17"/>
    </row>
    <row r="4459">
      <c r="F4459" s="17"/>
    </row>
    <row r="4460">
      <c r="F4460" s="17"/>
    </row>
    <row r="4461">
      <c r="F4461" s="17"/>
    </row>
    <row r="4462">
      <c r="F4462" s="17"/>
    </row>
    <row r="4463">
      <c r="F4463" s="17"/>
    </row>
    <row r="4464">
      <c r="F4464" s="17"/>
    </row>
    <row r="4465">
      <c r="F4465" s="17"/>
    </row>
    <row r="4466">
      <c r="F4466" s="17"/>
    </row>
    <row r="4467">
      <c r="F4467" s="17"/>
    </row>
    <row r="4468">
      <c r="F4468" s="17"/>
    </row>
    <row r="4469">
      <c r="F4469" s="17"/>
    </row>
    <row r="4470">
      <c r="F4470" s="17"/>
    </row>
    <row r="4471">
      <c r="F4471" s="17"/>
    </row>
    <row r="4472">
      <c r="F4472" s="17"/>
    </row>
    <row r="4473">
      <c r="F4473" s="17"/>
    </row>
    <row r="4474">
      <c r="F4474" s="17"/>
    </row>
    <row r="4475">
      <c r="F4475" s="17"/>
    </row>
    <row r="4476">
      <c r="F4476" s="17"/>
    </row>
    <row r="4477">
      <c r="F4477" s="17"/>
    </row>
    <row r="4478">
      <c r="F4478" s="17"/>
    </row>
    <row r="4479">
      <c r="F4479" s="17"/>
    </row>
    <row r="4480">
      <c r="F4480" s="17"/>
    </row>
    <row r="4481">
      <c r="F4481" s="17"/>
    </row>
    <row r="4482">
      <c r="F4482" s="17"/>
    </row>
    <row r="4483">
      <c r="F4483" s="17"/>
    </row>
    <row r="4484">
      <c r="F4484" s="17"/>
    </row>
    <row r="4485">
      <c r="F4485" s="17"/>
    </row>
    <row r="4486">
      <c r="F4486" s="17"/>
    </row>
    <row r="4487">
      <c r="F4487" s="17"/>
    </row>
    <row r="4488">
      <c r="F4488" s="17"/>
    </row>
    <row r="4489">
      <c r="F4489" s="17"/>
    </row>
    <row r="4490">
      <c r="F4490" s="17"/>
    </row>
    <row r="4491">
      <c r="F4491" s="17"/>
    </row>
    <row r="4492">
      <c r="F4492" s="17"/>
    </row>
    <row r="4493">
      <c r="F4493" s="17"/>
    </row>
    <row r="4494">
      <c r="F4494" s="17"/>
    </row>
    <row r="4495">
      <c r="F4495" s="17"/>
    </row>
    <row r="4496">
      <c r="F4496" s="17"/>
    </row>
    <row r="4497">
      <c r="F4497" s="17"/>
    </row>
    <row r="4498">
      <c r="F4498" s="17"/>
    </row>
    <row r="4499">
      <c r="F4499" s="17"/>
    </row>
    <row r="4500">
      <c r="F4500" s="17"/>
    </row>
    <row r="4501">
      <c r="F4501" s="17"/>
    </row>
    <row r="4502">
      <c r="F4502" s="17"/>
    </row>
    <row r="4503">
      <c r="F4503" s="17"/>
    </row>
    <row r="4504">
      <c r="F4504" s="17"/>
    </row>
    <row r="4505">
      <c r="F4505" s="17"/>
    </row>
    <row r="4506">
      <c r="F4506" s="17"/>
    </row>
    <row r="4507">
      <c r="F4507" s="17"/>
    </row>
    <row r="4508">
      <c r="F4508" s="17"/>
    </row>
    <row r="4509">
      <c r="F4509" s="17"/>
    </row>
    <row r="4510">
      <c r="F4510" s="17"/>
    </row>
    <row r="4511">
      <c r="F4511" s="17"/>
    </row>
    <row r="4512">
      <c r="F4512" s="17"/>
    </row>
    <row r="4513">
      <c r="F4513" s="17"/>
    </row>
    <row r="4514">
      <c r="F4514" s="17"/>
    </row>
    <row r="4515">
      <c r="F4515" s="17"/>
    </row>
    <row r="4516">
      <c r="F4516" s="17"/>
    </row>
    <row r="4517">
      <c r="F4517" s="17"/>
    </row>
    <row r="4518">
      <c r="F4518" s="17"/>
    </row>
    <row r="4519">
      <c r="F4519" s="17"/>
    </row>
    <row r="4520">
      <c r="F4520" s="17"/>
    </row>
    <row r="4521">
      <c r="F4521" s="17"/>
    </row>
    <row r="4522">
      <c r="F4522" s="17"/>
    </row>
    <row r="4523">
      <c r="F4523" s="17"/>
    </row>
    <row r="4524">
      <c r="F4524" s="17"/>
    </row>
    <row r="4525">
      <c r="F4525" s="17"/>
    </row>
    <row r="4526">
      <c r="F4526" s="17"/>
    </row>
    <row r="4527">
      <c r="F4527" s="17"/>
    </row>
    <row r="4528">
      <c r="F4528" s="17"/>
    </row>
    <row r="4529">
      <c r="F4529" s="17"/>
    </row>
    <row r="4530">
      <c r="F4530" s="17"/>
    </row>
    <row r="4531">
      <c r="F4531" s="17"/>
    </row>
    <row r="4532">
      <c r="F4532" s="17"/>
    </row>
    <row r="4533">
      <c r="F4533" s="17"/>
    </row>
    <row r="4534">
      <c r="F4534" s="17"/>
    </row>
    <row r="4535">
      <c r="F4535" s="17"/>
    </row>
    <row r="4536">
      <c r="F4536" s="17"/>
    </row>
    <row r="4537">
      <c r="F4537" s="17"/>
    </row>
    <row r="4538">
      <c r="F4538" s="17"/>
    </row>
    <row r="4539">
      <c r="F4539" s="17"/>
    </row>
    <row r="4540">
      <c r="F4540" s="17"/>
    </row>
    <row r="4541">
      <c r="F4541" s="17"/>
    </row>
    <row r="4542">
      <c r="F4542" s="17"/>
    </row>
    <row r="4543">
      <c r="F4543" s="17"/>
    </row>
    <row r="4544">
      <c r="F4544" s="17"/>
    </row>
    <row r="4545">
      <c r="F4545" s="17"/>
    </row>
    <row r="4546">
      <c r="F4546" s="17"/>
    </row>
    <row r="4547">
      <c r="F4547" s="17"/>
    </row>
    <row r="4548">
      <c r="F4548" s="17"/>
    </row>
    <row r="4549">
      <c r="F4549" s="17"/>
    </row>
    <row r="4550">
      <c r="F4550" s="17"/>
    </row>
    <row r="4551">
      <c r="F4551" s="17"/>
    </row>
    <row r="4552">
      <c r="F4552" s="17"/>
    </row>
    <row r="4553">
      <c r="F4553" s="17"/>
    </row>
    <row r="4554">
      <c r="F4554" s="17"/>
    </row>
    <row r="4555">
      <c r="F4555" s="17"/>
    </row>
    <row r="4556">
      <c r="F4556" s="17"/>
    </row>
    <row r="4557">
      <c r="F4557" s="17"/>
    </row>
    <row r="4558">
      <c r="F4558" s="17"/>
    </row>
    <row r="4559">
      <c r="F4559" s="17"/>
    </row>
    <row r="4560">
      <c r="F4560" s="17"/>
    </row>
    <row r="4561">
      <c r="F4561" s="17"/>
    </row>
    <row r="4562">
      <c r="F4562" s="17"/>
    </row>
    <row r="4563">
      <c r="F4563" s="17"/>
    </row>
    <row r="4564">
      <c r="F4564" s="17"/>
    </row>
    <row r="4565">
      <c r="F4565" s="17"/>
    </row>
    <row r="4566">
      <c r="F4566" s="17"/>
    </row>
    <row r="4567">
      <c r="F4567" s="17"/>
    </row>
    <row r="4568">
      <c r="F4568" s="17"/>
    </row>
    <row r="4569">
      <c r="F4569" s="17"/>
    </row>
    <row r="4570">
      <c r="F4570" s="17"/>
    </row>
    <row r="4571">
      <c r="F4571" s="17"/>
    </row>
    <row r="4572">
      <c r="F4572" s="17"/>
    </row>
    <row r="4573">
      <c r="F4573" s="17"/>
    </row>
    <row r="4574">
      <c r="F4574" s="17"/>
    </row>
    <row r="4575">
      <c r="F4575" s="17"/>
    </row>
    <row r="4576">
      <c r="F4576" s="17"/>
    </row>
    <row r="4577">
      <c r="F4577" s="17"/>
    </row>
    <row r="4578">
      <c r="F4578" s="17"/>
    </row>
    <row r="4579">
      <c r="F4579" s="17"/>
    </row>
    <row r="4580">
      <c r="F4580" s="17"/>
    </row>
    <row r="4581">
      <c r="F4581" s="17"/>
    </row>
    <row r="4582">
      <c r="F4582" s="17"/>
    </row>
    <row r="4583">
      <c r="F4583" s="17"/>
    </row>
    <row r="4584">
      <c r="F4584" s="17"/>
    </row>
    <row r="4585">
      <c r="F4585" s="17"/>
    </row>
    <row r="4586">
      <c r="F4586" s="17"/>
    </row>
    <row r="4587">
      <c r="F4587" s="17"/>
    </row>
    <row r="4588">
      <c r="F4588" s="17"/>
    </row>
    <row r="4589">
      <c r="F4589" s="17"/>
    </row>
    <row r="4590">
      <c r="F4590" s="17"/>
    </row>
    <row r="4591">
      <c r="F4591" s="17"/>
    </row>
    <row r="4592">
      <c r="F4592" s="17"/>
    </row>
    <row r="4593">
      <c r="F4593" s="17"/>
    </row>
    <row r="4594">
      <c r="F4594" s="17"/>
    </row>
    <row r="4595">
      <c r="F4595" s="17"/>
    </row>
    <row r="4596">
      <c r="F4596" s="17"/>
    </row>
    <row r="4597">
      <c r="F4597" s="17"/>
    </row>
    <row r="4598">
      <c r="F4598" s="17"/>
    </row>
    <row r="4599">
      <c r="F4599" s="17"/>
    </row>
    <row r="4600">
      <c r="F4600" s="17"/>
    </row>
    <row r="4601">
      <c r="F4601" s="17"/>
    </row>
    <row r="4602">
      <c r="F4602" s="17"/>
    </row>
    <row r="4603">
      <c r="F4603" s="17"/>
    </row>
    <row r="4604">
      <c r="F4604" s="17"/>
    </row>
    <row r="4605">
      <c r="F4605" s="17"/>
    </row>
    <row r="4606">
      <c r="F4606" s="17"/>
    </row>
    <row r="4607">
      <c r="F4607" s="17"/>
    </row>
    <row r="4608">
      <c r="F4608" s="17"/>
    </row>
    <row r="4609">
      <c r="F4609" s="17"/>
    </row>
    <row r="4610">
      <c r="F4610" s="17"/>
    </row>
    <row r="4611">
      <c r="F4611" s="17"/>
    </row>
    <row r="4612">
      <c r="F4612" s="17"/>
    </row>
    <row r="4613">
      <c r="F4613" s="17"/>
    </row>
    <row r="4614">
      <c r="F4614" s="17"/>
    </row>
    <row r="4615">
      <c r="F4615" s="17"/>
    </row>
    <row r="4616">
      <c r="F4616" s="17"/>
    </row>
    <row r="4617">
      <c r="F4617" s="17"/>
    </row>
    <row r="4618">
      <c r="F4618" s="17"/>
    </row>
    <row r="4619">
      <c r="F4619" s="17"/>
    </row>
    <row r="4620">
      <c r="F4620" s="17"/>
    </row>
    <row r="4621">
      <c r="F4621" s="17"/>
    </row>
    <row r="4622">
      <c r="F4622" s="17"/>
    </row>
    <row r="4623">
      <c r="F4623" s="17"/>
    </row>
    <row r="4624">
      <c r="F4624" s="17"/>
    </row>
    <row r="4625">
      <c r="F4625" s="17"/>
    </row>
    <row r="4626">
      <c r="F4626" s="17"/>
    </row>
    <row r="4627">
      <c r="F4627" s="17"/>
    </row>
    <row r="4628">
      <c r="F4628" s="17"/>
    </row>
    <row r="4629">
      <c r="F4629" s="17"/>
    </row>
    <row r="4630">
      <c r="F4630" s="17"/>
    </row>
    <row r="4631">
      <c r="F4631" s="17"/>
    </row>
    <row r="4632">
      <c r="F4632" s="17"/>
    </row>
    <row r="4633">
      <c r="F4633" s="17"/>
    </row>
    <row r="4634">
      <c r="F4634" s="17"/>
    </row>
    <row r="4635">
      <c r="F4635" s="17"/>
    </row>
    <row r="4636">
      <c r="F4636" s="17"/>
    </row>
    <row r="4637">
      <c r="F4637" s="17"/>
    </row>
    <row r="4638">
      <c r="F4638" s="17"/>
    </row>
    <row r="4639">
      <c r="F4639" s="17"/>
    </row>
    <row r="4640">
      <c r="F4640" s="17"/>
    </row>
    <row r="4641">
      <c r="F4641" s="17"/>
    </row>
    <row r="4642">
      <c r="F4642" s="17"/>
    </row>
    <row r="4643">
      <c r="F4643" s="17"/>
    </row>
    <row r="4644">
      <c r="F4644" s="17"/>
    </row>
    <row r="4645">
      <c r="F4645" s="17"/>
    </row>
    <row r="4646">
      <c r="F4646" s="17"/>
    </row>
    <row r="4647">
      <c r="F4647" s="17"/>
    </row>
    <row r="4648">
      <c r="F4648" s="17"/>
    </row>
    <row r="4649">
      <c r="F4649" s="17"/>
    </row>
    <row r="4650">
      <c r="F4650" s="17"/>
    </row>
    <row r="4651">
      <c r="F4651" s="17"/>
    </row>
    <row r="4652">
      <c r="F4652" s="17"/>
    </row>
    <row r="4653">
      <c r="F4653" s="17"/>
    </row>
    <row r="4654">
      <c r="F4654" s="17"/>
    </row>
    <row r="4655">
      <c r="F4655" s="17"/>
    </row>
    <row r="4656">
      <c r="F4656" s="17"/>
    </row>
    <row r="4657">
      <c r="F4657" s="17"/>
    </row>
    <row r="4658">
      <c r="F4658" s="17"/>
    </row>
    <row r="4659">
      <c r="F4659" s="17"/>
    </row>
    <row r="4660">
      <c r="F4660" s="17"/>
    </row>
    <row r="4661">
      <c r="F4661" s="17"/>
    </row>
    <row r="4662">
      <c r="F4662" s="17"/>
    </row>
    <row r="4663">
      <c r="F4663" s="17"/>
    </row>
    <row r="4664">
      <c r="F4664" s="17"/>
    </row>
    <row r="4665">
      <c r="F4665" s="17"/>
    </row>
    <row r="4666">
      <c r="F4666" s="17"/>
    </row>
    <row r="4667">
      <c r="F4667" s="17"/>
    </row>
    <row r="4668">
      <c r="F4668" s="17"/>
    </row>
    <row r="4669">
      <c r="F4669" s="17"/>
    </row>
    <row r="4670">
      <c r="F4670" s="17"/>
    </row>
    <row r="4671">
      <c r="F4671" s="17"/>
    </row>
    <row r="4672">
      <c r="F4672" s="17"/>
    </row>
    <row r="4673">
      <c r="F4673" s="17"/>
    </row>
    <row r="4674">
      <c r="F4674" s="17"/>
    </row>
    <row r="4675">
      <c r="F4675" s="17"/>
    </row>
    <row r="4676">
      <c r="F4676" s="17"/>
    </row>
    <row r="4677">
      <c r="F4677" s="17"/>
    </row>
    <row r="4678">
      <c r="F4678" s="17"/>
    </row>
    <row r="4679">
      <c r="F4679" s="17"/>
    </row>
    <row r="4680">
      <c r="F4680" s="17"/>
    </row>
    <row r="4681">
      <c r="F4681" s="17"/>
    </row>
    <row r="4682">
      <c r="F4682" s="17"/>
    </row>
    <row r="4683">
      <c r="F4683" s="17"/>
    </row>
    <row r="4684">
      <c r="F4684" s="17"/>
    </row>
    <row r="4685">
      <c r="F4685" s="17"/>
    </row>
    <row r="4686">
      <c r="F4686" s="17"/>
    </row>
    <row r="4687">
      <c r="F4687" s="17"/>
    </row>
    <row r="4688">
      <c r="F4688" s="17"/>
    </row>
    <row r="4689">
      <c r="F4689" s="17"/>
    </row>
    <row r="4690">
      <c r="F4690" s="17"/>
    </row>
    <row r="4691">
      <c r="F4691" s="17"/>
    </row>
    <row r="4692">
      <c r="F4692" s="17"/>
    </row>
    <row r="4693">
      <c r="F4693" s="17"/>
    </row>
    <row r="4694">
      <c r="F4694" s="17"/>
    </row>
    <row r="4695">
      <c r="F4695" s="17"/>
    </row>
    <row r="4696">
      <c r="F4696" s="17"/>
    </row>
    <row r="4697">
      <c r="F4697" s="17"/>
    </row>
    <row r="4698">
      <c r="F4698" s="17"/>
    </row>
    <row r="4699">
      <c r="F4699" s="17"/>
    </row>
    <row r="4700">
      <c r="F4700" s="17"/>
    </row>
    <row r="4701">
      <c r="F4701" s="17"/>
    </row>
    <row r="4702">
      <c r="F4702" s="17"/>
    </row>
    <row r="4703">
      <c r="F4703" s="17"/>
    </row>
    <row r="4704">
      <c r="F4704" s="17"/>
    </row>
    <row r="4705">
      <c r="F4705" s="17"/>
    </row>
    <row r="4706">
      <c r="F4706" s="17"/>
    </row>
    <row r="4707">
      <c r="F4707" s="17"/>
    </row>
    <row r="4708">
      <c r="F4708" s="17"/>
    </row>
    <row r="4709">
      <c r="F4709" s="17"/>
    </row>
    <row r="4710">
      <c r="F4710" s="17"/>
    </row>
    <row r="4711">
      <c r="F4711" s="17"/>
    </row>
    <row r="4712">
      <c r="F4712" s="17"/>
    </row>
    <row r="4713">
      <c r="F4713" s="17"/>
    </row>
    <row r="4714">
      <c r="F4714" s="17"/>
    </row>
    <row r="4715">
      <c r="F4715" s="17"/>
    </row>
    <row r="4716">
      <c r="F4716" s="17"/>
    </row>
    <row r="4717">
      <c r="F4717" s="17"/>
    </row>
    <row r="4718">
      <c r="F4718" s="17"/>
    </row>
    <row r="4719">
      <c r="F4719" s="17"/>
    </row>
    <row r="4720">
      <c r="F4720" s="17"/>
    </row>
    <row r="4721">
      <c r="F4721" s="17"/>
    </row>
    <row r="4722">
      <c r="F4722" s="17"/>
    </row>
    <row r="4723">
      <c r="F4723" s="17"/>
    </row>
    <row r="4724">
      <c r="F4724" s="17"/>
    </row>
    <row r="4725">
      <c r="F4725" s="17"/>
    </row>
    <row r="4726">
      <c r="F4726" s="17"/>
    </row>
    <row r="4727">
      <c r="F4727" s="17"/>
    </row>
    <row r="4728">
      <c r="F4728" s="17"/>
    </row>
    <row r="4729">
      <c r="F4729" s="17"/>
    </row>
    <row r="4730">
      <c r="F4730" s="17"/>
    </row>
    <row r="4731">
      <c r="F4731" s="17"/>
    </row>
    <row r="4732">
      <c r="F4732" s="17"/>
    </row>
    <row r="4733">
      <c r="F4733" s="17"/>
    </row>
    <row r="4734">
      <c r="F4734" s="17"/>
    </row>
    <row r="4735">
      <c r="F4735" s="17"/>
    </row>
    <row r="4736">
      <c r="F4736" s="17"/>
    </row>
    <row r="4737">
      <c r="F4737" s="17"/>
    </row>
    <row r="4738">
      <c r="F4738" s="17"/>
    </row>
    <row r="4739">
      <c r="F4739" s="17"/>
    </row>
    <row r="4740">
      <c r="F4740" s="17"/>
    </row>
    <row r="4741">
      <c r="F4741" s="17"/>
    </row>
    <row r="4742">
      <c r="F4742" s="17"/>
    </row>
    <row r="4743">
      <c r="F4743" s="17"/>
    </row>
    <row r="4744">
      <c r="F4744" s="17"/>
    </row>
    <row r="4745">
      <c r="F4745" s="17"/>
    </row>
    <row r="4746">
      <c r="F4746" s="17"/>
    </row>
    <row r="4747">
      <c r="F4747" s="17"/>
    </row>
    <row r="4748">
      <c r="F4748" s="17"/>
    </row>
    <row r="4749">
      <c r="F4749" s="17"/>
    </row>
    <row r="4750">
      <c r="F4750" s="17"/>
    </row>
    <row r="4751">
      <c r="F4751" s="17"/>
    </row>
    <row r="4752">
      <c r="F4752" s="17"/>
    </row>
    <row r="4753">
      <c r="F4753" s="17"/>
    </row>
    <row r="4754">
      <c r="F4754" s="17"/>
    </row>
    <row r="4755">
      <c r="F4755" s="17"/>
    </row>
    <row r="4756">
      <c r="F4756" s="17"/>
    </row>
    <row r="4757">
      <c r="F4757" s="17"/>
    </row>
    <row r="4758">
      <c r="F4758" s="17"/>
    </row>
    <row r="4759">
      <c r="F4759" s="17"/>
    </row>
    <row r="4760">
      <c r="F4760" s="17"/>
    </row>
    <row r="4761">
      <c r="F4761" s="17"/>
    </row>
    <row r="4762">
      <c r="F4762" s="17"/>
    </row>
    <row r="4763">
      <c r="F4763" s="17"/>
    </row>
    <row r="4764">
      <c r="F4764" s="17"/>
    </row>
    <row r="4765">
      <c r="F4765" s="17"/>
    </row>
    <row r="4766">
      <c r="F4766" s="17"/>
    </row>
    <row r="4767">
      <c r="F4767" s="17"/>
    </row>
    <row r="4768">
      <c r="F4768" s="17"/>
    </row>
    <row r="4769">
      <c r="F4769" s="17"/>
    </row>
    <row r="4770">
      <c r="F4770" s="17"/>
    </row>
    <row r="4771">
      <c r="F4771" s="17"/>
    </row>
    <row r="4772">
      <c r="F4772" s="17"/>
    </row>
    <row r="4773">
      <c r="F4773" s="17"/>
    </row>
    <row r="4774">
      <c r="F4774" s="17"/>
    </row>
    <row r="4775">
      <c r="F4775" s="17"/>
    </row>
    <row r="4776">
      <c r="F4776" s="17"/>
    </row>
    <row r="4777">
      <c r="F4777" s="17"/>
    </row>
    <row r="4778">
      <c r="F4778" s="17"/>
    </row>
    <row r="4779">
      <c r="F4779" s="17"/>
    </row>
    <row r="4780">
      <c r="F4780" s="17"/>
    </row>
    <row r="4781">
      <c r="F4781" s="17"/>
    </row>
    <row r="4782">
      <c r="F4782" s="17"/>
    </row>
    <row r="4783">
      <c r="F4783" s="17"/>
    </row>
    <row r="4784">
      <c r="F4784" s="17"/>
    </row>
    <row r="4785">
      <c r="F4785" s="17"/>
    </row>
    <row r="4786">
      <c r="F4786" s="17"/>
    </row>
    <row r="4787">
      <c r="F4787" s="17"/>
    </row>
    <row r="4788">
      <c r="F4788" s="17"/>
    </row>
    <row r="4789">
      <c r="F4789" s="17"/>
    </row>
    <row r="4790">
      <c r="F4790" s="17"/>
    </row>
    <row r="4791">
      <c r="F4791" s="17"/>
    </row>
    <row r="4792">
      <c r="F4792" s="17"/>
    </row>
    <row r="4793">
      <c r="F4793" s="17"/>
    </row>
    <row r="4794">
      <c r="F4794" s="17"/>
    </row>
    <row r="4795">
      <c r="F4795" s="17"/>
    </row>
    <row r="4796">
      <c r="F4796" s="17"/>
    </row>
    <row r="4797">
      <c r="F4797" s="17"/>
    </row>
    <row r="4798">
      <c r="F4798" s="17"/>
    </row>
    <row r="4799">
      <c r="F4799" s="17"/>
    </row>
    <row r="4800">
      <c r="F4800" s="17"/>
    </row>
    <row r="4801">
      <c r="F4801" s="17"/>
    </row>
    <row r="4802">
      <c r="F4802" s="17"/>
    </row>
    <row r="4803">
      <c r="F4803" s="17"/>
    </row>
    <row r="4804">
      <c r="F4804" s="17"/>
    </row>
    <row r="4805">
      <c r="F4805" s="17"/>
    </row>
    <row r="4806">
      <c r="F4806" s="17"/>
    </row>
    <row r="4807">
      <c r="F4807" s="17"/>
    </row>
    <row r="4808">
      <c r="F4808" s="17"/>
    </row>
    <row r="4809">
      <c r="F4809" s="17"/>
    </row>
    <row r="4810">
      <c r="F4810" s="17"/>
    </row>
    <row r="4811">
      <c r="F4811" s="17"/>
    </row>
    <row r="4812">
      <c r="F4812" s="17"/>
    </row>
    <row r="4813">
      <c r="F4813" s="17"/>
    </row>
    <row r="4814">
      <c r="F4814" s="17"/>
    </row>
    <row r="4815">
      <c r="F4815" s="17"/>
    </row>
    <row r="4816">
      <c r="F4816" s="17"/>
    </row>
    <row r="4817">
      <c r="F4817" s="17"/>
    </row>
    <row r="4818">
      <c r="F4818" s="17"/>
    </row>
    <row r="4819">
      <c r="F4819" s="17"/>
    </row>
    <row r="4820">
      <c r="F4820" s="17"/>
    </row>
    <row r="4821">
      <c r="F4821" s="17"/>
    </row>
    <row r="4822">
      <c r="F4822" s="17"/>
    </row>
    <row r="4823">
      <c r="F4823" s="17"/>
    </row>
    <row r="4824">
      <c r="F4824" s="17"/>
    </row>
    <row r="4825">
      <c r="F4825" s="17"/>
    </row>
    <row r="4826">
      <c r="F4826" s="17"/>
    </row>
    <row r="4827">
      <c r="F4827" s="17"/>
    </row>
    <row r="4828">
      <c r="F4828" s="17"/>
    </row>
    <row r="4829">
      <c r="F4829" s="17"/>
    </row>
    <row r="4830">
      <c r="F4830" s="17"/>
    </row>
    <row r="4831">
      <c r="F4831" s="17"/>
    </row>
    <row r="4832">
      <c r="F4832" s="17"/>
    </row>
    <row r="4833">
      <c r="F4833" s="17"/>
    </row>
    <row r="4834">
      <c r="F4834" s="17"/>
    </row>
    <row r="4835">
      <c r="F4835" s="17"/>
    </row>
    <row r="4836">
      <c r="F4836" s="17"/>
    </row>
    <row r="4837">
      <c r="F4837" s="17"/>
    </row>
    <row r="4838">
      <c r="F4838" s="17"/>
    </row>
    <row r="4839">
      <c r="F4839" s="17"/>
    </row>
    <row r="4840">
      <c r="F4840" s="17"/>
    </row>
    <row r="4841">
      <c r="F4841" s="17"/>
    </row>
    <row r="4842">
      <c r="F4842" s="17"/>
    </row>
    <row r="4843">
      <c r="F4843" s="17"/>
    </row>
    <row r="4844">
      <c r="F4844" s="17"/>
    </row>
    <row r="4845">
      <c r="F4845" s="17"/>
    </row>
    <row r="4846">
      <c r="F4846" s="17"/>
    </row>
    <row r="4847">
      <c r="F4847" s="17"/>
    </row>
    <row r="4848">
      <c r="F4848" s="17"/>
    </row>
    <row r="4849">
      <c r="F4849" s="17"/>
    </row>
    <row r="4850">
      <c r="F4850" s="17"/>
    </row>
    <row r="4851">
      <c r="F4851" s="17"/>
    </row>
    <row r="4852">
      <c r="F4852" s="17"/>
    </row>
    <row r="4853">
      <c r="F4853" s="17"/>
    </row>
    <row r="4854">
      <c r="F4854" s="17"/>
    </row>
    <row r="4855">
      <c r="F4855" s="17"/>
    </row>
    <row r="4856">
      <c r="F4856" s="17"/>
    </row>
    <row r="4857">
      <c r="F4857" s="17"/>
    </row>
    <row r="4858">
      <c r="F4858" s="17"/>
    </row>
    <row r="4859">
      <c r="F4859" s="17"/>
    </row>
    <row r="4860">
      <c r="F4860" s="17"/>
    </row>
    <row r="4861">
      <c r="F4861" s="17"/>
    </row>
    <row r="4862">
      <c r="F4862" s="17"/>
    </row>
    <row r="4863">
      <c r="F4863" s="17"/>
    </row>
    <row r="4864">
      <c r="F4864" s="17"/>
    </row>
    <row r="4865">
      <c r="F4865" s="17"/>
    </row>
    <row r="4866">
      <c r="F4866" s="17"/>
    </row>
    <row r="4867">
      <c r="F4867" s="17"/>
    </row>
    <row r="4868">
      <c r="F4868" s="17"/>
    </row>
    <row r="4869">
      <c r="F4869" s="17"/>
    </row>
    <row r="4870">
      <c r="F4870" s="17"/>
    </row>
    <row r="4871">
      <c r="F4871" s="17"/>
    </row>
    <row r="4872">
      <c r="F4872" s="17"/>
    </row>
    <row r="4873">
      <c r="F4873" s="17"/>
    </row>
    <row r="4874">
      <c r="F4874" s="17"/>
    </row>
    <row r="4875">
      <c r="F4875" s="17"/>
    </row>
    <row r="4876">
      <c r="F4876" s="17"/>
    </row>
    <row r="4877">
      <c r="F4877" s="17"/>
    </row>
    <row r="4878">
      <c r="F4878" s="17"/>
    </row>
    <row r="4879">
      <c r="F4879" s="17"/>
    </row>
    <row r="4880">
      <c r="F4880" s="17"/>
    </row>
    <row r="4881">
      <c r="F4881" s="17"/>
    </row>
    <row r="4882">
      <c r="F4882" s="17"/>
    </row>
    <row r="4883">
      <c r="F4883" s="17"/>
    </row>
    <row r="4884">
      <c r="F4884" s="17"/>
    </row>
    <row r="4885">
      <c r="F4885" s="17"/>
    </row>
    <row r="4886">
      <c r="F4886" s="17"/>
    </row>
    <row r="4887">
      <c r="F4887" s="17"/>
    </row>
    <row r="4888">
      <c r="F4888" s="17"/>
    </row>
    <row r="4889">
      <c r="F4889" s="17"/>
    </row>
    <row r="4890">
      <c r="F4890" s="17"/>
    </row>
    <row r="4891">
      <c r="F4891" s="17"/>
    </row>
    <row r="4892">
      <c r="F4892" s="17"/>
    </row>
    <row r="4893">
      <c r="F4893" s="17"/>
    </row>
    <row r="4894">
      <c r="F4894" s="17"/>
    </row>
    <row r="4895">
      <c r="F4895" s="17"/>
    </row>
    <row r="4896">
      <c r="F4896" s="17"/>
    </row>
    <row r="4897">
      <c r="F4897" s="17"/>
    </row>
    <row r="4898">
      <c r="F4898" s="17"/>
    </row>
    <row r="4899">
      <c r="F4899" s="17"/>
    </row>
    <row r="4900">
      <c r="F4900" s="17"/>
    </row>
    <row r="4901">
      <c r="F4901" s="17"/>
    </row>
    <row r="4902">
      <c r="F4902" s="17"/>
    </row>
    <row r="4903">
      <c r="F4903" s="17"/>
    </row>
    <row r="4904">
      <c r="F4904" s="17"/>
    </row>
    <row r="4905">
      <c r="F4905" s="17"/>
    </row>
    <row r="4906">
      <c r="F4906" s="17"/>
    </row>
    <row r="4907">
      <c r="F4907" s="17"/>
    </row>
    <row r="4908">
      <c r="F4908" s="17"/>
    </row>
    <row r="4909">
      <c r="F4909" s="17"/>
    </row>
    <row r="4910">
      <c r="F4910" s="17"/>
    </row>
    <row r="4911">
      <c r="F4911" s="17"/>
    </row>
    <row r="4912">
      <c r="F4912" s="17"/>
    </row>
    <row r="4913">
      <c r="F4913" s="17"/>
    </row>
    <row r="4914">
      <c r="F4914" s="17"/>
    </row>
    <row r="4915">
      <c r="F4915" s="17"/>
    </row>
    <row r="4916">
      <c r="F4916" s="17"/>
    </row>
    <row r="4917">
      <c r="F4917" s="17"/>
    </row>
    <row r="4918">
      <c r="F4918" s="17"/>
    </row>
    <row r="4919">
      <c r="F4919" s="17"/>
    </row>
    <row r="4920">
      <c r="F4920" s="17"/>
    </row>
    <row r="4921">
      <c r="F4921" s="17"/>
    </row>
    <row r="4922">
      <c r="F4922" s="17"/>
    </row>
    <row r="4923">
      <c r="F4923" s="17"/>
    </row>
    <row r="4924">
      <c r="F4924" s="17"/>
    </row>
    <row r="4925">
      <c r="F4925" s="17"/>
    </row>
    <row r="4926">
      <c r="F4926" s="17"/>
    </row>
    <row r="4927">
      <c r="F4927" s="17"/>
    </row>
    <row r="4928">
      <c r="F4928" s="17"/>
    </row>
    <row r="4929">
      <c r="F4929" s="17"/>
    </row>
    <row r="4930">
      <c r="F4930" s="17"/>
    </row>
    <row r="4931">
      <c r="F4931" s="17"/>
    </row>
    <row r="4932">
      <c r="F4932" s="17"/>
    </row>
    <row r="4933">
      <c r="F4933" s="17"/>
    </row>
    <row r="4934">
      <c r="F4934" s="17"/>
    </row>
    <row r="4935">
      <c r="F4935" s="17"/>
    </row>
    <row r="4936">
      <c r="F4936" s="17"/>
    </row>
    <row r="4937">
      <c r="F4937" s="17"/>
    </row>
    <row r="4938">
      <c r="F4938" s="17"/>
    </row>
    <row r="4939">
      <c r="F4939" s="17"/>
    </row>
    <row r="4940">
      <c r="F4940" s="17"/>
    </row>
    <row r="4941">
      <c r="F4941" s="17"/>
    </row>
    <row r="4942">
      <c r="F4942" s="17"/>
    </row>
    <row r="4943">
      <c r="F4943" s="17"/>
    </row>
    <row r="4944">
      <c r="F4944" s="17"/>
    </row>
    <row r="4945">
      <c r="F4945" s="17"/>
    </row>
    <row r="4946">
      <c r="F4946" s="17"/>
    </row>
    <row r="4947">
      <c r="F4947" s="17"/>
    </row>
    <row r="4948">
      <c r="F4948" s="17"/>
    </row>
    <row r="4949">
      <c r="F4949" s="17"/>
    </row>
    <row r="4950">
      <c r="F4950" s="17"/>
    </row>
    <row r="4951">
      <c r="F4951" s="17"/>
    </row>
    <row r="4952">
      <c r="F4952" s="17"/>
    </row>
    <row r="4953">
      <c r="F4953" s="17"/>
    </row>
    <row r="4954">
      <c r="F4954" s="17"/>
    </row>
    <row r="4955">
      <c r="F4955" s="17"/>
    </row>
    <row r="4956">
      <c r="F4956" s="17"/>
    </row>
    <row r="4957">
      <c r="F4957" s="17"/>
    </row>
    <row r="4958">
      <c r="F4958" s="17"/>
    </row>
    <row r="4959">
      <c r="F4959" s="17"/>
    </row>
    <row r="4960">
      <c r="F4960" s="17"/>
    </row>
    <row r="4961">
      <c r="F4961" s="17"/>
    </row>
    <row r="4962">
      <c r="F4962" s="17"/>
    </row>
    <row r="4963">
      <c r="F4963" s="17"/>
    </row>
    <row r="4964">
      <c r="F4964" s="17"/>
    </row>
    <row r="4965">
      <c r="F4965" s="17"/>
    </row>
    <row r="4966">
      <c r="F4966" s="17"/>
    </row>
    <row r="4967">
      <c r="F4967" s="17"/>
    </row>
    <row r="4968">
      <c r="F4968" s="17"/>
    </row>
    <row r="4969">
      <c r="F4969" s="17"/>
    </row>
    <row r="4970">
      <c r="F4970" s="17"/>
    </row>
    <row r="4971">
      <c r="F4971" s="17"/>
    </row>
    <row r="4972">
      <c r="F4972" s="17"/>
    </row>
    <row r="4973">
      <c r="F4973" s="17"/>
    </row>
    <row r="4974">
      <c r="F4974" s="17"/>
    </row>
    <row r="4975">
      <c r="F4975" s="17"/>
    </row>
    <row r="4976">
      <c r="F4976" s="17"/>
    </row>
    <row r="4977">
      <c r="F4977" s="17"/>
    </row>
    <row r="4978">
      <c r="F4978" s="17"/>
    </row>
    <row r="4979">
      <c r="F4979" s="17"/>
    </row>
    <row r="4980">
      <c r="F4980" s="17"/>
    </row>
    <row r="4981">
      <c r="F4981" s="17"/>
    </row>
    <row r="4982">
      <c r="F4982" s="17"/>
    </row>
    <row r="4983">
      <c r="F4983" s="17"/>
    </row>
    <row r="4984">
      <c r="F4984" s="17"/>
    </row>
    <row r="4985">
      <c r="F4985" s="17"/>
    </row>
    <row r="4986">
      <c r="F4986" s="17"/>
    </row>
    <row r="4987">
      <c r="F4987" s="17"/>
    </row>
    <row r="4988">
      <c r="F4988" s="17"/>
    </row>
    <row r="4989">
      <c r="F4989" s="17"/>
    </row>
    <row r="4990">
      <c r="F4990" s="17"/>
    </row>
    <row r="4991">
      <c r="F4991" s="17"/>
    </row>
    <row r="4992">
      <c r="F4992" s="17"/>
    </row>
    <row r="4993">
      <c r="F4993" s="17"/>
    </row>
    <row r="4994">
      <c r="F4994" s="17"/>
    </row>
    <row r="4995">
      <c r="F4995" s="17"/>
    </row>
    <row r="4996">
      <c r="F4996" s="17"/>
    </row>
    <row r="4997">
      <c r="F4997" s="17"/>
    </row>
    <row r="4998">
      <c r="F4998" s="17"/>
    </row>
    <row r="4999">
      <c r="F4999" s="17"/>
    </row>
    <row r="5000">
      <c r="F5000" s="17"/>
    </row>
    <row r="5001">
      <c r="F5001" s="17"/>
    </row>
    <row r="5002">
      <c r="F5002" s="17"/>
    </row>
    <row r="5003">
      <c r="F5003" s="17"/>
    </row>
    <row r="5004">
      <c r="F5004" s="17"/>
    </row>
    <row r="5005">
      <c r="F5005" s="17"/>
    </row>
    <row r="5006">
      <c r="F5006" s="17"/>
    </row>
    <row r="5007">
      <c r="F5007" s="17"/>
    </row>
    <row r="5008">
      <c r="F5008" s="17"/>
    </row>
    <row r="5009">
      <c r="F5009" s="17"/>
    </row>
    <row r="5010">
      <c r="F5010" s="17"/>
    </row>
    <row r="5011">
      <c r="F5011" s="17"/>
    </row>
    <row r="5012">
      <c r="F5012" s="17"/>
    </row>
    <row r="5013">
      <c r="F5013" s="17"/>
    </row>
    <row r="5014">
      <c r="F5014" s="17"/>
    </row>
    <row r="5015">
      <c r="F5015" s="17"/>
    </row>
    <row r="5016">
      <c r="F5016" s="17"/>
    </row>
    <row r="5017">
      <c r="F5017" s="17"/>
    </row>
    <row r="5018">
      <c r="F5018" s="17"/>
    </row>
    <row r="5019">
      <c r="F5019" s="17"/>
    </row>
    <row r="5020">
      <c r="F5020" s="17"/>
    </row>
    <row r="5021">
      <c r="F5021" s="17"/>
    </row>
    <row r="5022">
      <c r="F5022" s="17"/>
    </row>
    <row r="5023">
      <c r="F5023" s="17"/>
    </row>
    <row r="5024">
      <c r="F5024" s="17"/>
    </row>
    <row r="5025">
      <c r="F5025" s="17"/>
    </row>
    <row r="5026">
      <c r="F5026" s="17"/>
    </row>
    <row r="5027">
      <c r="F5027" s="17"/>
    </row>
    <row r="5028">
      <c r="F5028" s="17"/>
    </row>
    <row r="5029">
      <c r="F5029" s="17"/>
    </row>
    <row r="5030">
      <c r="F5030" s="17"/>
    </row>
    <row r="5031">
      <c r="F5031" s="17"/>
    </row>
    <row r="5032">
      <c r="F5032" s="17"/>
    </row>
    <row r="5033">
      <c r="F5033" s="17"/>
    </row>
    <row r="5034">
      <c r="F5034" s="17"/>
    </row>
    <row r="5035">
      <c r="F5035" s="17"/>
    </row>
    <row r="5036">
      <c r="F5036" s="17"/>
    </row>
    <row r="5037">
      <c r="F5037" s="17"/>
    </row>
    <row r="5038">
      <c r="F5038" s="17"/>
    </row>
    <row r="5039">
      <c r="F5039" s="17"/>
    </row>
    <row r="5040">
      <c r="F5040" s="17"/>
    </row>
    <row r="5041">
      <c r="F5041" s="17"/>
    </row>
    <row r="5042">
      <c r="F5042" s="17"/>
    </row>
    <row r="5043">
      <c r="F5043" s="17"/>
    </row>
    <row r="5044">
      <c r="F5044" s="17"/>
    </row>
    <row r="5045">
      <c r="F5045" s="17"/>
    </row>
    <row r="5046">
      <c r="F5046" s="17"/>
    </row>
    <row r="5047">
      <c r="F5047" s="17"/>
    </row>
    <row r="5048">
      <c r="F5048" s="17"/>
    </row>
    <row r="5049">
      <c r="F5049" s="17"/>
    </row>
    <row r="5050">
      <c r="F5050" s="17"/>
    </row>
    <row r="5051">
      <c r="F5051" s="17"/>
    </row>
    <row r="5052">
      <c r="F5052" s="17"/>
    </row>
    <row r="5053">
      <c r="F5053" s="17"/>
    </row>
    <row r="5054">
      <c r="F5054" s="17"/>
    </row>
    <row r="5055">
      <c r="F5055" s="17"/>
    </row>
    <row r="5056">
      <c r="F5056" s="17"/>
    </row>
    <row r="5057">
      <c r="F5057" s="17"/>
    </row>
    <row r="5058">
      <c r="F5058" s="17"/>
    </row>
    <row r="5059">
      <c r="F5059" s="17"/>
    </row>
    <row r="5060">
      <c r="F5060" s="17"/>
    </row>
    <row r="5061">
      <c r="F5061" s="17"/>
    </row>
    <row r="5062">
      <c r="F5062" s="17"/>
    </row>
    <row r="5063">
      <c r="F5063" s="17"/>
    </row>
    <row r="5064">
      <c r="F5064" s="17"/>
    </row>
    <row r="5065">
      <c r="F5065" s="17"/>
    </row>
    <row r="5066">
      <c r="F5066" s="17"/>
    </row>
    <row r="5067">
      <c r="F5067" s="17"/>
    </row>
    <row r="5068">
      <c r="F5068" s="17"/>
    </row>
    <row r="5069">
      <c r="F5069" s="17"/>
    </row>
    <row r="5070">
      <c r="F5070" s="17"/>
    </row>
    <row r="5071">
      <c r="F5071" s="17"/>
    </row>
    <row r="5072">
      <c r="F5072" s="17"/>
    </row>
    <row r="5073">
      <c r="F5073" s="17"/>
    </row>
    <row r="5074">
      <c r="F5074" s="17"/>
    </row>
    <row r="5075">
      <c r="F5075" s="17"/>
    </row>
    <row r="5076">
      <c r="F5076" s="17"/>
    </row>
    <row r="5077">
      <c r="F5077" s="17"/>
    </row>
    <row r="5078">
      <c r="F5078" s="17"/>
    </row>
    <row r="5079">
      <c r="F5079" s="17"/>
    </row>
    <row r="5080">
      <c r="F5080" s="17"/>
    </row>
    <row r="5081">
      <c r="F5081" s="17"/>
    </row>
    <row r="5082">
      <c r="F5082" s="17"/>
    </row>
    <row r="5083">
      <c r="F5083" s="17"/>
    </row>
    <row r="5084">
      <c r="F5084" s="17"/>
    </row>
    <row r="5085">
      <c r="F5085" s="17"/>
    </row>
    <row r="5086">
      <c r="F5086" s="17"/>
    </row>
    <row r="5087">
      <c r="F5087" s="17"/>
    </row>
    <row r="5088">
      <c r="F5088" s="17"/>
    </row>
    <row r="5089">
      <c r="F5089" s="17"/>
    </row>
    <row r="5090">
      <c r="F5090" s="17"/>
    </row>
    <row r="5091">
      <c r="F5091" s="17"/>
    </row>
    <row r="5092">
      <c r="F5092" s="17"/>
    </row>
    <row r="5093">
      <c r="F5093" s="17"/>
    </row>
    <row r="5094">
      <c r="F5094" s="17"/>
    </row>
    <row r="5095">
      <c r="F5095" s="17"/>
    </row>
    <row r="5096">
      <c r="F5096" s="17"/>
    </row>
    <row r="5097">
      <c r="F5097" s="17"/>
    </row>
    <row r="5098">
      <c r="F5098" s="17"/>
    </row>
    <row r="5099">
      <c r="F5099" s="17"/>
    </row>
    <row r="5100">
      <c r="F5100" s="17"/>
    </row>
    <row r="5101">
      <c r="F5101" s="17"/>
    </row>
    <row r="5102">
      <c r="F5102" s="17"/>
    </row>
    <row r="5103">
      <c r="F5103" s="17"/>
    </row>
    <row r="5104">
      <c r="F5104" s="17"/>
    </row>
    <row r="5105">
      <c r="F5105" s="17"/>
    </row>
    <row r="5106">
      <c r="F5106" s="17"/>
    </row>
    <row r="5107">
      <c r="F5107" s="17"/>
    </row>
    <row r="5108">
      <c r="F5108" s="17"/>
    </row>
    <row r="5109">
      <c r="F5109" s="17"/>
    </row>
    <row r="5110">
      <c r="F5110" s="17"/>
    </row>
    <row r="5111">
      <c r="F5111" s="17"/>
    </row>
    <row r="5112">
      <c r="F5112" s="17"/>
    </row>
    <row r="5113">
      <c r="F5113" s="17"/>
    </row>
    <row r="5114">
      <c r="F5114" s="17"/>
    </row>
    <row r="5115">
      <c r="F5115" s="17"/>
    </row>
    <row r="5116">
      <c r="F5116" s="17"/>
    </row>
    <row r="5117">
      <c r="F5117" s="17"/>
    </row>
    <row r="5118">
      <c r="F5118" s="17"/>
    </row>
    <row r="5119">
      <c r="F5119" s="17"/>
    </row>
    <row r="5120">
      <c r="F5120" s="17"/>
    </row>
    <row r="5121">
      <c r="F5121" s="17"/>
    </row>
    <row r="5122">
      <c r="F5122" s="17"/>
    </row>
    <row r="5123">
      <c r="F5123" s="17"/>
    </row>
    <row r="5124">
      <c r="F5124" s="17"/>
    </row>
    <row r="5125">
      <c r="F5125" s="17"/>
    </row>
    <row r="5126">
      <c r="F5126" s="17"/>
    </row>
    <row r="5127">
      <c r="F5127" s="17"/>
    </row>
    <row r="5128">
      <c r="F5128" s="17"/>
    </row>
    <row r="5129">
      <c r="F5129" s="17"/>
    </row>
    <row r="5130">
      <c r="F5130" s="17"/>
    </row>
    <row r="5131">
      <c r="F5131" s="17"/>
    </row>
    <row r="5132">
      <c r="F5132" s="17"/>
    </row>
    <row r="5133">
      <c r="F5133" s="17"/>
    </row>
    <row r="5134">
      <c r="F5134" s="17"/>
    </row>
    <row r="5135">
      <c r="F5135" s="17"/>
    </row>
    <row r="5136">
      <c r="F5136" s="17"/>
    </row>
    <row r="5137">
      <c r="F5137" s="17"/>
    </row>
    <row r="5138">
      <c r="F5138" s="17"/>
    </row>
    <row r="5139">
      <c r="F5139" s="17"/>
    </row>
    <row r="5140">
      <c r="F5140" s="17"/>
    </row>
    <row r="5141">
      <c r="F5141" s="17"/>
    </row>
    <row r="5142">
      <c r="F5142" s="17"/>
    </row>
    <row r="5143">
      <c r="F5143" s="17"/>
    </row>
    <row r="5144">
      <c r="F5144" s="17"/>
    </row>
    <row r="5145">
      <c r="F5145" s="17"/>
    </row>
    <row r="5146">
      <c r="F5146" s="17"/>
    </row>
    <row r="5147">
      <c r="F5147" s="17"/>
    </row>
    <row r="5148">
      <c r="F5148" s="17"/>
    </row>
    <row r="5149">
      <c r="F5149" s="17"/>
    </row>
    <row r="5150">
      <c r="F5150" s="17"/>
    </row>
    <row r="5151">
      <c r="F5151" s="17"/>
    </row>
    <row r="5152">
      <c r="F5152" s="17"/>
    </row>
    <row r="5153">
      <c r="F5153" s="17"/>
    </row>
    <row r="5154">
      <c r="F5154" s="17"/>
    </row>
    <row r="5155">
      <c r="F5155" s="17"/>
    </row>
    <row r="5156">
      <c r="F5156" s="17"/>
    </row>
    <row r="5157">
      <c r="F5157" s="17"/>
    </row>
    <row r="5158">
      <c r="F5158" s="17"/>
    </row>
    <row r="5159">
      <c r="F5159" s="17"/>
    </row>
    <row r="5160">
      <c r="F5160" s="17"/>
    </row>
    <row r="5161">
      <c r="F5161" s="17"/>
    </row>
    <row r="5162">
      <c r="F5162" s="17"/>
    </row>
    <row r="5163">
      <c r="F5163" s="17"/>
    </row>
    <row r="5164">
      <c r="F5164" s="17"/>
    </row>
    <row r="5165">
      <c r="F5165" s="17"/>
    </row>
    <row r="5166">
      <c r="F5166" s="17"/>
    </row>
    <row r="5167">
      <c r="F5167" s="17"/>
    </row>
    <row r="5168">
      <c r="F5168" s="17"/>
    </row>
    <row r="5169">
      <c r="F5169" s="17"/>
    </row>
    <row r="5170">
      <c r="F5170" s="17"/>
    </row>
    <row r="5171">
      <c r="F5171" s="17"/>
    </row>
    <row r="5172">
      <c r="F5172" s="17"/>
    </row>
    <row r="5173">
      <c r="F5173" s="17"/>
    </row>
    <row r="5174">
      <c r="F5174" s="17"/>
    </row>
    <row r="5175">
      <c r="F5175" s="17"/>
    </row>
    <row r="5176">
      <c r="F5176" s="17"/>
    </row>
    <row r="5177">
      <c r="F5177" s="17"/>
    </row>
    <row r="5178">
      <c r="F5178" s="17"/>
    </row>
    <row r="5179">
      <c r="F5179" s="17"/>
    </row>
    <row r="5180">
      <c r="F5180" s="17"/>
    </row>
    <row r="5181">
      <c r="F5181" s="17"/>
    </row>
    <row r="5182">
      <c r="F5182" s="17"/>
    </row>
    <row r="5183">
      <c r="F5183" s="17"/>
    </row>
    <row r="5184">
      <c r="F5184" s="17"/>
    </row>
    <row r="5185">
      <c r="F5185" s="17"/>
    </row>
    <row r="5186">
      <c r="F5186" s="17"/>
    </row>
    <row r="5187">
      <c r="F5187" s="17"/>
    </row>
    <row r="5188">
      <c r="F5188" s="17"/>
    </row>
    <row r="5189">
      <c r="F5189" s="17"/>
    </row>
    <row r="5190">
      <c r="F5190" s="17"/>
    </row>
    <row r="5191">
      <c r="F5191" s="17"/>
    </row>
    <row r="5192">
      <c r="F5192" s="17"/>
    </row>
    <row r="5193">
      <c r="F5193" s="17"/>
    </row>
    <row r="5194">
      <c r="F5194" s="17"/>
    </row>
    <row r="5195">
      <c r="F5195" s="17"/>
    </row>
    <row r="5196">
      <c r="F5196" s="17"/>
    </row>
    <row r="5197">
      <c r="F5197" s="17"/>
    </row>
    <row r="5198">
      <c r="F5198" s="17"/>
    </row>
    <row r="5199">
      <c r="F5199" s="17"/>
    </row>
    <row r="5200">
      <c r="F5200" s="17"/>
    </row>
    <row r="5201">
      <c r="F5201" s="17"/>
    </row>
    <row r="5202">
      <c r="F5202" s="17"/>
    </row>
    <row r="5203">
      <c r="F5203" s="17"/>
    </row>
    <row r="5204">
      <c r="F5204" s="17"/>
    </row>
    <row r="5205">
      <c r="F5205" s="17"/>
    </row>
    <row r="5206">
      <c r="F5206" s="17"/>
    </row>
    <row r="5207">
      <c r="F5207" s="17"/>
    </row>
    <row r="5208">
      <c r="F5208" s="17"/>
    </row>
    <row r="5209">
      <c r="F5209" s="17"/>
    </row>
    <row r="5210">
      <c r="F5210" s="17"/>
    </row>
    <row r="5211">
      <c r="F5211" s="17"/>
    </row>
    <row r="5212">
      <c r="F5212" s="17"/>
    </row>
    <row r="5213">
      <c r="F5213" s="17"/>
    </row>
    <row r="5214">
      <c r="F5214" s="17"/>
    </row>
    <row r="5215">
      <c r="F5215" s="17"/>
    </row>
    <row r="5216">
      <c r="F5216" s="17"/>
    </row>
    <row r="5217">
      <c r="F5217" s="17"/>
    </row>
    <row r="5218">
      <c r="F5218" s="17"/>
    </row>
    <row r="5219">
      <c r="F5219" s="17"/>
    </row>
    <row r="5220">
      <c r="F5220" s="17"/>
    </row>
    <row r="5221">
      <c r="F5221" s="17"/>
    </row>
    <row r="5222">
      <c r="F5222" s="17"/>
    </row>
    <row r="5223">
      <c r="F5223" s="17"/>
    </row>
    <row r="5224">
      <c r="F5224" s="17"/>
    </row>
    <row r="5225">
      <c r="F5225" s="17"/>
    </row>
    <row r="5226">
      <c r="F5226" s="17"/>
    </row>
    <row r="5227">
      <c r="F5227" s="17"/>
    </row>
    <row r="5228">
      <c r="F5228" s="17"/>
    </row>
    <row r="5229">
      <c r="F5229" s="17"/>
    </row>
    <row r="5230">
      <c r="F5230" s="17"/>
    </row>
    <row r="5231">
      <c r="F5231" s="17"/>
    </row>
    <row r="5232">
      <c r="F5232" s="17"/>
    </row>
    <row r="5233">
      <c r="F5233" s="17"/>
    </row>
    <row r="5234">
      <c r="F5234" s="17"/>
    </row>
    <row r="5235">
      <c r="F5235" s="17"/>
    </row>
    <row r="5236">
      <c r="F5236" s="17"/>
    </row>
    <row r="5237">
      <c r="F5237" s="17"/>
    </row>
    <row r="5238">
      <c r="F5238" s="17"/>
    </row>
    <row r="5239">
      <c r="F5239" s="17"/>
    </row>
    <row r="5240">
      <c r="F5240" s="17"/>
    </row>
    <row r="5241">
      <c r="F5241" s="17"/>
    </row>
    <row r="5242">
      <c r="F5242" s="17"/>
    </row>
    <row r="5243">
      <c r="F5243" s="17"/>
    </row>
    <row r="5244">
      <c r="F5244" s="17"/>
    </row>
    <row r="5245">
      <c r="F5245" s="17"/>
    </row>
    <row r="5246">
      <c r="F5246" s="17"/>
    </row>
    <row r="5247">
      <c r="F5247" s="17"/>
    </row>
    <row r="5248">
      <c r="F5248" s="17"/>
    </row>
    <row r="5249">
      <c r="F5249" s="17"/>
    </row>
    <row r="5250">
      <c r="F5250" s="17"/>
    </row>
    <row r="5251">
      <c r="F5251" s="17"/>
    </row>
    <row r="5252">
      <c r="F5252" s="17"/>
    </row>
    <row r="5253">
      <c r="F5253" s="17"/>
    </row>
    <row r="5254">
      <c r="F5254" s="17"/>
    </row>
    <row r="5255">
      <c r="F5255" s="17"/>
    </row>
    <row r="5256">
      <c r="F5256" s="17"/>
    </row>
    <row r="5257">
      <c r="F5257" s="17"/>
    </row>
    <row r="5258">
      <c r="F5258" s="17"/>
    </row>
    <row r="5259">
      <c r="F5259" s="17"/>
    </row>
    <row r="5260">
      <c r="F5260" s="17"/>
    </row>
    <row r="5261">
      <c r="F5261" s="17"/>
    </row>
    <row r="5262">
      <c r="F5262" s="17"/>
    </row>
    <row r="5263">
      <c r="F5263" s="17"/>
    </row>
    <row r="5264">
      <c r="F5264" s="17"/>
    </row>
    <row r="5265">
      <c r="F5265" s="17"/>
    </row>
    <row r="5266">
      <c r="F5266" s="17"/>
    </row>
    <row r="5267">
      <c r="F5267" s="17"/>
    </row>
    <row r="5268">
      <c r="F5268" s="17"/>
    </row>
    <row r="5269">
      <c r="F5269" s="17"/>
    </row>
    <row r="5270">
      <c r="F5270" s="17"/>
    </row>
    <row r="5271">
      <c r="F5271" s="17"/>
    </row>
    <row r="5272">
      <c r="F5272" s="17"/>
    </row>
    <row r="5273">
      <c r="F5273" s="17"/>
    </row>
    <row r="5274">
      <c r="F5274" s="17"/>
    </row>
    <row r="5275">
      <c r="F5275" s="17"/>
    </row>
    <row r="5276">
      <c r="F5276" s="17"/>
    </row>
    <row r="5277">
      <c r="F5277" s="17"/>
    </row>
    <row r="5278">
      <c r="F5278" s="17"/>
    </row>
    <row r="5279">
      <c r="F5279" s="17"/>
    </row>
    <row r="5280">
      <c r="F5280" s="17"/>
    </row>
    <row r="5281">
      <c r="F5281" s="17"/>
    </row>
    <row r="5282">
      <c r="F5282" s="17"/>
    </row>
    <row r="5283">
      <c r="F5283" s="17"/>
    </row>
    <row r="5284">
      <c r="F5284" s="17"/>
    </row>
    <row r="5285">
      <c r="F5285" s="17"/>
    </row>
    <row r="5286">
      <c r="F5286" s="17"/>
    </row>
    <row r="5287">
      <c r="F5287" s="17"/>
    </row>
    <row r="5288">
      <c r="F5288" s="17"/>
    </row>
    <row r="5289">
      <c r="F5289" s="17"/>
    </row>
    <row r="5290">
      <c r="F5290" s="17"/>
    </row>
    <row r="5291">
      <c r="F5291" s="17"/>
    </row>
    <row r="5292">
      <c r="F5292" s="17"/>
    </row>
    <row r="5293">
      <c r="F5293" s="17"/>
    </row>
    <row r="5294">
      <c r="F5294" s="17"/>
    </row>
    <row r="5295">
      <c r="F5295" s="17"/>
    </row>
    <row r="5296">
      <c r="F5296" s="17"/>
    </row>
    <row r="5297">
      <c r="F5297" s="17"/>
    </row>
    <row r="5298">
      <c r="F5298" s="17"/>
    </row>
    <row r="5299">
      <c r="F5299" s="17"/>
    </row>
    <row r="5300">
      <c r="F5300" s="17"/>
    </row>
    <row r="5301">
      <c r="F5301" s="17"/>
    </row>
    <row r="5302">
      <c r="F5302" s="17"/>
    </row>
    <row r="5303">
      <c r="F5303" s="17"/>
    </row>
    <row r="5304">
      <c r="F5304" s="17"/>
    </row>
    <row r="5305">
      <c r="F5305" s="17"/>
    </row>
    <row r="5306">
      <c r="F5306" s="17"/>
    </row>
    <row r="5307">
      <c r="F5307" s="17"/>
    </row>
    <row r="5308">
      <c r="F5308" s="17"/>
    </row>
    <row r="5309">
      <c r="F5309" s="17"/>
    </row>
    <row r="5310">
      <c r="F5310" s="17"/>
    </row>
    <row r="5311">
      <c r="F5311" s="17"/>
    </row>
    <row r="5312">
      <c r="F5312" s="17"/>
    </row>
    <row r="5313">
      <c r="F5313" s="17"/>
    </row>
    <row r="5314">
      <c r="F5314" s="17"/>
    </row>
    <row r="5315">
      <c r="F5315" s="17"/>
    </row>
    <row r="5316">
      <c r="F5316" s="17"/>
    </row>
    <row r="5317">
      <c r="F5317" s="17"/>
    </row>
    <row r="5318">
      <c r="F5318" s="17"/>
    </row>
    <row r="5319">
      <c r="F5319" s="17"/>
    </row>
    <row r="5320">
      <c r="F5320" s="17"/>
    </row>
    <row r="5321">
      <c r="F5321" s="17"/>
    </row>
    <row r="5322">
      <c r="F5322" s="17"/>
    </row>
    <row r="5323">
      <c r="F5323" s="17"/>
    </row>
    <row r="5324">
      <c r="F5324" s="17"/>
    </row>
    <row r="5325">
      <c r="F5325" s="17"/>
    </row>
    <row r="5326">
      <c r="F5326" s="17"/>
    </row>
    <row r="5327">
      <c r="F5327" s="17"/>
    </row>
    <row r="5328">
      <c r="F5328" s="17"/>
    </row>
    <row r="5329">
      <c r="F5329" s="17"/>
    </row>
    <row r="5330">
      <c r="F5330" s="17"/>
    </row>
    <row r="5331">
      <c r="F5331" s="17"/>
    </row>
    <row r="5332">
      <c r="F5332" s="17"/>
    </row>
    <row r="5333">
      <c r="F5333" s="17"/>
    </row>
    <row r="5334">
      <c r="F5334" s="17"/>
    </row>
    <row r="5335">
      <c r="F5335" s="17"/>
    </row>
    <row r="5336">
      <c r="F5336" s="17"/>
    </row>
    <row r="5337">
      <c r="F5337" s="17"/>
    </row>
    <row r="5338">
      <c r="F5338" s="17"/>
    </row>
    <row r="5339">
      <c r="F5339" s="17"/>
    </row>
    <row r="5340">
      <c r="F5340" s="17"/>
    </row>
    <row r="5341">
      <c r="F5341" s="17"/>
    </row>
    <row r="5342">
      <c r="F5342" s="17"/>
    </row>
    <row r="5343">
      <c r="F5343" s="17"/>
    </row>
    <row r="5344">
      <c r="F5344" s="17"/>
    </row>
    <row r="5345">
      <c r="F5345" s="17"/>
    </row>
    <row r="5346">
      <c r="F5346" s="17"/>
    </row>
    <row r="5347">
      <c r="F5347" s="17"/>
    </row>
    <row r="5348">
      <c r="F5348" s="17"/>
    </row>
    <row r="5349">
      <c r="F5349" s="17"/>
    </row>
    <row r="5350">
      <c r="F5350" s="17"/>
    </row>
    <row r="5351">
      <c r="F5351" s="17"/>
    </row>
    <row r="5352">
      <c r="F5352" s="17"/>
    </row>
    <row r="5353">
      <c r="F5353" s="17"/>
    </row>
    <row r="5354">
      <c r="F5354" s="17"/>
    </row>
    <row r="5355">
      <c r="F5355" s="17"/>
    </row>
    <row r="5356">
      <c r="F5356" s="17"/>
    </row>
    <row r="5357">
      <c r="F5357" s="17"/>
    </row>
    <row r="5358">
      <c r="F5358" s="17"/>
    </row>
    <row r="5359">
      <c r="F5359" s="17"/>
    </row>
    <row r="5360">
      <c r="F5360" s="17"/>
    </row>
    <row r="5361">
      <c r="F5361" s="17"/>
    </row>
    <row r="5362">
      <c r="F5362" s="17"/>
    </row>
    <row r="5363">
      <c r="F5363" s="17"/>
    </row>
    <row r="5364">
      <c r="F5364" s="17"/>
    </row>
    <row r="5365">
      <c r="F5365" s="17"/>
    </row>
    <row r="5366">
      <c r="F5366" s="17"/>
    </row>
    <row r="5367">
      <c r="F5367" s="17"/>
    </row>
    <row r="5368">
      <c r="F5368" s="17"/>
    </row>
    <row r="5369">
      <c r="F5369" s="17"/>
    </row>
    <row r="5370">
      <c r="F5370" s="17"/>
    </row>
    <row r="5371">
      <c r="F5371" s="17"/>
    </row>
    <row r="5372">
      <c r="F5372" s="17"/>
    </row>
    <row r="5373">
      <c r="F5373" s="17"/>
    </row>
    <row r="5374">
      <c r="F5374" s="17"/>
    </row>
    <row r="5375">
      <c r="F5375" s="17"/>
    </row>
    <row r="5376">
      <c r="F5376" s="17"/>
    </row>
    <row r="5377">
      <c r="F5377" s="17"/>
    </row>
    <row r="5378">
      <c r="F5378" s="17"/>
    </row>
    <row r="5379">
      <c r="F5379" s="17"/>
    </row>
    <row r="5380">
      <c r="F5380" s="17"/>
    </row>
    <row r="5381">
      <c r="F5381" s="17"/>
    </row>
    <row r="5382">
      <c r="F5382" s="17"/>
    </row>
    <row r="5383">
      <c r="F5383" s="17"/>
    </row>
    <row r="5384">
      <c r="F5384" s="17"/>
    </row>
    <row r="5385">
      <c r="F5385" s="17"/>
    </row>
    <row r="5386">
      <c r="F5386" s="17"/>
    </row>
    <row r="5387">
      <c r="F5387" s="17"/>
    </row>
    <row r="5388">
      <c r="F5388" s="17"/>
    </row>
    <row r="5389">
      <c r="F5389" s="17"/>
    </row>
    <row r="5390">
      <c r="F5390" s="17"/>
    </row>
    <row r="5391">
      <c r="F5391" s="17"/>
    </row>
    <row r="5392">
      <c r="F5392" s="17"/>
    </row>
    <row r="5393">
      <c r="F5393" s="17"/>
    </row>
    <row r="5394">
      <c r="F5394" s="17"/>
    </row>
    <row r="5395">
      <c r="F5395" s="17"/>
    </row>
    <row r="5396">
      <c r="F5396" s="17"/>
    </row>
    <row r="5397">
      <c r="F5397" s="17"/>
    </row>
    <row r="5398">
      <c r="F5398" s="17"/>
    </row>
    <row r="5399">
      <c r="F5399" s="17"/>
    </row>
    <row r="5400">
      <c r="F5400" s="17"/>
    </row>
    <row r="5401">
      <c r="F5401" s="17"/>
    </row>
    <row r="5402">
      <c r="F5402" s="17"/>
    </row>
    <row r="5403">
      <c r="F5403" s="17"/>
    </row>
    <row r="5404">
      <c r="F5404" s="17"/>
    </row>
    <row r="5405">
      <c r="F5405" s="17"/>
    </row>
    <row r="5406">
      <c r="F5406" s="17"/>
    </row>
    <row r="5407">
      <c r="F5407" s="17"/>
    </row>
    <row r="5408">
      <c r="F5408" s="17"/>
    </row>
    <row r="5409">
      <c r="F5409" s="17"/>
    </row>
    <row r="5410">
      <c r="F5410" s="17"/>
    </row>
    <row r="5411">
      <c r="F5411" s="17"/>
    </row>
    <row r="5412">
      <c r="F5412" s="17"/>
    </row>
    <row r="5413">
      <c r="F5413" s="17"/>
    </row>
    <row r="5414">
      <c r="F5414" s="17"/>
    </row>
    <row r="5415">
      <c r="F5415" s="17"/>
    </row>
    <row r="5416">
      <c r="F5416" s="17"/>
    </row>
    <row r="5417">
      <c r="F5417" s="17"/>
    </row>
    <row r="5418">
      <c r="F5418" s="17"/>
    </row>
    <row r="5419">
      <c r="F5419" s="17"/>
    </row>
    <row r="5420">
      <c r="F5420" s="17"/>
    </row>
    <row r="5421">
      <c r="F5421" s="17"/>
    </row>
    <row r="5422">
      <c r="F5422" s="17"/>
    </row>
    <row r="5423">
      <c r="F5423" s="17"/>
    </row>
    <row r="5424">
      <c r="F5424" s="17"/>
    </row>
    <row r="5425">
      <c r="F5425" s="17"/>
    </row>
    <row r="5426">
      <c r="F5426" s="17"/>
    </row>
    <row r="5427">
      <c r="F5427" s="17"/>
    </row>
    <row r="5428">
      <c r="F5428" s="17"/>
    </row>
    <row r="5429">
      <c r="F5429" s="17"/>
    </row>
    <row r="5430">
      <c r="F5430" s="17"/>
    </row>
    <row r="5431">
      <c r="F5431" s="17"/>
    </row>
    <row r="5432">
      <c r="F5432" s="17"/>
    </row>
    <row r="5433">
      <c r="F5433" s="17"/>
    </row>
    <row r="5434">
      <c r="F5434" s="17"/>
    </row>
    <row r="5435">
      <c r="F5435" s="17"/>
    </row>
    <row r="5436">
      <c r="F5436" s="17"/>
    </row>
    <row r="5437">
      <c r="F5437" s="17"/>
    </row>
    <row r="5438">
      <c r="F5438" s="17"/>
    </row>
    <row r="5439">
      <c r="F5439" s="17"/>
    </row>
    <row r="5440">
      <c r="F5440" s="17"/>
    </row>
    <row r="5441">
      <c r="F5441" s="17"/>
    </row>
    <row r="5442">
      <c r="F5442" s="17"/>
    </row>
    <row r="5443">
      <c r="F5443" s="17"/>
    </row>
    <row r="5444">
      <c r="F5444" s="17"/>
    </row>
    <row r="5445">
      <c r="F5445" s="17"/>
    </row>
    <row r="5446">
      <c r="F5446" s="17"/>
    </row>
    <row r="5447">
      <c r="F5447" s="17"/>
    </row>
    <row r="5448">
      <c r="F5448" s="17"/>
    </row>
    <row r="5449">
      <c r="F5449" s="17"/>
    </row>
    <row r="5450">
      <c r="F5450" s="17"/>
    </row>
    <row r="5451">
      <c r="F5451" s="17"/>
    </row>
    <row r="5452">
      <c r="F5452" s="17"/>
    </row>
    <row r="5453">
      <c r="F5453" s="17"/>
    </row>
    <row r="5454">
      <c r="F5454" s="17"/>
    </row>
    <row r="5455">
      <c r="F5455" s="17"/>
    </row>
    <row r="5456">
      <c r="F5456" s="17"/>
    </row>
    <row r="5457">
      <c r="F5457" s="17"/>
    </row>
    <row r="5458">
      <c r="F5458" s="17"/>
    </row>
    <row r="5459">
      <c r="F5459" s="17"/>
    </row>
    <row r="5460">
      <c r="F5460" s="17"/>
    </row>
    <row r="5461">
      <c r="F5461" s="17"/>
    </row>
    <row r="5462">
      <c r="F5462" s="17"/>
    </row>
    <row r="5463">
      <c r="F5463" s="17"/>
    </row>
    <row r="5464">
      <c r="F5464" s="17"/>
    </row>
    <row r="5465">
      <c r="F5465" s="17"/>
    </row>
    <row r="5466">
      <c r="F5466" s="17"/>
    </row>
    <row r="5467">
      <c r="F5467" s="17"/>
    </row>
    <row r="5468">
      <c r="F5468" s="17"/>
    </row>
    <row r="5469">
      <c r="F5469" s="17"/>
    </row>
    <row r="5470">
      <c r="F5470" s="17"/>
    </row>
    <row r="5471">
      <c r="F5471" s="17"/>
    </row>
    <row r="5472">
      <c r="F5472" s="17"/>
    </row>
    <row r="5473">
      <c r="F5473" s="17"/>
    </row>
    <row r="5474">
      <c r="F5474" s="17"/>
    </row>
    <row r="5475">
      <c r="F5475" s="17"/>
    </row>
    <row r="5476">
      <c r="F5476" s="17"/>
    </row>
    <row r="5477">
      <c r="F5477" s="17"/>
    </row>
    <row r="5478">
      <c r="F5478" s="17"/>
    </row>
    <row r="5479">
      <c r="F5479" s="17"/>
    </row>
    <row r="5480">
      <c r="F5480" s="17"/>
    </row>
    <row r="5481">
      <c r="F5481" s="17"/>
    </row>
    <row r="5482">
      <c r="F5482" s="17"/>
    </row>
    <row r="5483">
      <c r="F5483" s="17"/>
    </row>
    <row r="5484">
      <c r="F5484" s="17"/>
    </row>
    <row r="5485">
      <c r="F5485" s="17"/>
    </row>
    <row r="5486">
      <c r="F5486" s="17"/>
    </row>
    <row r="5487">
      <c r="F5487" s="17"/>
    </row>
    <row r="5488">
      <c r="F5488" s="17"/>
    </row>
    <row r="5489">
      <c r="F5489" s="17"/>
    </row>
    <row r="5490">
      <c r="F5490" s="17"/>
    </row>
    <row r="5491">
      <c r="F5491" s="17"/>
    </row>
    <row r="5492">
      <c r="F5492" s="17"/>
    </row>
    <row r="5493">
      <c r="F5493" s="17"/>
    </row>
    <row r="5494">
      <c r="F5494" s="17"/>
    </row>
    <row r="5495">
      <c r="F5495" s="17"/>
    </row>
    <row r="5496">
      <c r="F5496" s="17"/>
    </row>
    <row r="5497">
      <c r="F5497" s="17"/>
    </row>
    <row r="5498">
      <c r="F5498" s="17"/>
    </row>
    <row r="5499">
      <c r="F5499" s="17"/>
    </row>
    <row r="5500">
      <c r="F5500" s="17"/>
    </row>
    <row r="5501">
      <c r="F5501" s="17"/>
    </row>
    <row r="5502">
      <c r="F5502" s="17"/>
    </row>
    <row r="5503">
      <c r="F5503" s="17"/>
    </row>
    <row r="5504">
      <c r="F5504" s="17"/>
    </row>
    <row r="5505">
      <c r="F5505" s="17"/>
    </row>
    <row r="5506">
      <c r="F5506" s="17"/>
    </row>
    <row r="5507">
      <c r="F5507" s="17"/>
    </row>
    <row r="5508">
      <c r="F5508" s="17"/>
    </row>
    <row r="5509">
      <c r="F5509" s="17"/>
    </row>
    <row r="5510">
      <c r="F5510" s="17"/>
    </row>
    <row r="5511">
      <c r="F5511" s="17"/>
    </row>
    <row r="5512">
      <c r="F5512" s="17"/>
    </row>
    <row r="5513">
      <c r="F5513" s="17"/>
    </row>
    <row r="5514">
      <c r="F5514" s="17"/>
    </row>
    <row r="5515">
      <c r="F5515" s="17"/>
    </row>
    <row r="5516">
      <c r="F5516" s="17"/>
    </row>
    <row r="5517">
      <c r="F5517" s="17"/>
    </row>
    <row r="5518">
      <c r="F5518" s="17"/>
    </row>
    <row r="5519">
      <c r="F5519" s="17"/>
    </row>
    <row r="5520">
      <c r="F5520" s="17"/>
    </row>
    <row r="5521">
      <c r="F5521" s="17"/>
    </row>
    <row r="5522">
      <c r="F5522" s="17"/>
    </row>
    <row r="5523">
      <c r="F5523" s="17"/>
    </row>
    <row r="5524">
      <c r="F5524" s="17"/>
    </row>
    <row r="5525">
      <c r="F5525" s="17"/>
    </row>
    <row r="5526">
      <c r="F5526" s="17"/>
    </row>
    <row r="5527">
      <c r="F5527" s="17"/>
    </row>
    <row r="5528">
      <c r="F5528" s="17"/>
    </row>
    <row r="5529">
      <c r="F5529" s="17"/>
    </row>
    <row r="5530">
      <c r="F5530" s="17"/>
    </row>
    <row r="5531">
      <c r="F5531" s="17"/>
    </row>
    <row r="5532">
      <c r="F5532" s="17"/>
    </row>
    <row r="5533">
      <c r="F5533" s="17"/>
    </row>
    <row r="5534">
      <c r="F5534" s="17"/>
    </row>
    <row r="5535">
      <c r="F5535" s="17"/>
    </row>
    <row r="5536">
      <c r="F5536" s="17"/>
    </row>
    <row r="5537">
      <c r="F5537" s="17"/>
    </row>
    <row r="5538">
      <c r="F5538" s="17"/>
    </row>
    <row r="5539">
      <c r="F5539" s="17"/>
    </row>
    <row r="5540">
      <c r="F5540" s="17"/>
    </row>
    <row r="5541">
      <c r="F5541" s="17"/>
    </row>
    <row r="5542">
      <c r="F5542" s="17"/>
    </row>
    <row r="5543">
      <c r="F5543" s="17"/>
    </row>
    <row r="5544">
      <c r="F5544" s="17"/>
    </row>
    <row r="5545">
      <c r="F5545" s="17"/>
    </row>
    <row r="5546">
      <c r="F5546" s="17"/>
    </row>
    <row r="5547">
      <c r="F5547" s="17"/>
    </row>
    <row r="5548">
      <c r="F5548" s="17"/>
    </row>
    <row r="5549">
      <c r="F5549" s="17"/>
    </row>
    <row r="5550">
      <c r="F5550" s="17"/>
    </row>
    <row r="5551">
      <c r="F5551" s="17"/>
    </row>
    <row r="5552">
      <c r="F5552" s="17"/>
    </row>
    <row r="5553">
      <c r="F5553" s="17"/>
    </row>
    <row r="5554">
      <c r="F5554" s="17"/>
    </row>
    <row r="5555">
      <c r="F5555" s="17"/>
    </row>
    <row r="5556">
      <c r="F5556" s="17"/>
    </row>
    <row r="5557">
      <c r="F5557" s="17"/>
    </row>
    <row r="5558">
      <c r="F5558" s="17"/>
    </row>
    <row r="5559">
      <c r="F5559" s="17"/>
    </row>
    <row r="5560">
      <c r="F5560" s="17"/>
    </row>
    <row r="5561">
      <c r="F5561" s="17"/>
    </row>
    <row r="5562">
      <c r="F5562" s="17"/>
    </row>
    <row r="5563">
      <c r="F5563" s="17"/>
    </row>
    <row r="5564">
      <c r="F5564" s="17"/>
    </row>
    <row r="5565">
      <c r="F5565" s="17"/>
    </row>
    <row r="5566">
      <c r="F5566" s="17"/>
    </row>
    <row r="5567">
      <c r="F5567" s="17"/>
    </row>
    <row r="5568">
      <c r="F5568" s="17"/>
    </row>
    <row r="5569">
      <c r="F5569" s="17"/>
    </row>
    <row r="5570">
      <c r="F5570" s="17"/>
    </row>
    <row r="5571">
      <c r="F5571" s="17"/>
    </row>
    <row r="5572">
      <c r="F5572" s="17"/>
    </row>
    <row r="5573">
      <c r="F5573" s="17"/>
    </row>
    <row r="5574">
      <c r="F5574" s="17"/>
    </row>
    <row r="5575">
      <c r="F5575" s="17"/>
    </row>
    <row r="5576">
      <c r="F5576" s="17"/>
    </row>
    <row r="5577">
      <c r="F5577" s="17"/>
    </row>
    <row r="5578">
      <c r="F5578" s="17"/>
    </row>
    <row r="5579">
      <c r="F5579" s="17"/>
    </row>
    <row r="5580">
      <c r="F5580" s="17"/>
    </row>
    <row r="5581">
      <c r="F5581" s="17"/>
    </row>
    <row r="5582">
      <c r="F5582" s="17"/>
    </row>
    <row r="5583">
      <c r="F5583" s="17"/>
    </row>
    <row r="5584">
      <c r="F5584" s="17"/>
    </row>
    <row r="5585">
      <c r="F5585" s="17"/>
    </row>
    <row r="5586">
      <c r="F5586" s="17"/>
    </row>
    <row r="5587">
      <c r="F5587" s="17"/>
    </row>
    <row r="5588">
      <c r="F5588" s="17"/>
    </row>
    <row r="5589">
      <c r="F5589" s="17"/>
    </row>
    <row r="5590">
      <c r="F5590" s="17"/>
    </row>
    <row r="5591">
      <c r="F5591" s="17"/>
    </row>
    <row r="5592">
      <c r="F5592" s="17"/>
    </row>
    <row r="5593">
      <c r="F5593" s="17"/>
    </row>
    <row r="5594">
      <c r="F5594" s="17"/>
    </row>
    <row r="5595">
      <c r="F5595" s="17"/>
    </row>
    <row r="5596">
      <c r="F5596" s="17"/>
    </row>
    <row r="5597">
      <c r="F5597" s="17"/>
    </row>
    <row r="5598">
      <c r="F5598" s="17"/>
    </row>
    <row r="5599">
      <c r="F5599" s="17"/>
    </row>
    <row r="5600">
      <c r="F5600" s="17"/>
    </row>
    <row r="5601">
      <c r="F5601" s="17"/>
    </row>
    <row r="5602">
      <c r="F5602" s="17"/>
    </row>
    <row r="5603">
      <c r="F5603" s="17"/>
    </row>
    <row r="5604">
      <c r="F5604" s="17"/>
    </row>
    <row r="5605">
      <c r="F5605" s="17"/>
    </row>
    <row r="5606">
      <c r="F5606" s="17"/>
    </row>
    <row r="5607">
      <c r="F5607" s="17"/>
    </row>
    <row r="5608">
      <c r="F5608" s="17"/>
    </row>
    <row r="5609">
      <c r="F5609" s="17"/>
    </row>
    <row r="5610">
      <c r="F5610" s="17"/>
    </row>
    <row r="5611">
      <c r="F5611" s="17"/>
    </row>
    <row r="5612">
      <c r="F5612" s="17"/>
    </row>
    <row r="5613">
      <c r="F5613" s="17"/>
    </row>
    <row r="5614">
      <c r="F5614" s="17"/>
    </row>
    <row r="5615">
      <c r="F5615" s="17"/>
    </row>
    <row r="5616">
      <c r="F5616" s="17"/>
    </row>
    <row r="5617">
      <c r="F5617" s="17"/>
    </row>
    <row r="5618">
      <c r="F5618" s="17"/>
    </row>
    <row r="5619">
      <c r="F5619" s="17"/>
    </row>
    <row r="5620">
      <c r="F5620" s="17"/>
    </row>
    <row r="5621">
      <c r="F5621" s="17"/>
    </row>
    <row r="5622">
      <c r="F5622" s="17"/>
    </row>
    <row r="5623">
      <c r="F5623" s="17"/>
    </row>
    <row r="5624">
      <c r="F5624" s="17"/>
    </row>
    <row r="5625">
      <c r="F5625" s="17"/>
    </row>
    <row r="5626">
      <c r="F5626" s="17"/>
    </row>
    <row r="5627">
      <c r="F5627" s="17"/>
    </row>
    <row r="5628">
      <c r="F5628" s="17"/>
    </row>
    <row r="5629">
      <c r="F5629" s="17"/>
    </row>
    <row r="5630">
      <c r="F5630" s="17"/>
    </row>
    <row r="5631">
      <c r="F5631" s="17"/>
    </row>
    <row r="5632">
      <c r="F5632" s="17"/>
    </row>
    <row r="5633">
      <c r="F5633" s="17"/>
    </row>
    <row r="5634">
      <c r="F5634" s="17"/>
    </row>
    <row r="5635">
      <c r="F5635" s="17"/>
    </row>
    <row r="5636">
      <c r="F5636" s="17"/>
    </row>
    <row r="5637">
      <c r="F5637" s="17"/>
    </row>
    <row r="5638">
      <c r="F5638" s="17"/>
    </row>
    <row r="5639">
      <c r="F5639" s="17"/>
    </row>
    <row r="5640">
      <c r="F5640" s="17"/>
    </row>
    <row r="5641">
      <c r="F5641" s="17"/>
    </row>
    <row r="5642">
      <c r="F5642" s="17"/>
    </row>
    <row r="5643">
      <c r="F5643" s="17"/>
    </row>
    <row r="5644">
      <c r="F5644" s="17"/>
    </row>
    <row r="5645">
      <c r="F5645" s="17"/>
    </row>
    <row r="5646">
      <c r="F5646" s="17"/>
    </row>
    <row r="5647">
      <c r="F5647" s="17"/>
    </row>
    <row r="5648">
      <c r="F5648" s="17"/>
    </row>
    <row r="5649">
      <c r="F5649" s="17"/>
    </row>
    <row r="5650">
      <c r="F5650" s="17"/>
    </row>
    <row r="5651">
      <c r="F5651" s="17"/>
    </row>
    <row r="5652">
      <c r="F5652" s="17"/>
    </row>
    <row r="5653">
      <c r="F5653" s="17"/>
    </row>
    <row r="5654">
      <c r="F5654" s="17"/>
    </row>
    <row r="5655">
      <c r="F5655" s="17"/>
    </row>
    <row r="5656">
      <c r="F5656" s="17"/>
    </row>
    <row r="5657">
      <c r="F5657" s="17"/>
    </row>
    <row r="5658">
      <c r="F5658" s="17"/>
    </row>
    <row r="5659">
      <c r="F5659" s="17"/>
    </row>
    <row r="5660">
      <c r="F5660" s="17"/>
    </row>
    <row r="5661">
      <c r="F5661" s="17"/>
    </row>
    <row r="5662">
      <c r="F5662" s="17"/>
    </row>
    <row r="5663">
      <c r="F5663" s="17"/>
    </row>
    <row r="5664">
      <c r="F5664" s="17"/>
    </row>
    <row r="5665">
      <c r="F5665" s="17"/>
    </row>
    <row r="5666">
      <c r="F5666" s="17"/>
    </row>
    <row r="5667">
      <c r="F5667" s="17"/>
    </row>
    <row r="5668">
      <c r="F5668" s="17"/>
    </row>
    <row r="5669">
      <c r="F5669" s="17"/>
    </row>
    <row r="5670">
      <c r="F5670" s="17"/>
    </row>
    <row r="5671">
      <c r="F5671" s="17"/>
    </row>
    <row r="5672">
      <c r="F5672" s="17"/>
    </row>
    <row r="5673">
      <c r="F5673" s="17"/>
    </row>
    <row r="5674">
      <c r="F5674" s="17"/>
    </row>
    <row r="5675">
      <c r="F5675" s="17"/>
    </row>
    <row r="5676">
      <c r="F5676" s="17"/>
    </row>
    <row r="5677">
      <c r="F5677" s="17"/>
    </row>
    <row r="5678">
      <c r="F5678" s="17"/>
    </row>
    <row r="5679">
      <c r="F5679" s="17"/>
    </row>
    <row r="5680">
      <c r="F5680" s="17"/>
    </row>
    <row r="5681">
      <c r="F5681" s="17"/>
    </row>
    <row r="5682">
      <c r="F5682" s="17"/>
    </row>
    <row r="5683">
      <c r="F5683" s="17"/>
    </row>
    <row r="5684">
      <c r="F5684" s="17"/>
    </row>
    <row r="5685">
      <c r="F5685" s="17"/>
    </row>
    <row r="5686">
      <c r="F5686" s="17"/>
    </row>
    <row r="5687">
      <c r="F5687" s="17"/>
    </row>
    <row r="5688">
      <c r="F5688" s="17"/>
    </row>
    <row r="5689">
      <c r="F5689" s="17"/>
    </row>
    <row r="5690">
      <c r="F5690" s="17"/>
    </row>
    <row r="5691">
      <c r="F5691" s="17"/>
    </row>
    <row r="5692">
      <c r="F5692" s="17"/>
    </row>
    <row r="5693">
      <c r="F5693" s="17"/>
    </row>
    <row r="5694">
      <c r="F5694" s="17"/>
    </row>
    <row r="5695">
      <c r="F5695" s="17"/>
    </row>
    <row r="5696">
      <c r="F5696" s="17"/>
    </row>
    <row r="5697">
      <c r="F5697" s="17"/>
    </row>
    <row r="5698">
      <c r="F5698" s="17"/>
    </row>
    <row r="5699">
      <c r="F5699" s="17"/>
    </row>
    <row r="5700">
      <c r="F5700" s="17"/>
    </row>
    <row r="5701">
      <c r="F5701" s="17"/>
    </row>
    <row r="5702">
      <c r="F5702" s="17"/>
    </row>
    <row r="5703">
      <c r="F5703" s="17"/>
    </row>
    <row r="5704">
      <c r="F5704" s="17"/>
    </row>
    <row r="5705">
      <c r="F5705" s="17"/>
    </row>
    <row r="5706">
      <c r="F5706" s="17"/>
    </row>
    <row r="5707">
      <c r="F5707" s="17"/>
    </row>
    <row r="5708">
      <c r="F5708" s="17"/>
    </row>
    <row r="5709">
      <c r="F5709" s="17"/>
    </row>
    <row r="5710">
      <c r="F5710" s="17"/>
    </row>
    <row r="5711">
      <c r="F5711" s="17"/>
    </row>
    <row r="5712">
      <c r="F5712" s="17"/>
    </row>
    <row r="5713">
      <c r="F5713" s="17"/>
    </row>
    <row r="5714">
      <c r="F5714" s="17"/>
    </row>
    <row r="5715">
      <c r="F5715" s="17"/>
    </row>
    <row r="5716">
      <c r="F5716" s="17"/>
    </row>
    <row r="5717">
      <c r="F5717" s="17"/>
    </row>
    <row r="5718">
      <c r="F5718" s="17"/>
    </row>
    <row r="5719">
      <c r="F5719" s="17"/>
    </row>
    <row r="5720">
      <c r="F5720" s="17"/>
    </row>
    <row r="5721">
      <c r="F5721" s="17"/>
    </row>
    <row r="5722">
      <c r="F5722" s="17"/>
    </row>
    <row r="5723">
      <c r="F5723" s="17"/>
    </row>
    <row r="5724">
      <c r="F5724" s="17"/>
    </row>
    <row r="5725">
      <c r="F5725" s="17"/>
    </row>
    <row r="5726">
      <c r="F5726" s="17"/>
    </row>
    <row r="5727">
      <c r="F5727" s="17"/>
    </row>
    <row r="5728">
      <c r="F5728" s="17"/>
    </row>
    <row r="5729">
      <c r="F5729" s="17"/>
    </row>
    <row r="5730">
      <c r="F5730" s="17"/>
    </row>
    <row r="5731">
      <c r="F5731" s="17"/>
    </row>
    <row r="5732">
      <c r="F5732" s="17"/>
    </row>
    <row r="5733">
      <c r="F5733" s="17"/>
    </row>
    <row r="5734">
      <c r="F5734" s="17"/>
    </row>
    <row r="5735">
      <c r="F5735" s="17"/>
    </row>
    <row r="5736">
      <c r="F5736" s="17"/>
    </row>
    <row r="5737">
      <c r="F5737" s="17"/>
    </row>
    <row r="5738">
      <c r="F5738" s="17"/>
    </row>
    <row r="5739">
      <c r="F5739" s="17"/>
    </row>
    <row r="5740">
      <c r="F5740" s="17"/>
    </row>
    <row r="5741">
      <c r="F5741" s="17"/>
    </row>
    <row r="5742">
      <c r="F5742" s="17"/>
    </row>
    <row r="5743">
      <c r="F5743" s="17"/>
    </row>
    <row r="5744">
      <c r="F5744" s="17"/>
    </row>
    <row r="5745">
      <c r="F5745" s="17"/>
    </row>
    <row r="5746">
      <c r="F5746" s="17"/>
    </row>
    <row r="5747">
      <c r="F5747" s="17"/>
    </row>
    <row r="5748">
      <c r="F5748" s="17"/>
    </row>
    <row r="5749">
      <c r="F5749" s="17"/>
    </row>
    <row r="5750">
      <c r="F5750" s="17"/>
    </row>
    <row r="5751">
      <c r="F5751" s="17"/>
    </row>
    <row r="5752">
      <c r="F5752" s="17"/>
    </row>
    <row r="5753">
      <c r="F5753" s="17"/>
    </row>
    <row r="5754">
      <c r="F5754" s="17"/>
    </row>
    <row r="5755">
      <c r="F5755" s="17"/>
    </row>
    <row r="5756">
      <c r="F5756" s="17"/>
    </row>
    <row r="5757">
      <c r="F5757" s="17"/>
    </row>
    <row r="5758">
      <c r="F5758" s="17"/>
    </row>
    <row r="5759">
      <c r="F5759" s="17"/>
    </row>
    <row r="5760">
      <c r="F5760" s="17"/>
    </row>
    <row r="5761">
      <c r="F5761" s="17"/>
    </row>
    <row r="5762">
      <c r="F5762" s="17"/>
    </row>
    <row r="5763">
      <c r="F5763" s="17"/>
    </row>
    <row r="5764">
      <c r="F5764" s="17"/>
    </row>
    <row r="5765">
      <c r="F5765" s="17"/>
    </row>
    <row r="5766">
      <c r="F5766" s="17"/>
    </row>
    <row r="5767">
      <c r="F5767" s="17"/>
    </row>
    <row r="5768">
      <c r="F5768" s="17"/>
    </row>
    <row r="5769">
      <c r="F5769" s="17"/>
    </row>
    <row r="5770">
      <c r="F5770" s="17"/>
    </row>
    <row r="5771">
      <c r="F5771" s="17"/>
    </row>
    <row r="5772">
      <c r="F5772" s="17"/>
    </row>
    <row r="5773">
      <c r="F5773" s="17"/>
    </row>
    <row r="5774">
      <c r="F5774" s="17"/>
    </row>
    <row r="5775">
      <c r="F5775" s="17"/>
    </row>
    <row r="5776">
      <c r="F5776" s="17"/>
    </row>
    <row r="5777">
      <c r="F5777" s="17"/>
    </row>
    <row r="5778">
      <c r="F5778" s="17"/>
    </row>
    <row r="5779">
      <c r="F5779" s="17"/>
    </row>
    <row r="5780">
      <c r="F5780" s="17"/>
    </row>
    <row r="5781">
      <c r="F5781" s="17"/>
    </row>
    <row r="5782">
      <c r="F5782" s="17"/>
    </row>
    <row r="5783">
      <c r="F5783" s="17"/>
    </row>
    <row r="5784">
      <c r="F5784" s="17"/>
    </row>
    <row r="5785">
      <c r="F5785" s="17"/>
    </row>
    <row r="5786">
      <c r="F5786" s="17"/>
    </row>
    <row r="5787">
      <c r="F5787" s="17"/>
    </row>
    <row r="5788">
      <c r="F5788" s="17"/>
    </row>
    <row r="5789">
      <c r="F5789" s="17"/>
    </row>
    <row r="5790">
      <c r="F5790" s="17"/>
    </row>
    <row r="5791">
      <c r="F5791" s="17"/>
    </row>
    <row r="5792">
      <c r="F5792" s="17"/>
    </row>
    <row r="5793">
      <c r="F5793" s="17"/>
    </row>
    <row r="5794">
      <c r="F5794" s="17"/>
    </row>
    <row r="5795">
      <c r="F5795" s="17"/>
    </row>
    <row r="5796">
      <c r="F5796" s="17"/>
    </row>
    <row r="5797">
      <c r="F5797" s="17"/>
    </row>
    <row r="5798">
      <c r="F5798" s="17"/>
    </row>
    <row r="5799">
      <c r="F5799" s="17"/>
    </row>
    <row r="5800">
      <c r="F5800" s="17"/>
    </row>
    <row r="5801">
      <c r="F5801" s="17"/>
    </row>
    <row r="5802">
      <c r="F5802" s="17"/>
    </row>
    <row r="5803">
      <c r="F5803" s="17"/>
    </row>
    <row r="5804">
      <c r="F5804" s="17"/>
    </row>
    <row r="5805">
      <c r="F5805" s="17"/>
    </row>
    <row r="5806">
      <c r="F5806" s="17"/>
    </row>
    <row r="5807">
      <c r="F5807" s="17"/>
    </row>
    <row r="5808">
      <c r="F5808" s="17"/>
    </row>
    <row r="5809">
      <c r="F5809" s="17"/>
    </row>
    <row r="5810">
      <c r="F5810" s="17"/>
    </row>
    <row r="5811">
      <c r="F5811" s="17"/>
    </row>
    <row r="5812">
      <c r="F5812" s="17"/>
    </row>
    <row r="5813">
      <c r="F5813" s="17"/>
    </row>
    <row r="5814">
      <c r="F5814" s="17"/>
    </row>
    <row r="5815">
      <c r="F5815" s="17"/>
    </row>
    <row r="5816">
      <c r="F5816" s="17"/>
    </row>
    <row r="5817">
      <c r="F5817" s="17"/>
    </row>
    <row r="5818">
      <c r="F5818" s="17"/>
    </row>
    <row r="5819">
      <c r="F5819" s="17"/>
    </row>
    <row r="5820">
      <c r="F5820" s="17"/>
    </row>
    <row r="5821">
      <c r="F5821" s="17"/>
    </row>
    <row r="5822">
      <c r="F5822" s="17"/>
    </row>
    <row r="5823">
      <c r="F5823" s="17"/>
    </row>
    <row r="5824">
      <c r="F5824" s="17"/>
    </row>
    <row r="5825">
      <c r="F5825" s="17"/>
    </row>
    <row r="5826">
      <c r="F5826" s="17"/>
    </row>
    <row r="5827">
      <c r="F5827" s="17"/>
    </row>
    <row r="5828">
      <c r="F5828" s="17"/>
    </row>
    <row r="5829">
      <c r="F5829" s="17"/>
    </row>
    <row r="5830">
      <c r="F5830" s="17"/>
    </row>
    <row r="5831">
      <c r="F5831" s="17"/>
    </row>
    <row r="5832">
      <c r="F5832" s="17"/>
    </row>
    <row r="5833">
      <c r="F5833" s="17"/>
    </row>
    <row r="5834">
      <c r="F5834" s="17"/>
    </row>
    <row r="5835">
      <c r="F5835" s="17"/>
    </row>
    <row r="5836">
      <c r="F5836" s="17"/>
    </row>
    <row r="5837">
      <c r="F5837" s="17"/>
    </row>
    <row r="5838">
      <c r="F5838" s="17"/>
    </row>
    <row r="5839">
      <c r="F5839" s="17"/>
    </row>
    <row r="5840">
      <c r="F5840" s="17"/>
    </row>
    <row r="5841">
      <c r="F5841" s="17"/>
    </row>
    <row r="5842">
      <c r="F5842" s="17"/>
    </row>
    <row r="5843">
      <c r="F5843" s="17"/>
    </row>
    <row r="5844">
      <c r="F5844" s="17"/>
    </row>
    <row r="5845">
      <c r="F5845" s="17"/>
    </row>
    <row r="5846">
      <c r="F5846" s="17"/>
    </row>
    <row r="5847">
      <c r="F5847" s="17"/>
    </row>
    <row r="5848">
      <c r="F5848" s="17"/>
    </row>
    <row r="5849">
      <c r="F5849" s="17"/>
    </row>
    <row r="5850">
      <c r="F5850" s="17"/>
    </row>
    <row r="5851">
      <c r="F5851" s="17"/>
    </row>
    <row r="5852">
      <c r="F5852" s="17"/>
    </row>
    <row r="5853">
      <c r="F5853" s="17"/>
    </row>
    <row r="5854">
      <c r="F5854" s="17"/>
    </row>
    <row r="5855">
      <c r="F5855" s="17"/>
    </row>
    <row r="5856">
      <c r="F5856" s="17"/>
    </row>
    <row r="5857">
      <c r="F5857" s="17"/>
    </row>
    <row r="5858">
      <c r="F5858" s="17"/>
    </row>
    <row r="5859">
      <c r="F5859" s="17"/>
    </row>
    <row r="5860">
      <c r="F5860" s="17"/>
    </row>
    <row r="5861">
      <c r="F5861" s="17"/>
    </row>
    <row r="5862">
      <c r="F5862" s="17"/>
    </row>
    <row r="5863">
      <c r="F5863" s="17"/>
    </row>
    <row r="5864">
      <c r="F5864" s="17"/>
    </row>
    <row r="5865">
      <c r="F5865" s="17"/>
    </row>
    <row r="5866">
      <c r="F5866" s="17"/>
    </row>
    <row r="5867">
      <c r="F5867" s="17"/>
    </row>
    <row r="5868">
      <c r="F5868" s="17"/>
    </row>
    <row r="5869">
      <c r="F5869" s="17"/>
    </row>
    <row r="5870">
      <c r="F5870" s="17"/>
    </row>
    <row r="5871">
      <c r="F5871" s="17"/>
    </row>
    <row r="5872">
      <c r="F5872" s="17"/>
    </row>
    <row r="5873">
      <c r="F5873" s="17"/>
    </row>
    <row r="5874">
      <c r="F5874" s="17"/>
    </row>
    <row r="5875">
      <c r="F5875" s="17"/>
    </row>
    <row r="5876">
      <c r="F5876" s="17"/>
    </row>
    <row r="5877">
      <c r="F5877" s="17"/>
    </row>
    <row r="5878">
      <c r="F5878" s="17"/>
    </row>
    <row r="5879">
      <c r="F5879" s="17"/>
    </row>
    <row r="5880">
      <c r="F5880" s="17"/>
    </row>
    <row r="5881">
      <c r="F5881" s="17"/>
    </row>
    <row r="5882">
      <c r="F5882" s="17"/>
    </row>
    <row r="5883">
      <c r="F5883" s="17"/>
    </row>
    <row r="5884">
      <c r="F5884" s="17"/>
    </row>
    <row r="5885">
      <c r="F5885" s="17"/>
    </row>
    <row r="5886">
      <c r="F5886" s="17"/>
    </row>
    <row r="5887">
      <c r="F5887" s="17"/>
    </row>
    <row r="5888">
      <c r="F5888" s="17"/>
    </row>
    <row r="5889">
      <c r="F5889" s="17"/>
    </row>
    <row r="5890">
      <c r="F5890" s="17"/>
    </row>
    <row r="5891">
      <c r="F5891" s="17"/>
    </row>
    <row r="5892">
      <c r="F5892" s="17"/>
    </row>
    <row r="5893">
      <c r="F5893" s="17"/>
    </row>
    <row r="5894">
      <c r="F5894" s="17"/>
    </row>
    <row r="5895">
      <c r="F5895" s="17"/>
    </row>
    <row r="5896">
      <c r="F5896" s="17"/>
    </row>
    <row r="5897">
      <c r="F5897" s="17"/>
    </row>
    <row r="5898">
      <c r="F5898" s="17"/>
    </row>
    <row r="5899">
      <c r="F5899" s="17"/>
    </row>
    <row r="5900">
      <c r="F5900" s="17"/>
    </row>
    <row r="5901">
      <c r="F5901" s="17"/>
    </row>
    <row r="5902">
      <c r="F5902" s="17"/>
    </row>
    <row r="5903">
      <c r="F5903" s="17"/>
    </row>
    <row r="5904">
      <c r="F5904" s="17"/>
    </row>
    <row r="5905">
      <c r="F5905" s="17"/>
    </row>
    <row r="5906">
      <c r="F5906" s="17"/>
    </row>
    <row r="5907">
      <c r="F5907" s="17"/>
    </row>
    <row r="5908">
      <c r="F5908" s="17"/>
    </row>
    <row r="5909">
      <c r="F5909" s="17"/>
    </row>
    <row r="5910">
      <c r="F5910" s="17"/>
    </row>
    <row r="5911">
      <c r="F5911" s="17"/>
    </row>
    <row r="5912">
      <c r="F5912" s="17"/>
    </row>
    <row r="5913">
      <c r="F5913" s="17"/>
    </row>
    <row r="5914">
      <c r="F5914" s="17"/>
    </row>
    <row r="5915">
      <c r="F5915" s="17"/>
    </row>
    <row r="5916">
      <c r="F5916" s="17"/>
    </row>
    <row r="5917">
      <c r="F5917" s="17"/>
    </row>
    <row r="5918">
      <c r="F5918" s="17"/>
    </row>
    <row r="5919">
      <c r="F5919" s="17"/>
    </row>
    <row r="5920">
      <c r="F5920" s="17"/>
    </row>
    <row r="5921">
      <c r="F5921" s="17"/>
    </row>
    <row r="5922">
      <c r="F5922" s="17"/>
    </row>
    <row r="5923">
      <c r="F5923" s="17"/>
    </row>
    <row r="5924">
      <c r="F5924" s="17"/>
    </row>
    <row r="5925">
      <c r="F5925" s="17"/>
    </row>
    <row r="5926">
      <c r="F5926" s="17"/>
    </row>
    <row r="5927">
      <c r="F5927" s="17"/>
    </row>
    <row r="5928">
      <c r="F5928" s="17"/>
    </row>
    <row r="5929">
      <c r="F5929" s="17"/>
    </row>
    <row r="5930">
      <c r="F5930" s="17"/>
    </row>
    <row r="5931">
      <c r="F5931" s="17"/>
    </row>
    <row r="5932">
      <c r="F5932" s="17"/>
    </row>
    <row r="5933">
      <c r="F5933" s="17"/>
    </row>
    <row r="5934">
      <c r="F5934" s="17"/>
    </row>
    <row r="5935">
      <c r="F5935" s="17"/>
    </row>
    <row r="5936">
      <c r="F5936" s="17"/>
    </row>
    <row r="5937">
      <c r="F5937" s="17"/>
    </row>
    <row r="5938">
      <c r="F5938" s="17"/>
    </row>
    <row r="5939">
      <c r="F5939" s="17"/>
    </row>
    <row r="5940">
      <c r="F5940" s="17"/>
    </row>
    <row r="5941">
      <c r="F5941" s="17"/>
    </row>
    <row r="5942">
      <c r="F5942" s="17"/>
    </row>
    <row r="5943">
      <c r="F5943" s="17"/>
    </row>
    <row r="5944">
      <c r="F5944" s="17"/>
    </row>
    <row r="5945">
      <c r="F5945" s="17"/>
    </row>
    <row r="5946">
      <c r="F5946" s="17"/>
    </row>
    <row r="5947">
      <c r="F5947" s="17"/>
    </row>
    <row r="5948">
      <c r="F5948" s="17"/>
    </row>
    <row r="5949">
      <c r="F5949" s="17"/>
    </row>
    <row r="5950">
      <c r="F5950" s="17"/>
    </row>
    <row r="5951">
      <c r="F5951" s="17"/>
    </row>
    <row r="5952">
      <c r="F5952" s="17"/>
    </row>
    <row r="5953">
      <c r="F5953" s="17"/>
    </row>
    <row r="5954">
      <c r="F5954" s="17"/>
    </row>
    <row r="5955">
      <c r="F5955" s="17"/>
    </row>
    <row r="5956">
      <c r="F5956" s="17"/>
    </row>
    <row r="5957">
      <c r="F5957" s="17"/>
    </row>
    <row r="5958">
      <c r="F5958" s="17"/>
    </row>
    <row r="5959">
      <c r="F5959" s="17"/>
    </row>
    <row r="5960">
      <c r="F5960" s="17"/>
    </row>
    <row r="5961">
      <c r="F5961" s="17"/>
    </row>
    <row r="5962">
      <c r="F5962" s="17"/>
    </row>
    <row r="5963">
      <c r="F5963" s="17"/>
    </row>
    <row r="5964">
      <c r="F5964" s="17"/>
    </row>
    <row r="5965">
      <c r="F5965" s="17"/>
    </row>
    <row r="5966">
      <c r="F5966" s="17"/>
    </row>
    <row r="5967">
      <c r="F5967" s="17"/>
    </row>
    <row r="5968">
      <c r="F5968" s="17"/>
    </row>
    <row r="5969">
      <c r="F5969" s="17"/>
    </row>
    <row r="5970">
      <c r="F5970" s="17"/>
    </row>
    <row r="5971">
      <c r="F5971" s="17"/>
    </row>
    <row r="5972">
      <c r="F5972" s="17"/>
    </row>
    <row r="5973">
      <c r="F5973" s="17"/>
    </row>
    <row r="5974">
      <c r="F5974" s="17"/>
    </row>
    <row r="5975">
      <c r="F5975" s="17"/>
    </row>
    <row r="5976">
      <c r="F5976" s="17"/>
    </row>
    <row r="5977">
      <c r="F5977" s="17"/>
    </row>
    <row r="5978">
      <c r="F5978" s="17"/>
    </row>
    <row r="5979">
      <c r="F5979" s="17"/>
    </row>
    <row r="5980">
      <c r="F5980" s="17"/>
    </row>
    <row r="5981">
      <c r="F5981" s="17"/>
    </row>
    <row r="5982">
      <c r="F5982" s="17"/>
    </row>
    <row r="5983">
      <c r="F5983" s="17"/>
    </row>
    <row r="5984">
      <c r="F5984" s="17"/>
    </row>
    <row r="5985">
      <c r="F5985" s="17"/>
    </row>
    <row r="5986">
      <c r="F5986" s="17"/>
    </row>
    <row r="5987">
      <c r="F5987" s="17"/>
    </row>
    <row r="5988">
      <c r="F5988" s="17"/>
    </row>
    <row r="5989">
      <c r="F5989" s="17"/>
    </row>
    <row r="5990">
      <c r="F5990" s="17"/>
    </row>
    <row r="5991">
      <c r="F5991" s="17"/>
    </row>
    <row r="5992">
      <c r="F5992" s="17"/>
    </row>
    <row r="5993">
      <c r="F5993" s="17"/>
    </row>
    <row r="5994">
      <c r="F5994" s="17"/>
    </row>
    <row r="5995">
      <c r="F5995" s="17"/>
    </row>
    <row r="5996">
      <c r="F5996" s="17"/>
    </row>
    <row r="5997">
      <c r="F5997" s="17"/>
    </row>
    <row r="5998">
      <c r="F5998" s="17"/>
    </row>
    <row r="5999">
      <c r="F5999" s="17"/>
    </row>
    <row r="6000">
      <c r="F6000" s="17"/>
    </row>
    <row r="6001">
      <c r="F6001" s="17"/>
    </row>
    <row r="6002">
      <c r="F6002" s="17"/>
    </row>
    <row r="6003">
      <c r="F6003" s="17"/>
    </row>
    <row r="6004">
      <c r="F6004" s="17"/>
    </row>
    <row r="6005">
      <c r="F6005" s="17"/>
    </row>
    <row r="6006">
      <c r="F6006" s="17"/>
    </row>
    <row r="6007">
      <c r="F6007" s="17"/>
    </row>
    <row r="6008">
      <c r="F6008" s="17"/>
    </row>
    <row r="6009">
      <c r="F6009" s="17"/>
    </row>
    <row r="6010">
      <c r="F6010" s="17"/>
    </row>
    <row r="6011">
      <c r="F6011" s="17"/>
    </row>
    <row r="6012">
      <c r="F6012" s="17"/>
    </row>
    <row r="6013">
      <c r="F6013" s="17"/>
    </row>
    <row r="6014">
      <c r="F6014" s="17"/>
    </row>
    <row r="6015">
      <c r="F6015" s="17"/>
    </row>
    <row r="6016">
      <c r="F6016" s="17"/>
    </row>
    <row r="6017">
      <c r="F6017" s="17"/>
    </row>
    <row r="6018">
      <c r="F6018" s="17"/>
    </row>
    <row r="6019">
      <c r="F6019" s="17"/>
    </row>
    <row r="6020">
      <c r="F6020" s="17"/>
    </row>
    <row r="6021">
      <c r="F6021" s="17"/>
    </row>
    <row r="6022">
      <c r="F6022" s="17"/>
    </row>
    <row r="6023">
      <c r="F6023" s="17"/>
    </row>
    <row r="6024">
      <c r="F6024" s="17"/>
    </row>
    <row r="6025">
      <c r="F6025" s="17"/>
    </row>
    <row r="6026">
      <c r="F6026" s="17"/>
    </row>
    <row r="6027">
      <c r="F6027" s="17"/>
    </row>
    <row r="6028">
      <c r="F6028" s="17"/>
    </row>
    <row r="6029">
      <c r="F6029" s="17"/>
    </row>
    <row r="6030">
      <c r="F6030" s="17"/>
    </row>
    <row r="6031">
      <c r="F6031" s="17"/>
    </row>
    <row r="6032">
      <c r="F6032" s="17"/>
    </row>
    <row r="6033">
      <c r="F6033" s="17"/>
    </row>
    <row r="6034">
      <c r="F6034" s="17"/>
    </row>
    <row r="6035">
      <c r="F6035" s="17"/>
    </row>
    <row r="6036">
      <c r="F6036" s="17"/>
    </row>
    <row r="6037">
      <c r="F6037" s="17"/>
    </row>
    <row r="6038">
      <c r="F6038" s="17"/>
    </row>
    <row r="6039">
      <c r="F6039" s="17"/>
    </row>
    <row r="6040">
      <c r="F6040" s="17"/>
    </row>
    <row r="6041">
      <c r="F6041" s="17"/>
    </row>
    <row r="6042">
      <c r="F6042" s="17"/>
    </row>
    <row r="6043">
      <c r="F6043" s="17"/>
    </row>
    <row r="6044">
      <c r="F6044" s="17"/>
    </row>
    <row r="6045">
      <c r="F6045" s="17"/>
    </row>
    <row r="6046">
      <c r="F6046" s="17"/>
    </row>
    <row r="6047">
      <c r="F6047" s="17"/>
    </row>
    <row r="6048">
      <c r="F6048" s="17"/>
    </row>
    <row r="6049">
      <c r="F6049" s="17"/>
    </row>
    <row r="6050">
      <c r="F6050" s="17"/>
    </row>
    <row r="6051">
      <c r="F6051" s="17"/>
    </row>
    <row r="6052">
      <c r="F6052" s="17"/>
    </row>
    <row r="6053">
      <c r="F6053" s="17"/>
    </row>
    <row r="6054">
      <c r="F6054" s="17"/>
    </row>
    <row r="6055">
      <c r="F6055" s="17"/>
    </row>
    <row r="6056">
      <c r="F6056" s="17"/>
    </row>
    <row r="6057">
      <c r="F6057" s="17"/>
    </row>
    <row r="6058">
      <c r="F6058" s="17"/>
    </row>
    <row r="6059">
      <c r="F6059" s="17"/>
    </row>
    <row r="6060">
      <c r="F6060" s="17"/>
    </row>
    <row r="6061">
      <c r="F6061" s="17"/>
    </row>
    <row r="6062">
      <c r="F6062" s="17"/>
    </row>
    <row r="6063">
      <c r="F6063" s="17"/>
    </row>
    <row r="6064">
      <c r="F6064" s="17"/>
    </row>
    <row r="6065">
      <c r="F6065" s="17"/>
    </row>
    <row r="6066">
      <c r="F6066" s="17"/>
    </row>
    <row r="6067">
      <c r="F6067" s="17"/>
    </row>
    <row r="6068">
      <c r="F6068" s="17"/>
    </row>
    <row r="6069">
      <c r="F6069" s="17"/>
    </row>
    <row r="6070">
      <c r="F6070" s="17"/>
    </row>
    <row r="6071">
      <c r="F6071" s="17"/>
    </row>
    <row r="6072">
      <c r="F6072" s="17"/>
    </row>
    <row r="6073">
      <c r="F6073" s="17"/>
    </row>
    <row r="6074">
      <c r="F6074" s="17"/>
    </row>
    <row r="6075">
      <c r="F6075" s="17"/>
    </row>
    <row r="6076">
      <c r="F6076" s="17"/>
    </row>
    <row r="6077">
      <c r="F6077" s="17"/>
    </row>
    <row r="6078">
      <c r="F6078" s="17"/>
    </row>
    <row r="6079">
      <c r="F6079" s="17"/>
    </row>
    <row r="6080">
      <c r="F6080" s="17"/>
    </row>
    <row r="6081">
      <c r="F6081" s="17"/>
    </row>
    <row r="6082">
      <c r="F6082" s="17"/>
    </row>
    <row r="6083">
      <c r="F6083" s="17"/>
    </row>
    <row r="6084">
      <c r="F6084" s="17"/>
    </row>
    <row r="6085">
      <c r="F6085" s="17"/>
    </row>
    <row r="6086">
      <c r="F6086" s="17"/>
    </row>
    <row r="6087">
      <c r="F6087" s="17"/>
    </row>
    <row r="6088">
      <c r="F6088" s="17"/>
    </row>
    <row r="6089">
      <c r="F6089" s="17"/>
    </row>
    <row r="6090">
      <c r="F6090" s="17"/>
    </row>
    <row r="6091">
      <c r="F6091" s="17"/>
    </row>
    <row r="6092">
      <c r="F6092" s="17"/>
    </row>
    <row r="6093">
      <c r="F6093" s="17"/>
    </row>
    <row r="6094">
      <c r="F6094" s="17"/>
    </row>
    <row r="6095">
      <c r="F6095" s="17"/>
    </row>
    <row r="6096">
      <c r="F6096" s="17"/>
    </row>
    <row r="6097">
      <c r="F6097" s="17"/>
    </row>
    <row r="6098">
      <c r="F6098" s="17"/>
    </row>
    <row r="6099">
      <c r="F6099" s="17"/>
    </row>
    <row r="6100">
      <c r="F6100" s="17"/>
    </row>
    <row r="6101">
      <c r="F6101" s="17"/>
    </row>
    <row r="6102">
      <c r="F6102" s="17"/>
    </row>
    <row r="6103">
      <c r="F6103" s="17"/>
    </row>
    <row r="6104">
      <c r="F6104" s="17"/>
    </row>
    <row r="6105">
      <c r="F6105" s="17"/>
    </row>
    <row r="6106">
      <c r="F6106" s="17"/>
    </row>
    <row r="6107">
      <c r="F6107" s="17"/>
    </row>
    <row r="6108">
      <c r="F6108" s="17"/>
    </row>
    <row r="6109">
      <c r="F6109" s="17"/>
    </row>
    <row r="6110">
      <c r="F6110" s="17"/>
    </row>
    <row r="6111">
      <c r="F6111" s="17"/>
    </row>
    <row r="6112">
      <c r="F6112" s="17"/>
    </row>
    <row r="6113">
      <c r="F6113" s="17"/>
    </row>
    <row r="6114">
      <c r="F6114" s="17"/>
    </row>
    <row r="6115">
      <c r="F6115" s="17"/>
    </row>
    <row r="6116">
      <c r="F6116" s="17"/>
    </row>
    <row r="6117">
      <c r="F6117" s="17"/>
    </row>
    <row r="6118">
      <c r="F6118" s="17"/>
    </row>
    <row r="6119">
      <c r="F6119" s="17"/>
    </row>
    <row r="6120">
      <c r="F6120" s="17"/>
    </row>
    <row r="6121">
      <c r="F6121" s="17"/>
    </row>
    <row r="6122">
      <c r="F6122" s="17"/>
    </row>
    <row r="6123">
      <c r="F6123" s="17"/>
    </row>
    <row r="6124">
      <c r="F6124" s="17"/>
    </row>
    <row r="6125">
      <c r="F6125" s="17"/>
    </row>
    <row r="6126">
      <c r="F6126" s="17"/>
    </row>
    <row r="6127">
      <c r="F6127" s="17"/>
    </row>
    <row r="6128">
      <c r="F6128" s="17"/>
    </row>
    <row r="6129">
      <c r="F6129" s="17"/>
    </row>
    <row r="6130">
      <c r="F6130" s="17"/>
    </row>
    <row r="6131">
      <c r="F6131" s="17"/>
    </row>
    <row r="6132">
      <c r="F6132" s="17"/>
    </row>
    <row r="6133">
      <c r="F6133" s="17"/>
    </row>
    <row r="6134">
      <c r="F6134" s="17"/>
    </row>
    <row r="6135">
      <c r="F6135" s="17"/>
    </row>
    <row r="6136">
      <c r="F6136" s="17"/>
    </row>
    <row r="6137">
      <c r="F6137" s="17"/>
    </row>
    <row r="6138">
      <c r="F6138" s="17"/>
    </row>
    <row r="6139">
      <c r="F6139" s="17"/>
    </row>
    <row r="6140">
      <c r="F6140" s="17"/>
    </row>
    <row r="6141">
      <c r="F6141" s="17"/>
    </row>
    <row r="6142">
      <c r="F6142" s="17"/>
    </row>
    <row r="6143">
      <c r="F6143" s="17"/>
    </row>
    <row r="6144">
      <c r="F6144" s="17"/>
    </row>
    <row r="6145">
      <c r="F6145" s="17"/>
    </row>
    <row r="6146">
      <c r="F6146" s="17"/>
    </row>
    <row r="6147">
      <c r="F6147" s="17"/>
    </row>
    <row r="6148">
      <c r="F6148" s="17"/>
    </row>
    <row r="6149">
      <c r="F6149" s="17"/>
    </row>
    <row r="6150">
      <c r="F6150" s="17"/>
    </row>
    <row r="6151">
      <c r="F6151" s="17"/>
    </row>
    <row r="6152">
      <c r="F6152" s="17"/>
    </row>
    <row r="6153">
      <c r="F6153" s="17"/>
    </row>
    <row r="6154">
      <c r="F6154" s="17"/>
    </row>
    <row r="6155">
      <c r="F6155" s="17"/>
    </row>
    <row r="6156">
      <c r="F6156" s="17"/>
    </row>
    <row r="6157">
      <c r="F6157" s="17"/>
    </row>
    <row r="6158">
      <c r="F6158" s="17"/>
    </row>
    <row r="6159">
      <c r="F6159" s="17"/>
    </row>
    <row r="6160">
      <c r="F6160" s="17"/>
    </row>
    <row r="6161">
      <c r="F6161" s="17"/>
    </row>
    <row r="6162">
      <c r="F6162" s="17"/>
    </row>
    <row r="6163">
      <c r="F6163" s="17"/>
    </row>
    <row r="6164">
      <c r="F6164" s="17"/>
    </row>
    <row r="6165">
      <c r="F6165" s="17"/>
    </row>
    <row r="6166">
      <c r="F6166" s="17"/>
    </row>
    <row r="6167">
      <c r="F6167" s="17"/>
    </row>
    <row r="6168">
      <c r="F6168" s="17"/>
    </row>
    <row r="6169">
      <c r="F6169" s="17"/>
    </row>
    <row r="6170">
      <c r="F6170" s="17"/>
    </row>
    <row r="6171">
      <c r="F6171" s="17"/>
    </row>
    <row r="6172">
      <c r="F6172" s="17"/>
    </row>
    <row r="6173">
      <c r="F6173" s="17"/>
    </row>
    <row r="6174">
      <c r="F6174" s="17"/>
    </row>
    <row r="6175">
      <c r="F6175" s="17"/>
    </row>
    <row r="6176">
      <c r="F6176" s="17"/>
    </row>
    <row r="6177">
      <c r="F6177" s="17"/>
    </row>
    <row r="6178">
      <c r="F6178" s="17"/>
    </row>
    <row r="6179">
      <c r="F6179" s="17"/>
    </row>
    <row r="6180">
      <c r="F6180" s="17"/>
    </row>
    <row r="6181">
      <c r="F6181" s="17"/>
    </row>
    <row r="6182">
      <c r="F6182" s="17"/>
    </row>
    <row r="6183">
      <c r="F6183" s="17"/>
    </row>
    <row r="6184">
      <c r="F6184" s="17"/>
    </row>
    <row r="6185">
      <c r="F6185" s="17"/>
    </row>
    <row r="6186">
      <c r="F6186" s="17"/>
    </row>
    <row r="6187">
      <c r="F6187" s="17"/>
    </row>
    <row r="6188">
      <c r="F6188" s="17"/>
    </row>
    <row r="6189">
      <c r="F6189" s="17"/>
    </row>
    <row r="6190">
      <c r="F6190" s="17"/>
    </row>
    <row r="6191">
      <c r="F6191" s="17"/>
    </row>
    <row r="6192">
      <c r="F6192" s="17"/>
    </row>
    <row r="6193">
      <c r="F6193" s="17"/>
    </row>
    <row r="6194">
      <c r="F6194" s="17"/>
    </row>
    <row r="6195">
      <c r="F6195" s="17"/>
    </row>
    <row r="6196">
      <c r="F6196" s="17"/>
    </row>
    <row r="6197">
      <c r="F6197" s="17"/>
    </row>
    <row r="6198">
      <c r="F6198" s="17"/>
    </row>
    <row r="6199">
      <c r="F6199" s="17"/>
    </row>
    <row r="6200">
      <c r="F6200" s="17"/>
    </row>
    <row r="6201">
      <c r="F6201" s="17"/>
    </row>
    <row r="6202">
      <c r="F6202" s="17"/>
    </row>
    <row r="6203">
      <c r="F6203" s="17"/>
    </row>
    <row r="6204">
      <c r="F6204" s="17"/>
    </row>
    <row r="6205">
      <c r="F6205" s="17"/>
    </row>
    <row r="6206">
      <c r="F6206" s="17"/>
    </row>
    <row r="6207">
      <c r="F6207" s="17"/>
    </row>
    <row r="6208">
      <c r="F6208" s="17"/>
    </row>
    <row r="6209">
      <c r="F6209" s="17"/>
    </row>
    <row r="6210">
      <c r="F6210" s="17"/>
    </row>
    <row r="6211">
      <c r="F6211" s="17"/>
    </row>
    <row r="6212">
      <c r="F6212" s="17"/>
    </row>
    <row r="6213">
      <c r="F6213" s="17"/>
    </row>
    <row r="6214">
      <c r="F6214" s="17"/>
    </row>
    <row r="6215">
      <c r="F6215" s="17"/>
    </row>
    <row r="6216">
      <c r="F6216" s="17"/>
    </row>
    <row r="6217">
      <c r="F6217" s="17"/>
    </row>
    <row r="6218">
      <c r="F6218" s="17"/>
    </row>
    <row r="6219">
      <c r="F6219" s="17"/>
    </row>
    <row r="6220">
      <c r="F6220" s="17"/>
    </row>
    <row r="6221">
      <c r="F6221" s="17"/>
    </row>
    <row r="6222">
      <c r="F6222" s="17"/>
    </row>
    <row r="6223">
      <c r="F6223" s="17"/>
    </row>
    <row r="6224">
      <c r="F6224" s="17"/>
    </row>
    <row r="6225">
      <c r="F6225" s="17"/>
    </row>
    <row r="6226">
      <c r="F6226" s="17"/>
    </row>
    <row r="6227">
      <c r="F6227" s="17"/>
    </row>
    <row r="6228">
      <c r="F6228" s="17"/>
    </row>
    <row r="6229">
      <c r="F6229" s="17"/>
    </row>
    <row r="6230">
      <c r="F6230" s="17"/>
    </row>
    <row r="6231">
      <c r="F6231" s="17"/>
    </row>
    <row r="6232">
      <c r="F6232" s="17"/>
    </row>
    <row r="6233">
      <c r="F6233" s="17"/>
    </row>
    <row r="6234">
      <c r="F6234" s="17"/>
    </row>
    <row r="6235">
      <c r="F6235" s="17"/>
    </row>
    <row r="6236">
      <c r="F6236" s="17"/>
    </row>
    <row r="6237">
      <c r="F6237" s="17"/>
    </row>
    <row r="6238">
      <c r="F6238" s="17"/>
    </row>
    <row r="6239">
      <c r="F6239" s="17"/>
    </row>
    <row r="6240">
      <c r="F6240" s="17"/>
    </row>
    <row r="6241">
      <c r="F6241" s="17"/>
    </row>
    <row r="6242">
      <c r="F6242" s="17"/>
    </row>
    <row r="6243">
      <c r="F6243" s="17"/>
    </row>
    <row r="6244">
      <c r="F6244" s="17"/>
    </row>
    <row r="6245">
      <c r="F6245" s="17"/>
    </row>
    <row r="6246">
      <c r="F6246" s="17"/>
    </row>
    <row r="6247">
      <c r="F6247" s="17"/>
    </row>
    <row r="6248">
      <c r="F6248" s="17"/>
    </row>
    <row r="6249">
      <c r="F6249" s="17"/>
    </row>
    <row r="6250">
      <c r="F6250" s="17"/>
    </row>
    <row r="6251">
      <c r="F6251" s="17"/>
    </row>
    <row r="6252">
      <c r="F6252" s="17"/>
    </row>
    <row r="6253">
      <c r="F6253" s="17"/>
    </row>
    <row r="6254">
      <c r="F6254" s="17"/>
    </row>
    <row r="6255">
      <c r="F6255" s="17"/>
    </row>
    <row r="6256">
      <c r="F6256" s="17"/>
    </row>
    <row r="6257">
      <c r="F6257" s="17"/>
    </row>
    <row r="6258">
      <c r="F6258" s="17"/>
    </row>
    <row r="6259">
      <c r="F6259" s="17"/>
    </row>
    <row r="6260">
      <c r="F6260" s="17"/>
    </row>
    <row r="6261">
      <c r="F6261" s="17"/>
    </row>
    <row r="6262">
      <c r="F6262" s="17"/>
    </row>
    <row r="6263">
      <c r="F6263" s="17"/>
    </row>
    <row r="6264">
      <c r="F6264" s="17"/>
    </row>
    <row r="6265">
      <c r="F6265" s="17"/>
    </row>
    <row r="6266">
      <c r="F6266" s="17"/>
    </row>
    <row r="6267">
      <c r="F6267" s="17"/>
    </row>
    <row r="6268">
      <c r="F6268" s="17"/>
    </row>
    <row r="6269">
      <c r="F6269" s="17"/>
    </row>
    <row r="6270">
      <c r="F6270" s="17"/>
    </row>
    <row r="6271">
      <c r="F6271" s="17"/>
    </row>
    <row r="6272">
      <c r="F6272" s="17"/>
    </row>
    <row r="6273">
      <c r="F6273" s="17"/>
    </row>
    <row r="6274">
      <c r="F6274" s="17"/>
    </row>
    <row r="6275">
      <c r="F6275" s="17"/>
    </row>
    <row r="6276">
      <c r="F6276" s="17"/>
    </row>
    <row r="6277">
      <c r="F6277" s="17"/>
    </row>
    <row r="6278">
      <c r="F6278" s="17"/>
    </row>
    <row r="6279">
      <c r="F6279" s="17"/>
    </row>
    <row r="6280">
      <c r="F6280" s="17"/>
    </row>
    <row r="6281">
      <c r="F6281" s="17"/>
    </row>
    <row r="6282">
      <c r="F6282" s="17"/>
    </row>
    <row r="6283">
      <c r="F6283" s="17"/>
    </row>
    <row r="6284">
      <c r="F6284" s="17"/>
    </row>
    <row r="6285">
      <c r="F6285" s="17"/>
    </row>
    <row r="6286">
      <c r="F6286" s="17"/>
    </row>
    <row r="6287">
      <c r="F6287" s="17"/>
    </row>
    <row r="6288">
      <c r="F6288" s="17"/>
    </row>
    <row r="6289">
      <c r="F6289" s="17"/>
    </row>
    <row r="6290">
      <c r="F6290" s="17"/>
    </row>
    <row r="6291">
      <c r="F6291" s="17"/>
    </row>
    <row r="6292">
      <c r="F6292" s="17"/>
    </row>
    <row r="6293">
      <c r="F6293" s="17"/>
    </row>
    <row r="6294">
      <c r="F6294" s="17"/>
    </row>
    <row r="6295">
      <c r="F6295" s="17"/>
    </row>
    <row r="6296">
      <c r="F6296" s="17"/>
    </row>
    <row r="6297">
      <c r="F6297" s="17"/>
    </row>
    <row r="6298">
      <c r="F6298" s="17"/>
    </row>
    <row r="6299">
      <c r="F6299" s="17"/>
    </row>
    <row r="6300">
      <c r="F6300" s="17"/>
    </row>
    <row r="6301">
      <c r="F6301" s="17"/>
    </row>
    <row r="6302">
      <c r="F6302" s="17"/>
    </row>
    <row r="6303">
      <c r="F6303" s="17"/>
    </row>
    <row r="6304">
      <c r="F6304" s="17"/>
    </row>
    <row r="6305">
      <c r="F6305" s="17"/>
    </row>
    <row r="6306">
      <c r="F6306" s="17"/>
    </row>
    <row r="6307">
      <c r="F6307" s="17"/>
    </row>
    <row r="6308">
      <c r="F6308" s="17"/>
    </row>
    <row r="6309">
      <c r="F6309" s="17"/>
    </row>
    <row r="6310">
      <c r="F6310" s="17"/>
    </row>
    <row r="6311">
      <c r="F6311" s="17"/>
    </row>
    <row r="6312">
      <c r="F6312" s="17"/>
    </row>
    <row r="6313">
      <c r="F6313" s="17"/>
    </row>
    <row r="6314">
      <c r="F6314" s="17"/>
    </row>
    <row r="6315">
      <c r="F6315" s="17"/>
    </row>
    <row r="6316">
      <c r="F6316" s="17"/>
    </row>
    <row r="6317">
      <c r="F6317" s="17"/>
    </row>
    <row r="6318">
      <c r="F6318" s="17"/>
    </row>
    <row r="6319">
      <c r="F6319" s="17"/>
    </row>
    <row r="6320">
      <c r="F6320" s="17"/>
    </row>
    <row r="6321">
      <c r="F6321" s="17"/>
    </row>
    <row r="6322">
      <c r="F6322" s="17"/>
    </row>
    <row r="6323">
      <c r="F6323" s="17"/>
    </row>
    <row r="6324">
      <c r="F6324" s="17"/>
    </row>
    <row r="6325">
      <c r="F6325" s="17"/>
    </row>
    <row r="6326">
      <c r="F6326" s="17"/>
    </row>
    <row r="6327">
      <c r="F6327" s="17"/>
    </row>
    <row r="6328">
      <c r="F6328" s="17"/>
    </row>
    <row r="6329">
      <c r="F6329" s="17"/>
    </row>
    <row r="6330">
      <c r="F6330" s="17"/>
    </row>
    <row r="6331">
      <c r="F6331" s="17"/>
    </row>
    <row r="6332">
      <c r="F6332" s="17"/>
    </row>
    <row r="6333">
      <c r="F6333" s="17"/>
    </row>
    <row r="6334">
      <c r="F6334" s="17"/>
    </row>
    <row r="6335">
      <c r="F6335" s="17"/>
    </row>
    <row r="6336">
      <c r="F6336" s="17"/>
    </row>
    <row r="6337">
      <c r="F6337" s="17"/>
    </row>
    <row r="6338">
      <c r="F6338" s="17"/>
    </row>
    <row r="6339">
      <c r="F6339" s="17"/>
    </row>
    <row r="6340">
      <c r="F6340" s="17"/>
    </row>
    <row r="6341">
      <c r="F6341" s="17"/>
    </row>
    <row r="6342">
      <c r="F6342" s="17"/>
    </row>
    <row r="6343">
      <c r="F6343" s="17"/>
    </row>
    <row r="6344">
      <c r="F6344" s="17"/>
    </row>
    <row r="6345">
      <c r="F6345" s="17"/>
    </row>
    <row r="6346">
      <c r="F6346" s="17"/>
    </row>
    <row r="6347">
      <c r="F6347" s="17"/>
    </row>
    <row r="6348">
      <c r="F6348" s="17"/>
    </row>
    <row r="6349">
      <c r="F6349" s="17"/>
    </row>
    <row r="6350">
      <c r="F6350" s="17"/>
    </row>
    <row r="6351">
      <c r="F6351" s="17"/>
    </row>
    <row r="6352">
      <c r="F6352" s="17"/>
    </row>
    <row r="6353">
      <c r="F6353" s="17"/>
    </row>
    <row r="6354">
      <c r="F6354" s="17"/>
    </row>
    <row r="6355">
      <c r="F6355" s="17"/>
    </row>
    <row r="6356">
      <c r="F6356" s="17"/>
    </row>
    <row r="6357">
      <c r="F6357" s="17"/>
    </row>
    <row r="6358">
      <c r="F6358" s="17"/>
    </row>
    <row r="6359">
      <c r="F6359" s="17"/>
    </row>
    <row r="6360">
      <c r="F6360" s="17"/>
    </row>
    <row r="6361">
      <c r="F6361" s="17"/>
    </row>
    <row r="6362">
      <c r="F6362" s="17"/>
    </row>
    <row r="6363">
      <c r="F6363" s="17"/>
    </row>
    <row r="6364">
      <c r="F6364" s="17"/>
    </row>
    <row r="6365">
      <c r="F6365" s="17"/>
    </row>
    <row r="6366">
      <c r="F6366" s="17"/>
    </row>
    <row r="6367">
      <c r="F6367" s="17"/>
    </row>
    <row r="6368">
      <c r="F6368" s="17"/>
    </row>
    <row r="6369">
      <c r="F6369" s="17"/>
    </row>
    <row r="6370">
      <c r="F6370" s="17"/>
    </row>
    <row r="6371">
      <c r="F6371" s="17"/>
    </row>
    <row r="6372">
      <c r="F6372" s="17"/>
    </row>
    <row r="6373">
      <c r="F6373" s="17"/>
    </row>
    <row r="6374">
      <c r="F6374" s="17"/>
    </row>
    <row r="6375">
      <c r="F6375" s="17"/>
    </row>
    <row r="6376">
      <c r="F6376" s="17"/>
    </row>
    <row r="6377">
      <c r="F6377" s="17"/>
    </row>
    <row r="6378">
      <c r="F6378" s="17"/>
    </row>
    <row r="6379">
      <c r="F6379" s="17"/>
    </row>
    <row r="6380">
      <c r="F6380" s="17"/>
    </row>
    <row r="6381">
      <c r="F6381" s="17"/>
    </row>
    <row r="6382">
      <c r="F6382" s="17"/>
    </row>
    <row r="6383">
      <c r="F6383" s="17"/>
    </row>
    <row r="6384">
      <c r="F6384" s="17"/>
    </row>
    <row r="6385">
      <c r="F6385" s="17"/>
    </row>
    <row r="6386">
      <c r="F6386" s="17"/>
    </row>
    <row r="6387">
      <c r="F6387" s="17"/>
    </row>
    <row r="6388">
      <c r="F6388" s="17"/>
    </row>
    <row r="6389">
      <c r="F6389" s="17"/>
    </row>
    <row r="6390">
      <c r="F6390" s="17"/>
    </row>
    <row r="6391">
      <c r="F6391" s="17"/>
    </row>
    <row r="6392">
      <c r="F6392" s="17"/>
    </row>
    <row r="6393">
      <c r="F6393" s="17"/>
    </row>
    <row r="6394">
      <c r="F6394" s="17"/>
    </row>
    <row r="6395">
      <c r="F6395" s="17"/>
    </row>
    <row r="6396">
      <c r="F6396" s="17"/>
    </row>
    <row r="6397">
      <c r="F6397" s="17"/>
    </row>
    <row r="6398">
      <c r="F6398" s="17"/>
    </row>
    <row r="6399">
      <c r="F6399" s="17"/>
    </row>
    <row r="6400">
      <c r="F6400" s="17"/>
    </row>
    <row r="6401">
      <c r="F6401" s="17"/>
    </row>
    <row r="6402">
      <c r="F6402" s="17"/>
    </row>
    <row r="6403">
      <c r="F6403" s="17"/>
    </row>
    <row r="6404">
      <c r="F6404" s="17"/>
    </row>
    <row r="6405">
      <c r="F6405" s="17"/>
    </row>
    <row r="6406">
      <c r="F6406" s="17"/>
    </row>
    <row r="6407">
      <c r="F6407" s="17"/>
    </row>
    <row r="6408">
      <c r="F6408" s="17"/>
    </row>
    <row r="6409">
      <c r="F6409" s="17"/>
    </row>
    <row r="6410">
      <c r="F6410" s="17"/>
    </row>
    <row r="6411">
      <c r="F6411" s="17"/>
    </row>
    <row r="6412">
      <c r="F6412" s="17"/>
    </row>
    <row r="6413">
      <c r="F6413" s="17"/>
    </row>
    <row r="6414">
      <c r="F6414" s="17"/>
    </row>
    <row r="6415">
      <c r="F6415" s="17"/>
    </row>
    <row r="6416">
      <c r="F6416" s="17"/>
    </row>
    <row r="6417">
      <c r="F6417" s="17"/>
    </row>
    <row r="6418">
      <c r="F6418" s="17"/>
    </row>
    <row r="6419">
      <c r="F6419" s="17"/>
    </row>
    <row r="6420">
      <c r="F6420" s="17"/>
    </row>
    <row r="6421">
      <c r="F6421" s="17"/>
    </row>
    <row r="6422">
      <c r="F6422" s="17"/>
    </row>
    <row r="6423">
      <c r="F6423" s="17"/>
    </row>
    <row r="6424">
      <c r="F6424" s="17"/>
    </row>
    <row r="6425">
      <c r="F6425" s="17"/>
    </row>
    <row r="6426">
      <c r="F6426" s="17"/>
    </row>
    <row r="6427">
      <c r="F6427" s="17"/>
    </row>
    <row r="6428">
      <c r="F6428" s="17"/>
    </row>
    <row r="6429">
      <c r="F6429" s="17"/>
    </row>
    <row r="6430">
      <c r="F6430" s="17"/>
    </row>
    <row r="6431">
      <c r="F6431" s="17"/>
    </row>
    <row r="6432">
      <c r="F6432" s="17"/>
    </row>
    <row r="6433">
      <c r="F6433" s="17"/>
    </row>
    <row r="6434">
      <c r="F6434" s="17"/>
    </row>
    <row r="6435">
      <c r="F6435" s="17"/>
    </row>
    <row r="6436">
      <c r="F6436" s="17"/>
    </row>
    <row r="6437">
      <c r="F6437" s="17"/>
    </row>
    <row r="6438">
      <c r="F6438" s="17"/>
    </row>
    <row r="6439">
      <c r="F6439" s="17"/>
    </row>
    <row r="6440">
      <c r="F6440" s="17"/>
    </row>
    <row r="6441">
      <c r="F6441" s="17"/>
    </row>
    <row r="6442">
      <c r="F6442" s="17"/>
    </row>
    <row r="6443">
      <c r="F6443" s="17"/>
    </row>
    <row r="6444">
      <c r="F6444" s="17"/>
    </row>
    <row r="6445">
      <c r="F6445" s="17"/>
    </row>
    <row r="6446">
      <c r="F6446" s="17"/>
    </row>
    <row r="6447">
      <c r="F6447" s="17"/>
    </row>
    <row r="6448">
      <c r="F6448" s="17"/>
    </row>
    <row r="6449">
      <c r="F6449" s="17"/>
    </row>
    <row r="6450">
      <c r="F6450" s="17"/>
    </row>
    <row r="6451">
      <c r="F6451" s="17"/>
    </row>
    <row r="6452">
      <c r="F6452" s="17"/>
    </row>
    <row r="6453">
      <c r="F6453" s="17"/>
    </row>
    <row r="6454">
      <c r="F6454" s="17"/>
    </row>
    <row r="6455">
      <c r="F6455" s="17"/>
    </row>
    <row r="6456">
      <c r="F6456" s="17"/>
    </row>
    <row r="6457">
      <c r="F6457" s="17"/>
    </row>
    <row r="6458">
      <c r="F6458" s="17"/>
    </row>
    <row r="6459">
      <c r="F6459" s="17"/>
    </row>
    <row r="6460">
      <c r="F6460" s="17"/>
    </row>
    <row r="6461">
      <c r="F6461" s="17"/>
    </row>
    <row r="6462">
      <c r="F6462" s="17"/>
    </row>
    <row r="6463">
      <c r="F6463" s="17"/>
    </row>
    <row r="6464">
      <c r="F6464" s="17"/>
    </row>
    <row r="6465">
      <c r="F6465" s="17"/>
    </row>
    <row r="6466">
      <c r="F6466" s="17"/>
    </row>
    <row r="6467">
      <c r="F6467" s="17"/>
    </row>
    <row r="6468">
      <c r="F6468" s="17"/>
    </row>
    <row r="6469">
      <c r="F6469" s="17"/>
    </row>
    <row r="6470">
      <c r="F6470" s="17"/>
    </row>
    <row r="6471">
      <c r="F6471" s="17"/>
    </row>
    <row r="6472">
      <c r="F6472" s="17"/>
    </row>
    <row r="6473">
      <c r="F6473" s="17"/>
    </row>
    <row r="6474">
      <c r="F6474" s="17"/>
    </row>
    <row r="6475">
      <c r="F6475" s="17"/>
    </row>
    <row r="6476">
      <c r="F6476" s="17"/>
    </row>
    <row r="6477">
      <c r="F6477" s="17"/>
    </row>
    <row r="6478">
      <c r="F6478" s="17"/>
    </row>
    <row r="6479">
      <c r="F6479" s="17"/>
    </row>
    <row r="6480">
      <c r="F6480" s="17"/>
    </row>
    <row r="6481">
      <c r="F6481" s="17"/>
    </row>
    <row r="6482">
      <c r="F6482" s="17"/>
    </row>
    <row r="6483">
      <c r="F6483" s="17"/>
    </row>
    <row r="6484">
      <c r="F6484" s="17"/>
    </row>
    <row r="6485">
      <c r="F6485" s="17"/>
    </row>
    <row r="6486">
      <c r="F6486" s="17"/>
    </row>
    <row r="6487">
      <c r="F6487" s="17"/>
    </row>
    <row r="6488">
      <c r="F6488" s="17"/>
    </row>
    <row r="6489">
      <c r="F6489" s="17"/>
    </row>
    <row r="6490">
      <c r="F6490" s="17"/>
    </row>
    <row r="6491">
      <c r="F6491" s="17"/>
    </row>
    <row r="6492">
      <c r="F6492" s="17"/>
    </row>
    <row r="6493">
      <c r="F6493" s="17"/>
    </row>
    <row r="6494">
      <c r="F6494" s="17"/>
    </row>
    <row r="6495">
      <c r="F6495" s="17"/>
    </row>
    <row r="6496">
      <c r="F6496" s="17"/>
    </row>
    <row r="6497">
      <c r="F6497" s="17"/>
    </row>
    <row r="6498">
      <c r="F6498" s="17"/>
    </row>
    <row r="6499">
      <c r="F6499" s="17"/>
    </row>
    <row r="6500">
      <c r="F6500" s="17"/>
    </row>
    <row r="6501">
      <c r="F6501" s="17"/>
    </row>
    <row r="6502">
      <c r="F6502" s="17"/>
    </row>
    <row r="6503">
      <c r="F6503" s="17"/>
    </row>
    <row r="6504">
      <c r="F6504" s="17"/>
    </row>
    <row r="6505">
      <c r="F6505" s="17"/>
    </row>
    <row r="6506">
      <c r="F6506" s="17"/>
    </row>
    <row r="6507">
      <c r="F6507" s="17"/>
    </row>
    <row r="6508">
      <c r="F6508" s="17"/>
    </row>
    <row r="6509">
      <c r="F6509" s="17"/>
    </row>
    <row r="6510">
      <c r="F6510" s="17"/>
    </row>
    <row r="6511">
      <c r="F6511" s="17"/>
    </row>
    <row r="6512">
      <c r="F6512" s="17"/>
    </row>
    <row r="6513">
      <c r="F6513" s="17"/>
    </row>
    <row r="6514">
      <c r="F6514" s="17"/>
    </row>
    <row r="6515">
      <c r="F6515" s="17"/>
    </row>
    <row r="6516">
      <c r="F6516" s="17"/>
    </row>
    <row r="6517">
      <c r="F6517" s="17"/>
    </row>
    <row r="6518">
      <c r="F6518" s="17"/>
    </row>
    <row r="6519">
      <c r="F6519" s="17"/>
    </row>
    <row r="6520">
      <c r="F6520" s="17"/>
    </row>
    <row r="6521">
      <c r="F6521" s="17"/>
    </row>
    <row r="6522">
      <c r="F6522" s="17"/>
    </row>
    <row r="6523">
      <c r="F6523" s="17"/>
    </row>
    <row r="6524">
      <c r="F6524" s="17"/>
    </row>
    <row r="6525">
      <c r="F6525" s="17"/>
    </row>
    <row r="6526">
      <c r="F6526" s="17"/>
    </row>
    <row r="6527">
      <c r="F6527" s="17"/>
    </row>
    <row r="6528">
      <c r="F6528" s="17"/>
    </row>
    <row r="6529">
      <c r="F6529" s="17"/>
    </row>
    <row r="6530">
      <c r="F6530" s="17"/>
    </row>
    <row r="6531">
      <c r="F6531" s="17"/>
    </row>
    <row r="6532">
      <c r="F6532" s="17"/>
    </row>
    <row r="6533">
      <c r="F6533" s="17"/>
    </row>
    <row r="6534">
      <c r="F6534" s="17"/>
    </row>
    <row r="6535">
      <c r="F6535" s="17"/>
    </row>
    <row r="6536">
      <c r="F6536" s="17"/>
    </row>
    <row r="6537">
      <c r="F6537" s="17"/>
    </row>
    <row r="6538">
      <c r="F6538" s="17"/>
    </row>
    <row r="6539">
      <c r="F6539" s="17"/>
    </row>
    <row r="6540">
      <c r="F6540" s="17"/>
    </row>
    <row r="6541">
      <c r="F6541" s="17"/>
    </row>
    <row r="6542">
      <c r="F6542" s="17"/>
    </row>
    <row r="6543">
      <c r="F6543" s="17"/>
    </row>
    <row r="6544">
      <c r="F6544" s="17"/>
    </row>
    <row r="6545">
      <c r="F6545" s="17"/>
    </row>
    <row r="6546">
      <c r="F6546" s="17"/>
    </row>
    <row r="6547">
      <c r="F6547" s="17"/>
    </row>
    <row r="6548">
      <c r="F6548" s="17"/>
    </row>
    <row r="6549">
      <c r="F6549" s="17"/>
    </row>
    <row r="6550">
      <c r="F6550" s="17"/>
    </row>
    <row r="6551">
      <c r="F6551" s="17"/>
    </row>
    <row r="6552">
      <c r="F6552" s="17"/>
    </row>
    <row r="6553">
      <c r="F6553" s="17"/>
    </row>
    <row r="6554">
      <c r="F6554" s="17"/>
    </row>
    <row r="6555">
      <c r="F6555" s="17"/>
    </row>
    <row r="6556">
      <c r="F6556" s="17"/>
    </row>
    <row r="6557">
      <c r="F6557" s="17"/>
    </row>
    <row r="6558">
      <c r="F6558" s="17"/>
    </row>
    <row r="6559">
      <c r="F6559" s="17"/>
    </row>
    <row r="6560">
      <c r="F6560" s="17"/>
    </row>
    <row r="6561">
      <c r="F6561" s="17"/>
    </row>
    <row r="6562">
      <c r="F6562" s="17"/>
    </row>
    <row r="6563">
      <c r="F6563" s="17"/>
    </row>
    <row r="6564">
      <c r="F6564" s="17"/>
    </row>
    <row r="6565">
      <c r="F6565" s="17"/>
    </row>
    <row r="6566">
      <c r="F6566" s="17"/>
    </row>
    <row r="6567">
      <c r="F6567" s="17"/>
    </row>
    <row r="6568">
      <c r="F6568" s="17"/>
    </row>
    <row r="6569">
      <c r="F6569" s="17"/>
    </row>
    <row r="6570">
      <c r="F6570" s="17"/>
    </row>
    <row r="6571">
      <c r="F6571" s="17"/>
    </row>
    <row r="6572">
      <c r="F6572" s="17"/>
    </row>
    <row r="6573">
      <c r="F6573" s="17"/>
    </row>
    <row r="6574">
      <c r="F6574" s="17"/>
    </row>
    <row r="6575">
      <c r="F6575" s="17"/>
    </row>
    <row r="6576">
      <c r="F6576" s="17"/>
    </row>
    <row r="6577">
      <c r="F6577" s="17"/>
    </row>
    <row r="6578">
      <c r="F6578" s="17"/>
    </row>
    <row r="6579">
      <c r="F6579" s="17"/>
    </row>
    <row r="6580">
      <c r="F6580" s="17"/>
    </row>
    <row r="6581">
      <c r="F6581" s="17"/>
    </row>
    <row r="6582">
      <c r="F6582" s="17"/>
    </row>
    <row r="6583">
      <c r="F6583" s="17"/>
    </row>
    <row r="6584">
      <c r="F6584" s="17"/>
    </row>
    <row r="6585">
      <c r="F6585" s="17"/>
    </row>
    <row r="6586">
      <c r="F6586" s="17"/>
    </row>
    <row r="6587">
      <c r="F6587" s="17"/>
    </row>
    <row r="6588">
      <c r="F6588" s="17"/>
    </row>
    <row r="6589">
      <c r="F6589" s="17"/>
    </row>
    <row r="6590">
      <c r="F6590" s="17"/>
    </row>
    <row r="6591">
      <c r="F6591" s="17"/>
    </row>
    <row r="6592">
      <c r="F6592" s="17"/>
    </row>
    <row r="6593">
      <c r="F6593" s="17"/>
    </row>
    <row r="6594">
      <c r="F6594" s="17"/>
    </row>
    <row r="6595">
      <c r="F6595" s="17"/>
    </row>
    <row r="6596">
      <c r="F6596" s="17"/>
    </row>
    <row r="6597">
      <c r="F6597" s="17"/>
    </row>
    <row r="6598">
      <c r="F6598" s="17"/>
    </row>
    <row r="6599">
      <c r="F6599" s="17"/>
    </row>
    <row r="6600">
      <c r="F6600" s="17"/>
    </row>
    <row r="6601">
      <c r="F6601" s="17"/>
    </row>
    <row r="6602">
      <c r="F6602" s="17"/>
    </row>
    <row r="6603">
      <c r="F6603" s="17"/>
    </row>
    <row r="6604">
      <c r="F6604" s="17"/>
    </row>
    <row r="6605">
      <c r="F6605" s="17"/>
    </row>
    <row r="6606">
      <c r="F6606" s="17"/>
    </row>
    <row r="6607">
      <c r="F6607" s="17"/>
    </row>
    <row r="6608">
      <c r="F6608" s="17"/>
    </row>
    <row r="6609">
      <c r="F6609" s="17"/>
    </row>
    <row r="6610">
      <c r="F6610" s="17"/>
    </row>
    <row r="6611">
      <c r="F6611" s="17"/>
    </row>
    <row r="6612">
      <c r="F6612" s="17"/>
    </row>
    <row r="6613">
      <c r="F6613" s="17"/>
    </row>
    <row r="6614">
      <c r="F6614" s="17"/>
    </row>
    <row r="6615">
      <c r="F6615" s="17"/>
    </row>
    <row r="6616">
      <c r="F6616" s="17"/>
    </row>
    <row r="6617">
      <c r="F6617" s="17"/>
    </row>
    <row r="6618">
      <c r="F6618" s="17"/>
    </row>
    <row r="6619">
      <c r="F6619" s="17"/>
    </row>
    <row r="6620">
      <c r="F6620" s="17"/>
    </row>
    <row r="6621">
      <c r="F6621" s="17"/>
    </row>
    <row r="6622">
      <c r="F6622" s="17"/>
    </row>
    <row r="6623">
      <c r="F6623" s="17"/>
    </row>
    <row r="6624">
      <c r="F6624" s="17"/>
    </row>
    <row r="6625">
      <c r="F6625" s="17"/>
    </row>
    <row r="6626">
      <c r="F6626" s="17"/>
    </row>
    <row r="6627">
      <c r="F6627" s="17"/>
    </row>
    <row r="6628">
      <c r="F6628" s="17"/>
    </row>
    <row r="6629">
      <c r="F6629" s="17"/>
    </row>
    <row r="6630">
      <c r="F6630" s="17"/>
    </row>
    <row r="6631">
      <c r="F6631" s="17"/>
    </row>
    <row r="6632">
      <c r="F6632" s="17"/>
    </row>
    <row r="6633">
      <c r="F6633" s="17"/>
    </row>
    <row r="6634">
      <c r="F6634" s="17"/>
    </row>
    <row r="6635">
      <c r="F6635" s="17"/>
    </row>
    <row r="6636">
      <c r="F6636" s="17"/>
    </row>
    <row r="6637">
      <c r="F6637" s="17"/>
    </row>
    <row r="6638">
      <c r="F6638" s="17"/>
    </row>
    <row r="6639">
      <c r="F6639" s="17"/>
    </row>
    <row r="6640">
      <c r="F6640" s="17"/>
    </row>
    <row r="6641">
      <c r="F6641" s="17"/>
    </row>
    <row r="6642">
      <c r="F6642" s="17"/>
    </row>
    <row r="6643">
      <c r="F6643" s="17"/>
    </row>
    <row r="6644">
      <c r="F6644" s="17"/>
    </row>
    <row r="6645">
      <c r="F6645" s="17"/>
    </row>
    <row r="6646">
      <c r="F6646" s="17"/>
    </row>
    <row r="6647">
      <c r="F6647" s="17"/>
    </row>
    <row r="6648">
      <c r="F6648" s="17"/>
    </row>
    <row r="6649">
      <c r="F6649" s="17"/>
    </row>
    <row r="6650">
      <c r="F6650" s="17"/>
    </row>
    <row r="6651">
      <c r="F6651" s="17"/>
    </row>
    <row r="6652">
      <c r="F6652" s="17"/>
    </row>
    <row r="6653">
      <c r="F6653" s="17"/>
    </row>
    <row r="6654">
      <c r="F6654" s="17"/>
    </row>
    <row r="6655">
      <c r="F6655" s="17"/>
    </row>
    <row r="6656">
      <c r="F6656" s="17"/>
    </row>
    <row r="6657">
      <c r="F6657" s="17"/>
    </row>
    <row r="6658">
      <c r="F6658" s="17"/>
    </row>
    <row r="6659">
      <c r="F6659" s="17"/>
    </row>
    <row r="6660">
      <c r="F6660" s="17"/>
    </row>
    <row r="6661">
      <c r="F6661" s="17"/>
    </row>
    <row r="6662">
      <c r="F6662" s="17"/>
    </row>
    <row r="6663">
      <c r="F6663" s="17"/>
    </row>
    <row r="6664">
      <c r="F6664" s="17"/>
    </row>
    <row r="6665">
      <c r="F6665" s="17"/>
    </row>
    <row r="6666">
      <c r="F6666" s="17"/>
    </row>
    <row r="6667">
      <c r="F6667" s="17"/>
    </row>
    <row r="6668">
      <c r="F6668" s="17"/>
    </row>
    <row r="6669">
      <c r="F6669" s="17"/>
    </row>
    <row r="6670">
      <c r="F6670" s="17"/>
    </row>
    <row r="6671">
      <c r="F6671" s="17"/>
    </row>
    <row r="6672">
      <c r="F6672" s="17"/>
    </row>
    <row r="6673">
      <c r="F6673" s="17"/>
    </row>
    <row r="6674">
      <c r="F6674" s="17"/>
    </row>
    <row r="6675">
      <c r="F6675" s="17"/>
    </row>
    <row r="6676">
      <c r="F6676" s="17"/>
    </row>
    <row r="6677">
      <c r="F6677" s="17"/>
    </row>
    <row r="6678">
      <c r="F6678" s="17"/>
    </row>
    <row r="6679">
      <c r="F6679" s="17"/>
    </row>
    <row r="6680">
      <c r="F6680" s="17"/>
    </row>
    <row r="6681">
      <c r="F6681" s="17"/>
    </row>
    <row r="6682">
      <c r="F6682" s="17"/>
    </row>
    <row r="6683">
      <c r="F6683" s="17"/>
    </row>
    <row r="6684">
      <c r="F6684" s="17"/>
    </row>
    <row r="6685">
      <c r="F6685" s="17"/>
    </row>
    <row r="6686">
      <c r="F6686" s="17"/>
    </row>
    <row r="6687">
      <c r="F6687" s="17"/>
    </row>
    <row r="6688">
      <c r="F6688" s="17"/>
    </row>
    <row r="6689">
      <c r="F6689" s="17"/>
    </row>
    <row r="6690">
      <c r="F6690" s="17"/>
    </row>
    <row r="6691">
      <c r="F6691" s="17"/>
    </row>
    <row r="6692">
      <c r="F6692" s="17"/>
    </row>
    <row r="6693">
      <c r="F6693" s="17"/>
    </row>
    <row r="6694">
      <c r="F6694" s="17"/>
    </row>
    <row r="6695">
      <c r="F6695" s="17"/>
    </row>
    <row r="6696">
      <c r="F6696" s="17"/>
    </row>
    <row r="6697">
      <c r="F6697" s="17"/>
    </row>
    <row r="6698">
      <c r="F6698" s="17"/>
    </row>
    <row r="6699">
      <c r="F6699" s="17"/>
    </row>
    <row r="6700">
      <c r="F6700" s="17"/>
    </row>
    <row r="6701">
      <c r="F6701" s="17"/>
    </row>
    <row r="6702">
      <c r="F6702" s="17"/>
    </row>
    <row r="6703">
      <c r="F6703" s="17"/>
    </row>
    <row r="6704">
      <c r="F6704" s="17"/>
    </row>
    <row r="6705">
      <c r="F6705" s="17"/>
    </row>
    <row r="6706">
      <c r="F6706" s="17"/>
    </row>
    <row r="6707">
      <c r="F6707" s="17"/>
    </row>
    <row r="6708">
      <c r="F6708" s="17"/>
    </row>
    <row r="6709">
      <c r="F6709" s="17"/>
    </row>
    <row r="6710">
      <c r="F6710" s="17"/>
    </row>
    <row r="6711">
      <c r="F6711" s="17"/>
    </row>
    <row r="6712">
      <c r="F6712" s="17"/>
    </row>
    <row r="6713">
      <c r="F6713" s="17"/>
    </row>
    <row r="6714">
      <c r="F6714" s="17"/>
    </row>
    <row r="6715">
      <c r="F6715" s="17"/>
    </row>
    <row r="6716">
      <c r="F6716" s="17"/>
    </row>
    <row r="6717">
      <c r="F6717" s="17"/>
    </row>
    <row r="6718">
      <c r="F6718" s="17"/>
    </row>
    <row r="6719">
      <c r="F6719" s="17"/>
    </row>
    <row r="6720">
      <c r="F6720" s="17"/>
    </row>
    <row r="6721">
      <c r="F6721" s="17"/>
    </row>
    <row r="6722">
      <c r="F6722" s="17"/>
    </row>
    <row r="6723">
      <c r="F6723" s="17"/>
    </row>
    <row r="6724">
      <c r="F6724" s="17"/>
    </row>
    <row r="6725">
      <c r="F6725" s="17"/>
    </row>
    <row r="6726">
      <c r="F6726" s="17"/>
    </row>
    <row r="6727">
      <c r="F6727" s="17"/>
    </row>
    <row r="6728">
      <c r="F6728" s="17"/>
    </row>
    <row r="6729">
      <c r="F6729" s="17"/>
    </row>
    <row r="6730">
      <c r="F6730" s="17"/>
    </row>
    <row r="6731">
      <c r="F6731" s="17"/>
    </row>
    <row r="6732">
      <c r="F6732" s="17"/>
    </row>
    <row r="6733">
      <c r="F6733" s="17"/>
    </row>
    <row r="6734">
      <c r="F6734" s="17"/>
    </row>
    <row r="6735">
      <c r="F6735" s="17"/>
    </row>
    <row r="6736">
      <c r="F6736" s="17"/>
    </row>
    <row r="6737">
      <c r="F6737" s="17"/>
    </row>
    <row r="6738">
      <c r="F6738" s="17"/>
    </row>
    <row r="6739">
      <c r="F6739" s="17"/>
    </row>
    <row r="6740">
      <c r="F6740" s="17"/>
    </row>
    <row r="6741">
      <c r="F6741" s="17"/>
    </row>
    <row r="6742">
      <c r="F6742" s="17"/>
    </row>
    <row r="6743">
      <c r="F6743" s="17"/>
    </row>
    <row r="6744">
      <c r="F6744" s="17"/>
    </row>
    <row r="6745">
      <c r="F6745" s="17"/>
    </row>
    <row r="6746">
      <c r="F6746" s="17"/>
    </row>
    <row r="6747">
      <c r="F6747" s="17"/>
    </row>
    <row r="6748">
      <c r="F6748" s="17"/>
    </row>
    <row r="6749">
      <c r="F6749" s="17"/>
    </row>
    <row r="6750">
      <c r="F6750" s="17"/>
    </row>
    <row r="6751">
      <c r="F6751" s="17"/>
    </row>
    <row r="6752">
      <c r="F6752" s="17"/>
    </row>
    <row r="6753">
      <c r="F6753" s="17"/>
    </row>
    <row r="6754">
      <c r="F6754" s="17"/>
    </row>
    <row r="6755">
      <c r="F6755" s="17"/>
    </row>
    <row r="6756">
      <c r="F6756" s="17"/>
    </row>
    <row r="6757">
      <c r="F6757" s="17"/>
    </row>
    <row r="6758">
      <c r="F6758" s="17"/>
    </row>
    <row r="6759">
      <c r="F6759" s="17"/>
    </row>
    <row r="6760">
      <c r="F6760" s="17"/>
    </row>
    <row r="6761">
      <c r="F6761" s="17"/>
    </row>
    <row r="6762">
      <c r="F6762" s="17"/>
    </row>
    <row r="6763">
      <c r="F6763" s="17"/>
    </row>
    <row r="6764">
      <c r="F6764" s="17"/>
    </row>
    <row r="6765">
      <c r="F6765" s="17"/>
    </row>
    <row r="6766">
      <c r="F6766" s="17"/>
    </row>
    <row r="6767">
      <c r="F6767" s="17"/>
    </row>
    <row r="6768">
      <c r="F6768" s="17"/>
    </row>
    <row r="6769">
      <c r="F6769" s="17"/>
    </row>
    <row r="6770">
      <c r="F6770" s="17"/>
    </row>
    <row r="6771">
      <c r="F6771" s="17"/>
    </row>
    <row r="6772">
      <c r="F6772" s="17"/>
    </row>
    <row r="6773">
      <c r="F6773" s="17"/>
    </row>
    <row r="6774">
      <c r="F6774" s="17"/>
    </row>
    <row r="6775">
      <c r="F6775" s="17"/>
    </row>
    <row r="6776">
      <c r="F6776" s="17"/>
    </row>
    <row r="6777">
      <c r="F6777" s="17"/>
    </row>
    <row r="6778">
      <c r="F6778" s="17"/>
    </row>
    <row r="6779">
      <c r="F6779" s="17"/>
    </row>
    <row r="6780">
      <c r="F6780" s="17"/>
    </row>
    <row r="6781">
      <c r="F6781" s="17"/>
    </row>
    <row r="6782">
      <c r="F6782" s="17"/>
    </row>
    <row r="6783">
      <c r="F6783" s="17"/>
    </row>
    <row r="6784">
      <c r="F6784" s="17"/>
    </row>
    <row r="6785">
      <c r="F6785" s="17"/>
    </row>
    <row r="6786">
      <c r="F6786" s="17"/>
    </row>
    <row r="6787">
      <c r="F6787" s="17"/>
    </row>
    <row r="6788">
      <c r="F6788" s="17"/>
    </row>
    <row r="6789">
      <c r="F6789" s="17"/>
    </row>
    <row r="6790">
      <c r="F6790" s="17"/>
    </row>
    <row r="6791">
      <c r="F6791" s="17"/>
    </row>
    <row r="6792">
      <c r="F6792" s="17"/>
    </row>
    <row r="6793">
      <c r="F6793" s="17"/>
    </row>
    <row r="6794">
      <c r="F6794" s="17"/>
    </row>
    <row r="6795">
      <c r="F6795" s="17"/>
    </row>
    <row r="6796">
      <c r="F6796" s="17"/>
    </row>
    <row r="6797">
      <c r="F6797" s="17"/>
    </row>
    <row r="6798">
      <c r="F6798" s="17"/>
    </row>
    <row r="6799">
      <c r="F6799" s="17"/>
    </row>
    <row r="6800">
      <c r="F6800" s="17"/>
    </row>
    <row r="6801">
      <c r="F6801" s="17"/>
    </row>
    <row r="6802">
      <c r="F6802" s="17"/>
    </row>
    <row r="6803">
      <c r="F6803" s="17"/>
    </row>
    <row r="6804">
      <c r="F6804" s="17"/>
    </row>
    <row r="6805">
      <c r="F6805" s="17"/>
    </row>
    <row r="6806">
      <c r="F6806" s="17"/>
    </row>
    <row r="6807">
      <c r="F6807" s="17"/>
    </row>
    <row r="6808">
      <c r="F6808" s="17"/>
    </row>
    <row r="6809">
      <c r="F6809" s="17"/>
    </row>
    <row r="6810">
      <c r="F6810" s="17"/>
    </row>
    <row r="6811">
      <c r="F6811" s="17"/>
    </row>
    <row r="6812">
      <c r="F6812" s="17"/>
    </row>
    <row r="6813">
      <c r="F6813" s="17"/>
    </row>
    <row r="6814">
      <c r="F6814" s="17"/>
    </row>
    <row r="6815">
      <c r="F6815" s="17"/>
    </row>
    <row r="6816">
      <c r="F6816" s="17"/>
    </row>
    <row r="6817">
      <c r="F6817" s="17"/>
    </row>
    <row r="6818">
      <c r="F6818" s="17"/>
    </row>
    <row r="6819">
      <c r="F6819" s="17"/>
    </row>
    <row r="6820">
      <c r="F6820" s="17"/>
    </row>
    <row r="6821">
      <c r="F6821" s="17"/>
    </row>
    <row r="6822">
      <c r="F6822" s="17"/>
    </row>
    <row r="6823">
      <c r="F6823" s="17"/>
    </row>
    <row r="6824">
      <c r="F6824" s="17"/>
    </row>
    <row r="6825">
      <c r="F6825" s="17"/>
    </row>
    <row r="6826">
      <c r="F6826" s="17"/>
    </row>
    <row r="6827">
      <c r="F6827" s="17"/>
    </row>
    <row r="6828">
      <c r="F6828" s="17"/>
    </row>
    <row r="6829">
      <c r="F6829" s="17"/>
    </row>
    <row r="6830">
      <c r="F6830" s="17"/>
    </row>
    <row r="6831">
      <c r="F6831" s="17"/>
    </row>
    <row r="6832">
      <c r="F6832" s="17"/>
    </row>
    <row r="6833">
      <c r="F6833" s="17"/>
    </row>
    <row r="6834">
      <c r="F6834" s="17"/>
    </row>
    <row r="6835">
      <c r="F6835" s="17"/>
    </row>
    <row r="6836">
      <c r="F6836" s="17"/>
    </row>
    <row r="6837">
      <c r="F6837" s="17"/>
    </row>
    <row r="6838">
      <c r="F6838" s="17"/>
    </row>
    <row r="6839">
      <c r="F6839" s="17"/>
    </row>
    <row r="6840">
      <c r="F6840" s="17"/>
    </row>
    <row r="6841">
      <c r="F6841" s="17"/>
    </row>
    <row r="6842">
      <c r="F6842" s="17"/>
    </row>
    <row r="6843">
      <c r="F6843" s="17"/>
    </row>
    <row r="6844">
      <c r="F6844" s="17"/>
    </row>
    <row r="6845">
      <c r="F6845" s="17"/>
    </row>
    <row r="6846">
      <c r="F6846" s="17"/>
    </row>
    <row r="6847">
      <c r="F6847" s="17"/>
    </row>
    <row r="6848">
      <c r="F6848" s="17"/>
    </row>
    <row r="6849">
      <c r="F6849" s="17"/>
    </row>
    <row r="6850">
      <c r="F6850" s="17"/>
    </row>
    <row r="6851">
      <c r="F6851" s="17"/>
    </row>
    <row r="6852">
      <c r="F6852" s="17"/>
    </row>
    <row r="6853">
      <c r="F6853" s="17"/>
    </row>
    <row r="6854">
      <c r="F6854" s="17"/>
    </row>
    <row r="6855">
      <c r="F6855" s="17"/>
    </row>
    <row r="6856">
      <c r="F6856" s="17"/>
    </row>
    <row r="6857">
      <c r="F6857" s="17"/>
    </row>
    <row r="6858">
      <c r="F6858" s="17"/>
    </row>
    <row r="6859">
      <c r="F6859" s="17"/>
    </row>
    <row r="6860">
      <c r="F6860" s="17"/>
    </row>
    <row r="6861">
      <c r="F6861" s="17"/>
    </row>
    <row r="6862">
      <c r="F6862" s="17"/>
    </row>
    <row r="6863">
      <c r="F6863" s="17"/>
    </row>
    <row r="6864">
      <c r="F6864" s="17"/>
    </row>
    <row r="6865">
      <c r="F6865" s="17"/>
    </row>
    <row r="6866">
      <c r="F6866" s="17"/>
    </row>
    <row r="6867">
      <c r="F6867" s="17"/>
    </row>
    <row r="6868">
      <c r="F6868" s="17"/>
    </row>
    <row r="6869">
      <c r="F6869" s="17"/>
    </row>
    <row r="6870">
      <c r="F6870" s="17"/>
    </row>
    <row r="6871">
      <c r="F6871" s="17"/>
    </row>
    <row r="6872">
      <c r="F6872" s="17"/>
    </row>
    <row r="6873">
      <c r="F6873" s="17"/>
    </row>
    <row r="6874">
      <c r="F6874" s="17"/>
    </row>
    <row r="6875">
      <c r="F6875" s="17"/>
    </row>
    <row r="6876">
      <c r="F6876" s="17"/>
    </row>
    <row r="6877">
      <c r="F6877" s="17"/>
    </row>
    <row r="6878">
      <c r="F6878" s="17"/>
    </row>
    <row r="6879">
      <c r="F6879" s="17"/>
    </row>
    <row r="6880">
      <c r="F6880" s="17"/>
    </row>
    <row r="6881">
      <c r="F6881" s="17"/>
    </row>
    <row r="6882">
      <c r="F6882" s="17"/>
    </row>
    <row r="6883">
      <c r="F6883" s="17"/>
    </row>
    <row r="6884">
      <c r="F6884" s="17"/>
    </row>
    <row r="6885">
      <c r="F6885" s="17"/>
    </row>
    <row r="6886">
      <c r="F6886" s="17"/>
    </row>
    <row r="6887">
      <c r="F6887" s="17"/>
    </row>
    <row r="6888">
      <c r="F6888" s="17"/>
    </row>
    <row r="6889">
      <c r="F6889" s="17"/>
    </row>
    <row r="6890">
      <c r="F6890" s="17"/>
    </row>
    <row r="6891">
      <c r="F6891" s="17"/>
    </row>
    <row r="6892">
      <c r="F6892" s="17"/>
    </row>
    <row r="6893">
      <c r="F6893" s="17"/>
    </row>
    <row r="6894">
      <c r="F6894" s="17"/>
    </row>
    <row r="6895">
      <c r="F6895" s="17"/>
    </row>
    <row r="6896">
      <c r="F6896" s="17"/>
    </row>
    <row r="6897">
      <c r="F6897" s="17"/>
    </row>
    <row r="6898">
      <c r="F6898" s="17"/>
    </row>
    <row r="6899">
      <c r="F6899" s="17"/>
    </row>
    <row r="6900">
      <c r="F6900" s="17"/>
    </row>
    <row r="6901">
      <c r="F6901" s="17"/>
    </row>
    <row r="6902">
      <c r="F6902" s="17"/>
    </row>
    <row r="6903">
      <c r="F6903" s="17"/>
    </row>
    <row r="6904">
      <c r="F6904" s="17"/>
    </row>
    <row r="6905">
      <c r="F6905" s="17"/>
    </row>
    <row r="6906">
      <c r="F6906" s="17"/>
    </row>
    <row r="6907">
      <c r="F6907" s="17"/>
    </row>
    <row r="6908">
      <c r="F6908" s="17"/>
    </row>
    <row r="6909">
      <c r="F6909" s="17"/>
    </row>
    <row r="6910">
      <c r="F6910" s="17"/>
    </row>
    <row r="6911">
      <c r="F6911" s="17"/>
    </row>
    <row r="6912">
      <c r="F6912" s="17"/>
    </row>
    <row r="6913">
      <c r="F6913" s="17"/>
    </row>
    <row r="6914">
      <c r="F6914" s="17"/>
    </row>
    <row r="6915">
      <c r="F6915" s="17"/>
    </row>
    <row r="6916">
      <c r="F6916" s="17"/>
    </row>
    <row r="6917">
      <c r="F6917" s="17"/>
    </row>
    <row r="6918">
      <c r="F6918" s="17"/>
    </row>
    <row r="6919">
      <c r="F6919" s="17"/>
    </row>
    <row r="6920">
      <c r="F6920" s="17"/>
    </row>
    <row r="6921">
      <c r="F6921" s="17"/>
    </row>
    <row r="6922">
      <c r="F6922" s="17"/>
    </row>
    <row r="6923">
      <c r="F6923" s="17"/>
    </row>
    <row r="6924">
      <c r="F6924" s="17"/>
    </row>
    <row r="6925">
      <c r="F6925" s="17"/>
    </row>
    <row r="6926">
      <c r="F6926" s="17"/>
    </row>
    <row r="6927">
      <c r="F6927" s="17"/>
    </row>
    <row r="6928">
      <c r="F6928" s="17"/>
    </row>
    <row r="6929">
      <c r="F6929" s="17"/>
    </row>
    <row r="6930">
      <c r="F6930" s="17"/>
    </row>
    <row r="6931">
      <c r="F6931" s="17"/>
    </row>
    <row r="6932">
      <c r="F6932" s="17"/>
    </row>
    <row r="6933">
      <c r="F6933" s="17"/>
    </row>
    <row r="6934">
      <c r="F6934" s="17"/>
    </row>
    <row r="6935">
      <c r="F6935" s="17"/>
    </row>
    <row r="6936">
      <c r="F6936" s="17"/>
    </row>
    <row r="6937">
      <c r="F6937" s="17"/>
    </row>
    <row r="6938">
      <c r="F6938" s="17"/>
    </row>
    <row r="6939">
      <c r="F6939" s="17"/>
    </row>
    <row r="6940">
      <c r="F6940" s="17"/>
    </row>
    <row r="6941">
      <c r="F6941" s="17"/>
    </row>
    <row r="6942">
      <c r="F6942" s="17"/>
    </row>
    <row r="6943">
      <c r="F6943" s="17"/>
    </row>
    <row r="6944">
      <c r="F6944" s="17"/>
    </row>
    <row r="6945">
      <c r="F6945" s="17"/>
    </row>
    <row r="6946">
      <c r="F6946" s="17"/>
    </row>
    <row r="6947">
      <c r="F6947" s="17"/>
    </row>
    <row r="6948">
      <c r="F6948" s="17"/>
    </row>
    <row r="6949">
      <c r="F6949" s="17"/>
    </row>
    <row r="6950">
      <c r="F6950" s="17"/>
    </row>
    <row r="6951">
      <c r="F6951" s="17"/>
    </row>
    <row r="6952">
      <c r="F6952" s="17"/>
    </row>
    <row r="6953">
      <c r="F6953" s="17"/>
    </row>
    <row r="6954">
      <c r="F6954" s="17"/>
    </row>
    <row r="6955">
      <c r="F6955" s="17"/>
    </row>
    <row r="6956">
      <c r="F6956" s="17"/>
    </row>
    <row r="6957">
      <c r="F6957" s="17"/>
    </row>
    <row r="6958">
      <c r="F6958" s="17"/>
    </row>
    <row r="6959">
      <c r="F6959" s="17"/>
    </row>
    <row r="6960">
      <c r="F6960" s="17"/>
    </row>
    <row r="6961">
      <c r="F6961" s="17"/>
    </row>
    <row r="6962">
      <c r="F6962" s="17"/>
    </row>
    <row r="6963">
      <c r="F6963" s="17"/>
    </row>
    <row r="6964">
      <c r="F6964" s="17"/>
    </row>
    <row r="6965">
      <c r="F6965" s="17"/>
    </row>
    <row r="6966">
      <c r="F6966" s="17"/>
    </row>
    <row r="6967">
      <c r="F6967" s="17"/>
    </row>
    <row r="6968">
      <c r="F6968" s="17"/>
    </row>
    <row r="6969">
      <c r="F6969" s="17"/>
    </row>
    <row r="6970">
      <c r="F6970" s="17"/>
    </row>
    <row r="6971">
      <c r="F6971" s="17"/>
    </row>
    <row r="6972">
      <c r="F6972" s="17"/>
    </row>
    <row r="6973">
      <c r="F6973" s="17"/>
    </row>
    <row r="6974">
      <c r="F6974" s="17"/>
    </row>
    <row r="6975">
      <c r="F6975" s="17"/>
    </row>
    <row r="6976">
      <c r="F6976" s="17"/>
    </row>
    <row r="6977">
      <c r="F6977" s="17"/>
    </row>
    <row r="6978">
      <c r="F6978" s="17"/>
    </row>
    <row r="6979">
      <c r="F6979" s="17"/>
    </row>
    <row r="6980">
      <c r="F6980" s="17"/>
    </row>
    <row r="6981">
      <c r="F6981" s="17"/>
    </row>
    <row r="6982">
      <c r="F6982" s="17"/>
    </row>
    <row r="6983">
      <c r="F6983" s="17"/>
    </row>
    <row r="6984">
      <c r="F6984" s="17"/>
    </row>
    <row r="6985">
      <c r="F6985" s="17"/>
    </row>
    <row r="6986">
      <c r="F6986" s="17"/>
    </row>
    <row r="6987">
      <c r="F6987" s="17"/>
    </row>
    <row r="6988">
      <c r="F6988" s="17"/>
    </row>
    <row r="6989">
      <c r="F6989" s="17"/>
    </row>
    <row r="6990">
      <c r="F6990" s="17"/>
    </row>
    <row r="6991">
      <c r="F6991" s="17"/>
    </row>
    <row r="6992">
      <c r="F6992" s="17"/>
    </row>
    <row r="6993">
      <c r="F6993" s="17"/>
    </row>
    <row r="6994">
      <c r="F6994" s="17"/>
    </row>
    <row r="6995">
      <c r="F6995" s="17"/>
    </row>
    <row r="6996">
      <c r="F6996" s="17"/>
    </row>
    <row r="6997">
      <c r="F6997" s="17"/>
    </row>
    <row r="6998">
      <c r="F6998" s="17"/>
    </row>
    <row r="6999">
      <c r="F6999" s="17"/>
    </row>
    <row r="7000">
      <c r="F7000" s="17"/>
    </row>
    <row r="7001">
      <c r="F7001" s="17"/>
    </row>
    <row r="7002">
      <c r="F7002" s="17"/>
    </row>
    <row r="7003">
      <c r="F7003" s="17"/>
    </row>
    <row r="7004">
      <c r="F7004" s="17"/>
    </row>
    <row r="7005">
      <c r="F7005" s="17"/>
    </row>
    <row r="7006">
      <c r="F7006" s="17"/>
    </row>
    <row r="7007">
      <c r="F7007" s="17"/>
    </row>
    <row r="7008">
      <c r="F7008" s="17"/>
    </row>
    <row r="7009">
      <c r="F7009" s="17"/>
    </row>
    <row r="7010">
      <c r="F7010" s="17"/>
    </row>
    <row r="7011">
      <c r="F7011" s="17"/>
    </row>
    <row r="7012">
      <c r="F7012" s="17"/>
    </row>
    <row r="7013">
      <c r="F7013" s="17"/>
    </row>
    <row r="7014">
      <c r="F7014" s="17"/>
    </row>
    <row r="7015">
      <c r="F7015" s="17"/>
    </row>
    <row r="7016">
      <c r="F7016" s="17"/>
    </row>
    <row r="7017">
      <c r="F7017" s="17"/>
    </row>
    <row r="7018">
      <c r="F7018" s="17"/>
    </row>
    <row r="7019">
      <c r="F7019" s="17"/>
    </row>
    <row r="7020">
      <c r="F7020" s="17"/>
    </row>
    <row r="7021">
      <c r="F7021" s="17"/>
    </row>
    <row r="7022">
      <c r="F7022" s="17"/>
    </row>
    <row r="7023">
      <c r="F7023" s="17"/>
    </row>
    <row r="7024">
      <c r="F7024" s="17"/>
    </row>
    <row r="7025">
      <c r="F7025" s="17"/>
    </row>
    <row r="7026">
      <c r="F7026" s="17"/>
    </row>
    <row r="7027">
      <c r="F7027" s="17"/>
    </row>
    <row r="7028">
      <c r="F7028" s="17"/>
    </row>
    <row r="7029">
      <c r="F7029" s="17"/>
    </row>
    <row r="7030">
      <c r="F7030" s="17"/>
    </row>
    <row r="7031">
      <c r="F7031" s="17"/>
    </row>
    <row r="7032">
      <c r="F7032" s="17"/>
    </row>
    <row r="7033">
      <c r="F7033" s="17"/>
    </row>
    <row r="7034">
      <c r="F7034" s="17"/>
    </row>
    <row r="7035">
      <c r="F7035" s="17"/>
    </row>
    <row r="7036">
      <c r="F7036" s="17"/>
    </row>
    <row r="7037">
      <c r="F7037" s="17"/>
    </row>
    <row r="7038">
      <c r="F7038" s="17"/>
    </row>
    <row r="7039">
      <c r="F7039" s="17"/>
    </row>
    <row r="7040">
      <c r="F7040" s="17"/>
    </row>
    <row r="7041">
      <c r="F7041" s="17"/>
    </row>
    <row r="7042">
      <c r="F7042" s="17"/>
    </row>
    <row r="7043">
      <c r="F7043" s="17"/>
    </row>
    <row r="7044">
      <c r="F7044" s="17"/>
    </row>
    <row r="7045">
      <c r="F7045" s="17"/>
    </row>
    <row r="7046">
      <c r="F7046" s="17"/>
    </row>
    <row r="7047">
      <c r="F7047" s="17"/>
    </row>
    <row r="7048">
      <c r="F7048" s="17"/>
    </row>
    <row r="7049">
      <c r="F7049" s="17"/>
    </row>
    <row r="7050">
      <c r="F7050" s="17"/>
    </row>
    <row r="7051">
      <c r="F7051" s="17"/>
    </row>
    <row r="7052">
      <c r="F7052" s="17"/>
    </row>
    <row r="7053">
      <c r="F7053" s="17"/>
    </row>
    <row r="7054">
      <c r="F7054" s="17"/>
    </row>
    <row r="7055">
      <c r="F7055" s="17"/>
    </row>
    <row r="7056">
      <c r="F7056" s="17"/>
    </row>
    <row r="7057">
      <c r="F7057" s="17"/>
    </row>
    <row r="7058">
      <c r="F7058" s="17"/>
    </row>
    <row r="7059">
      <c r="F7059" s="17"/>
    </row>
    <row r="7060">
      <c r="F7060" s="17"/>
    </row>
    <row r="7061">
      <c r="F7061" s="17"/>
    </row>
    <row r="7062">
      <c r="F7062" s="17"/>
    </row>
    <row r="7063">
      <c r="F7063" s="17"/>
    </row>
    <row r="7064">
      <c r="F7064" s="17"/>
    </row>
    <row r="7065">
      <c r="F7065" s="17"/>
    </row>
    <row r="7066">
      <c r="F7066" s="17"/>
    </row>
    <row r="7067">
      <c r="F7067" s="17"/>
    </row>
    <row r="7068">
      <c r="F7068" s="17"/>
    </row>
    <row r="7069">
      <c r="F7069" s="17"/>
    </row>
    <row r="7070">
      <c r="F7070" s="17"/>
    </row>
    <row r="7071">
      <c r="F7071" s="17"/>
    </row>
    <row r="7072">
      <c r="F7072" s="17"/>
    </row>
    <row r="7073">
      <c r="F7073" s="17"/>
    </row>
    <row r="7074">
      <c r="F7074" s="17"/>
    </row>
    <row r="7075">
      <c r="F7075" s="17"/>
    </row>
    <row r="7076">
      <c r="F7076" s="17"/>
    </row>
    <row r="7077">
      <c r="F7077" s="17"/>
    </row>
    <row r="7078">
      <c r="F7078" s="17"/>
    </row>
    <row r="7079">
      <c r="F7079" s="17"/>
    </row>
    <row r="7080">
      <c r="F7080" s="17"/>
    </row>
    <row r="7081">
      <c r="F7081" s="17"/>
    </row>
    <row r="7082">
      <c r="F7082" s="17"/>
    </row>
    <row r="7083">
      <c r="F7083" s="17"/>
    </row>
    <row r="7084">
      <c r="F7084" s="17"/>
    </row>
    <row r="7085">
      <c r="F7085" s="17"/>
    </row>
    <row r="7086">
      <c r="F7086" s="17"/>
    </row>
    <row r="7087">
      <c r="F7087" s="17"/>
    </row>
    <row r="7088">
      <c r="F7088" s="17"/>
    </row>
    <row r="7089">
      <c r="F7089" s="17"/>
    </row>
    <row r="7090">
      <c r="F7090" s="17"/>
    </row>
    <row r="7091">
      <c r="F7091" s="17"/>
    </row>
    <row r="7092">
      <c r="F7092" s="17"/>
    </row>
    <row r="7093">
      <c r="F7093" s="17"/>
    </row>
    <row r="7094">
      <c r="F7094" s="17"/>
    </row>
    <row r="7095">
      <c r="F7095" s="17"/>
    </row>
    <row r="7096">
      <c r="F7096" s="17"/>
    </row>
    <row r="7097">
      <c r="F7097" s="17"/>
    </row>
    <row r="7098">
      <c r="F7098" s="17"/>
    </row>
    <row r="7099">
      <c r="F7099" s="17"/>
    </row>
    <row r="7100">
      <c r="F7100" s="17"/>
    </row>
    <row r="7101">
      <c r="F7101" s="17"/>
    </row>
    <row r="7102">
      <c r="F7102" s="17"/>
    </row>
    <row r="7103">
      <c r="F7103" s="17"/>
    </row>
    <row r="7104">
      <c r="F7104" s="17"/>
    </row>
    <row r="7105">
      <c r="F7105" s="17"/>
    </row>
    <row r="7106">
      <c r="F7106" s="17"/>
    </row>
    <row r="7107">
      <c r="F7107" s="17"/>
    </row>
    <row r="7108">
      <c r="F7108" s="17"/>
    </row>
    <row r="7109">
      <c r="F7109" s="17"/>
    </row>
    <row r="7110">
      <c r="F7110" s="17"/>
    </row>
    <row r="7111">
      <c r="F7111" s="17"/>
    </row>
    <row r="7112">
      <c r="F7112" s="17"/>
    </row>
    <row r="7113">
      <c r="F7113" s="17"/>
    </row>
    <row r="7114">
      <c r="F7114" s="17"/>
    </row>
    <row r="7115">
      <c r="F7115" s="17"/>
    </row>
    <row r="7116">
      <c r="F7116" s="17"/>
    </row>
    <row r="7117">
      <c r="F7117" s="17"/>
    </row>
    <row r="7118">
      <c r="F7118" s="17"/>
    </row>
    <row r="7119">
      <c r="F7119" s="17"/>
    </row>
    <row r="7120">
      <c r="F7120" s="17"/>
    </row>
    <row r="7121">
      <c r="F7121" s="17"/>
    </row>
    <row r="7122">
      <c r="F7122" s="17"/>
    </row>
    <row r="7123">
      <c r="F7123" s="17"/>
    </row>
    <row r="7124">
      <c r="F7124" s="17"/>
    </row>
    <row r="7125">
      <c r="F7125" s="17"/>
    </row>
    <row r="7126">
      <c r="F7126" s="17"/>
    </row>
    <row r="7127">
      <c r="F7127" s="17"/>
    </row>
    <row r="7128">
      <c r="F7128" s="17"/>
    </row>
    <row r="7129">
      <c r="F7129" s="17"/>
    </row>
    <row r="7130">
      <c r="F7130" s="17"/>
    </row>
    <row r="7131">
      <c r="F7131" s="17"/>
    </row>
    <row r="7132">
      <c r="F7132" s="17"/>
    </row>
    <row r="7133">
      <c r="F7133" s="17"/>
    </row>
    <row r="7134">
      <c r="F7134" s="17"/>
    </row>
    <row r="7135">
      <c r="F7135" s="17"/>
    </row>
    <row r="7136">
      <c r="F7136" s="17"/>
    </row>
    <row r="7137">
      <c r="F7137" s="17"/>
    </row>
    <row r="7138">
      <c r="F7138" s="17"/>
    </row>
    <row r="7139">
      <c r="F7139" s="17"/>
    </row>
    <row r="7140">
      <c r="F7140" s="17"/>
    </row>
    <row r="7141">
      <c r="F7141" s="17"/>
    </row>
    <row r="7142">
      <c r="F7142" s="17"/>
    </row>
    <row r="7143">
      <c r="F7143" s="17"/>
    </row>
    <row r="7144">
      <c r="F7144" s="17"/>
    </row>
    <row r="7145">
      <c r="F7145" s="17"/>
    </row>
    <row r="7146">
      <c r="F7146" s="17"/>
    </row>
    <row r="7147">
      <c r="F7147" s="17"/>
    </row>
    <row r="7148">
      <c r="F7148" s="17"/>
    </row>
    <row r="7149">
      <c r="F7149" s="17"/>
    </row>
    <row r="7150">
      <c r="F7150" s="17"/>
    </row>
    <row r="7151">
      <c r="F7151" s="17"/>
    </row>
    <row r="7152">
      <c r="F7152" s="17"/>
    </row>
    <row r="7153">
      <c r="F7153" s="17"/>
    </row>
    <row r="7154">
      <c r="F7154" s="17"/>
    </row>
    <row r="7155">
      <c r="F7155" s="17"/>
    </row>
    <row r="7156">
      <c r="F7156" s="17"/>
    </row>
    <row r="7157">
      <c r="F7157" s="17"/>
    </row>
    <row r="7158">
      <c r="F7158" s="17"/>
    </row>
    <row r="7159">
      <c r="F7159" s="17"/>
    </row>
    <row r="7160">
      <c r="F7160" s="17"/>
    </row>
    <row r="7161">
      <c r="F7161" s="17"/>
    </row>
    <row r="7162">
      <c r="F7162" s="17"/>
    </row>
    <row r="7163">
      <c r="F7163" s="17"/>
    </row>
    <row r="7164">
      <c r="F7164" s="17"/>
    </row>
    <row r="7165">
      <c r="F7165" s="17"/>
    </row>
    <row r="7166">
      <c r="F7166" s="17"/>
    </row>
    <row r="7167">
      <c r="F7167" s="17"/>
    </row>
    <row r="7168">
      <c r="F7168" s="17"/>
    </row>
    <row r="7169">
      <c r="F7169" s="17"/>
    </row>
    <row r="7170">
      <c r="F7170" s="17"/>
    </row>
    <row r="7171">
      <c r="F7171" s="17"/>
    </row>
    <row r="7172">
      <c r="F7172" s="17"/>
    </row>
    <row r="7173">
      <c r="F7173" s="17"/>
    </row>
    <row r="7174">
      <c r="F7174" s="17"/>
    </row>
    <row r="7175">
      <c r="F7175" s="17"/>
    </row>
    <row r="7176">
      <c r="F7176" s="17"/>
    </row>
    <row r="7177">
      <c r="F7177" s="17"/>
    </row>
    <row r="7178">
      <c r="F7178" s="17"/>
    </row>
    <row r="7179">
      <c r="F7179" s="17"/>
    </row>
    <row r="7180">
      <c r="F7180" s="17"/>
    </row>
    <row r="7181">
      <c r="F7181" s="17"/>
    </row>
    <row r="7182">
      <c r="F7182" s="17"/>
    </row>
    <row r="7183">
      <c r="F7183" s="17"/>
    </row>
    <row r="7184">
      <c r="F7184" s="17"/>
    </row>
    <row r="7185">
      <c r="F7185" s="17"/>
    </row>
    <row r="7186">
      <c r="F7186" s="17"/>
    </row>
    <row r="7187">
      <c r="F7187" s="17"/>
    </row>
    <row r="7188">
      <c r="F7188" s="17"/>
    </row>
    <row r="7189">
      <c r="F7189" s="17"/>
    </row>
    <row r="7190">
      <c r="F7190" s="17"/>
    </row>
    <row r="7191">
      <c r="F7191" s="17"/>
    </row>
    <row r="7192">
      <c r="F7192" s="17"/>
    </row>
    <row r="7193">
      <c r="F7193" s="17"/>
    </row>
    <row r="7194">
      <c r="F7194" s="17"/>
    </row>
    <row r="7195">
      <c r="F7195" s="17"/>
    </row>
    <row r="7196">
      <c r="F7196" s="17"/>
    </row>
    <row r="7197">
      <c r="F7197" s="17"/>
    </row>
    <row r="7198">
      <c r="F7198" s="17"/>
    </row>
    <row r="7199">
      <c r="F7199" s="17"/>
    </row>
    <row r="7200">
      <c r="F7200" s="17"/>
    </row>
    <row r="7201">
      <c r="F7201" s="17"/>
    </row>
    <row r="7202">
      <c r="F7202" s="17"/>
    </row>
    <row r="7203">
      <c r="F7203" s="17"/>
    </row>
    <row r="7204">
      <c r="F7204" s="17"/>
    </row>
    <row r="7205">
      <c r="F7205" s="17"/>
    </row>
    <row r="7206">
      <c r="F7206" s="17"/>
    </row>
    <row r="7207">
      <c r="F7207" s="17"/>
    </row>
    <row r="7208">
      <c r="F7208" s="17"/>
    </row>
    <row r="7209">
      <c r="F7209" s="17"/>
    </row>
    <row r="7210">
      <c r="F7210" s="17"/>
    </row>
    <row r="7211">
      <c r="F7211" s="17"/>
    </row>
    <row r="7212">
      <c r="F7212" s="17"/>
    </row>
    <row r="7213">
      <c r="F7213" s="17"/>
    </row>
    <row r="7214">
      <c r="F7214" s="17"/>
    </row>
    <row r="7215">
      <c r="F7215" s="17"/>
    </row>
    <row r="7216">
      <c r="F7216" s="17"/>
    </row>
    <row r="7217">
      <c r="F7217" s="17"/>
    </row>
    <row r="7218">
      <c r="F7218" s="17"/>
    </row>
    <row r="7219">
      <c r="F7219" s="17"/>
    </row>
    <row r="7220">
      <c r="F7220" s="17"/>
    </row>
    <row r="7221">
      <c r="F7221" s="17"/>
    </row>
    <row r="7222">
      <c r="F7222" s="17"/>
    </row>
    <row r="7223">
      <c r="F7223" s="17"/>
    </row>
    <row r="7224">
      <c r="F7224" s="17"/>
    </row>
    <row r="7225">
      <c r="F7225" s="17"/>
    </row>
    <row r="7226">
      <c r="F7226" s="17"/>
    </row>
    <row r="7227">
      <c r="F7227" s="17"/>
    </row>
    <row r="7228">
      <c r="F7228" s="17"/>
    </row>
    <row r="7229">
      <c r="F7229" s="17"/>
    </row>
    <row r="7230">
      <c r="F7230" s="17"/>
    </row>
    <row r="7231">
      <c r="F7231" s="17"/>
    </row>
    <row r="7232">
      <c r="F7232" s="17"/>
    </row>
    <row r="7233">
      <c r="F7233" s="17"/>
    </row>
    <row r="7234">
      <c r="F7234" s="17"/>
    </row>
    <row r="7235">
      <c r="F7235" s="17"/>
    </row>
    <row r="7236">
      <c r="F7236" s="17"/>
    </row>
    <row r="7237">
      <c r="F7237" s="17"/>
    </row>
    <row r="7238">
      <c r="F7238" s="17"/>
    </row>
    <row r="7239">
      <c r="F7239" s="17"/>
    </row>
    <row r="7240">
      <c r="F7240" s="17"/>
    </row>
    <row r="7241">
      <c r="F7241" s="17"/>
    </row>
    <row r="7242">
      <c r="F7242" s="17"/>
    </row>
    <row r="7243">
      <c r="F7243" s="17"/>
    </row>
    <row r="7244">
      <c r="F7244" s="17"/>
    </row>
    <row r="7245">
      <c r="F7245" s="17"/>
    </row>
    <row r="7246">
      <c r="F7246" s="17"/>
    </row>
    <row r="7247">
      <c r="F7247" s="17"/>
    </row>
    <row r="7248">
      <c r="F7248" s="17"/>
    </row>
    <row r="7249">
      <c r="F7249" s="17"/>
    </row>
    <row r="7250">
      <c r="F7250" s="17"/>
    </row>
    <row r="7251">
      <c r="F7251" s="17"/>
    </row>
    <row r="7252">
      <c r="F7252" s="17"/>
    </row>
    <row r="7253">
      <c r="F7253" s="17"/>
    </row>
    <row r="7254">
      <c r="F7254" s="17"/>
    </row>
    <row r="7255">
      <c r="F7255" s="17"/>
    </row>
    <row r="7256">
      <c r="F7256" s="17"/>
    </row>
    <row r="7257">
      <c r="F7257" s="17"/>
    </row>
    <row r="7258">
      <c r="F7258" s="17"/>
    </row>
    <row r="7259">
      <c r="F7259" s="17"/>
    </row>
    <row r="7260">
      <c r="F7260" s="17"/>
    </row>
    <row r="7261">
      <c r="F7261" s="17"/>
    </row>
    <row r="7262">
      <c r="F7262" s="17"/>
    </row>
    <row r="7263">
      <c r="F7263" s="17"/>
    </row>
    <row r="7264">
      <c r="F7264" s="17"/>
    </row>
    <row r="7265">
      <c r="F7265" s="17"/>
    </row>
    <row r="7266">
      <c r="F7266" s="17"/>
    </row>
    <row r="7267">
      <c r="F7267" s="17"/>
    </row>
    <row r="7268">
      <c r="F7268" s="17"/>
    </row>
    <row r="7269">
      <c r="F7269" s="17"/>
    </row>
    <row r="7270">
      <c r="F7270" s="17"/>
    </row>
    <row r="7271">
      <c r="F7271" s="17"/>
    </row>
    <row r="7272">
      <c r="F7272" s="17"/>
    </row>
    <row r="7273">
      <c r="F7273" s="17"/>
    </row>
    <row r="7274">
      <c r="F7274" s="17"/>
    </row>
    <row r="7275">
      <c r="F7275" s="17"/>
    </row>
    <row r="7276">
      <c r="F7276" s="17"/>
    </row>
    <row r="7277">
      <c r="F7277" s="17"/>
    </row>
    <row r="7278">
      <c r="F7278" s="17"/>
    </row>
    <row r="7279">
      <c r="F7279" s="17"/>
    </row>
    <row r="7280">
      <c r="F7280" s="17"/>
    </row>
    <row r="7281">
      <c r="F7281" s="17"/>
    </row>
    <row r="7282">
      <c r="F7282" s="17"/>
    </row>
    <row r="7283">
      <c r="F7283" s="17"/>
    </row>
    <row r="7284">
      <c r="F7284" s="17"/>
    </row>
    <row r="7285">
      <c r="F7285" s="17"/>
    </row>
    <row r="7286">
      <c r="F7286" s="17"/>
    </row>
    <row r="7287">
      <c r="F7287" s="17"/>
    </row>
    <row r="7288">
      <c r="F7288" s="17"/>
    </row>
    <row r="7289">
      <c r="F7289" s="17"/>
    </row>
    <row r="7290">
      <c r="F7290" s="17"/>
    </row>
    <row r="7291">
      <c r="F7291" s="17"/>
    </row>
    <row r="7292">
      <c r="F7292" s="17"/>
    </row>
    <row r="7293">
      <c r="F7293" s="17"/>
    </row>
    <row r="7294">
      <c r="F7294" s="17"/>
    </row>
    <row r="7295">
      <c r="F7295" s="17"/>
    </row>
    <row r="7296">
      <c r="F7296" s="17"/>
    </row>
    <row r="7297">
      <c r="F7297" s="17"/>
    </row>
    <row r="7298">
      <c r="F7298" s="17"/>
    </row>
    <row r="7299">
      <c r="F7299" s="17"/>
    </row>
    <row r="7300">
      <c r="F7300" s="17"/>
    </row>
    <row r="7301">
      <c r="F7301" s="17"/>
    </row>
    <row r="7302">
      <c r="F7302" s="17"/>
    </row>
    <row r="7303">
      <c r="F7303" s="17"/>
    </row>
    <row r="7304">
      <c r="F7304" s="17"/>
    </row>
    <row r="7305">
      <c r="F7305" s="17"/>
    </row>
    <row r="7306">
      <c r="F7306" s="17"/>
    </row>
    <row r="7307">
      <c r="F7307" s="17"/>
    </row>
    <row r="7308">
      <c r="F7308" s="17"/>
    </row>
    <row r="7309">
      <c r="F7309" s="17"/>
    </row>
    <row r="7310">
      <c r="F7310" s="17"/>
    </row>
    <row r="7311">
      <c r="F7311" s="17"/>
    </row>
    <row r="7312">
      <c r="F7312" s="17"/>
    </row>
    <row r="7313">
      <c r="F7313" s="17"/>
    </row>
    <row r="7314">
      <c r="F7314" s="17"/>
    </row>
    <row r="7315">
      <c r="F7315" s="17"/>
    </row>
    <row r="7316">
      <c r="F7316" s="17"/>
    </row>
    <row r="7317">
      <c r="F7317" s="17"/>
    </row>
    <row r="7318">
      <c r="F7318" s="17"/>
    </row>
    <row r="7319">
      <c r="F7319" s="17"/>
    </row>
    <row r="7320">
      <c r="F7320" s="17"/>
    </row>
    <row r="7321">
      <c r="F7321" s="17"/>
    </row>
    <row r="7322">
      <c r="F7322" s="17"/>
    </row>
    <row r="7323">
      <c r="F7323" s="17"/>
    </row>
    <row r="7324">
      <c r="F7324" s="17"/>
    </row>
    <row r="7325">
      <c r="F7325" s="17"/>
    </row>
    <row r="7326">
      <c r="F7326" s="17"/>
    </row>
    <row r="7327">
      <c r="F7327" s="17"/>
    </row>
    <row r="7328">
      <c r="F7328" s="17"/>
    </row>
    <row r="7329">
      <c r="F7329" s="17"/>
    </row>
    <row r="7330">
      <c r="F7330" s="17"/>
    </row>
    <row r="7331">
      <c r="F7331" s="17"/>
    </row>
    <row r="7332">
      <c r="F7332" s="17"/>
    </row>
    <row r="7333">
      <c r="F7333" s="17"/>
    </row>
    <row r="7334">
      <c r="F7334" s="17"/>
    </row>
    <row r="7335">
      <c r="F7335" s="17"/>
    </row>
    <row r="7336">
      <c r="F7336" s="17"/>
    </row>
    <row r="7337">
      <c r="F7337" s="17"/>
    </row>
    <row r="7338">
      <c r="F7338" s="17"/>
    </row>
    <row r="7339">
      <c r="F7339" s="17"/>
    </row>
    <row r="7340">
      <c r="F7340" s="17"/>
    </row>
    <row r="7341">
      <c r="F7341" s="17"/>
    </row>
    <row r="7342">
      <c r="F7342" s="17"/>
    </row>
    <row r="7343">
      <c r="F7343" s="17"/>
    </row>
    <row r="7344">
      <c r="F7344" s="17"/>
    </row>
    <row r="7345">
      <c r="F7345" s="17"/>
    </row>
    <row r="7346">
      <c r="F7346" s="17"/>
    </row>
    <row r="7347">
      <c r="F7347" s="17"/>
    </row>
    <row r="7348">
      <c r="F7348" s="17"/>
    </row>
    <row r="7349">
      <c r="F7349" s="17"/>
    </row>
    <row r="7350">
      <c r="F7350" s="17"/>
    </row>
    <row r="7351">
      <c r="F7351" s="17"/>
    </row>
    <row r="7352">
      <c r="F7352" s="17"/>
    </row>
    <row r="7353">
      <c r="F7353" s="17"/>
    </row>
    <row r="7354">
      <c r="F7354" s="17"/>
    </row>
    <row r="7355">
      <c r="F7355" s="17"/>
    </row>
    <row r="7356">
      <c r="F7356" s="17"/>
    </row>
    <row r="7357">
      <c r="F7357" s="17"/>
    </row>
    <row r="7358">
      <c r="F7358" s="17"/>
    </row>
    <row r="7359">
      <c r="F7359" s="17"/>
    </row>
    <row r="7360">
      <c r="F7360" s="17"/>
    </row>
    <row r="7361">
      <c r="F7361" s="17"/>
    </row>
    <row r="7362">
      <c r="F7362" s="17"/>
    </row>
    <row r="7363">
      <c r="F7363" s="17"/>
    </row>
    <row r="7364">
      <c r="F7364" s="17"/>
    </row>
    <row r="7365">
      <c r="F7365" s="17"/>
    </row>
    <row r="7366">
      <c r="F7366" s="17"/>
    </row>
    <row r="7367">
      <c r="F7367" s="17"/>
    </row>
    <row r="7368">
      <c r="F7368" s="17"/>
    </row>
    <row r="7369">
      <c r="F7369" s="17"/>
    </row>
    <row r="7370">
      <c r="F7370" s="17"/>
    </row>
    <row r="7371">
      <c r="F7371" s="17"/>
    </row>
    <row r="7372">
      <c r="F7372" s="17"/>
    </row>
    <row r="7373">
      <c r="F7373" s="17"/>
    </row>
    <row r="7374">
      <c r="F7374" s="17"/>
    </row>
    <row r="7375">
      <c r="F7375" s="17"/>
    </row>
    <row r="7376">
      <c r="F7376" s="17"/>
    </row>
    <row r="7377">
      <c r="F7377" s="17"/>
    </row>
    <row r="7378">
      <c r="F7378" s="17"/>
    </row>
    <row r="7379">
      <c r="F7379" s="17"/>
    </row>
    <row r="7380">
      <c r="F7380" s="17"/>
    </row>
    <row r="7381">
      <c r="F7381" s="17"/>
    </row>
    <row r="7382">
      <c r="F7382" s="17"/>
    </row>
    <row r="7383">
      <c r="F7383" s="17"/>
    </row>
    <row r="7384">
      <c r="F7384" s="17"/>
    </row>
    <row r="7385">
      <c r="F7385" s="17"/>
    </row>
    <row r="7386">
      <c r="F7386" s="17"/>
    </row>
    <row r="7387">
      <c r="F7387" s="17"/>
    </row>
    <row r="7388">
      <c r="F7388" s="17"/>
    </row>
    <row r="7389">
      <c r="F7389" s="17"/>
    </row>
    <row r="7390">
      <c r="F7390" s="17"/>
    </row>
    <row r="7391">
      <c r="F7391" s="17"/>
    </row>
    <row r="7392">
      <c r="F7392" s="17"/>
    </row>
    <row r="7393">
      <c r="F7393" s="17"/>
    </row>
    <row r="7394">
      <c r="F7394" s="17"/>
    </row>
    <row r="7395">
      <c r="F7395" s="17"/>
    </row>
    <row r="7396">
      <c r="F7396" s="17"/>
    </row>
    <row r="7397">
      <c r="F7397" s="17"/>
    </row>
    <row r="7398">
      <c r="F7398" s="17"/>
    </row>
    <row r="7399">
      <c r="F7399" s="17"/>
    </row>
    <row r="7400">
      <c r="F7400" s="17"/>
    </row>
    <row r="7401">
      <c r="F7401" s="17"/>
    </row>
    <row r="7402">
      <c r="F7402" s="17"/>
    </row>
    <row r="7403">
      <c r="F7403" s="17"/>
    </row>
    <row r="7404">
      <c r="F7404" s="17"/>
    </row>
    <row r="7405">
      <c r="F7405" s="17"/>
    </row>
    <row r="7406">
      <c r="F7406" s="17"/>
    </row>
    <row r="7407">
      <c r="F7407" s="17"/>
    </row>
    <row r="7408">
      <c r="F7408" s="17"/>
    </row>
    <row r="7409">
      <c r="F7409" s="17"/>
    </row>
    <row r="7410">
      <c r="F7410" s="17"/>
    </row>
    <row r="7411">
      <c r="F7411" s="17"/>
    </row>
    <row r="7412">
      <c r="F7412" s="17"/>
    </row>
    <row r="7413">
      <c r="F7413" s="17"/>
    </row>
    <row r="7414">
      <c r="F7414" s="17"/>
    </row>
    <row r="7415">
      <c r="F7415" s="17"/>
    </row>
    <row r="7416">
      <c r="F7416" s="17"/>
    </row>
    <row r="7417">
      <c r="F7417" s="17"/>
    </row>
    <row r="7418">
      <c r="F7418" s="17"/>
    </row>
    <row r="7419">
      <c r="F7419" s="17"/>
    </row>
    <row r="7420">
      <c r="F7420" s="17"/>
    </row>
    <row r="7421">
      <c r="F7421" s="17"/>
    </row>
    <row r="7422">
      <c r="F7422" s="17"/>
    </row>
    <row r="7423">
      <c r="F7423" s="17"/>
    </row>
    <row r="7424">
      <c r="F7424" s="17"/>
    </row>
    <row r="7425">
      <c r="F7425" s="17"/>
    </row>
    <row r="7426">
      <c r="F7426" s="17"/>
    </row>
    <row r="7427">
      <c r="F7427" s="17"/>
    </row>
    <row r="7428">
      <c r="F7428" s="17"/>
    </row>
    <row r="7429">
      <c r="F7429" s="17"/>
    </row>
    <row r="7430">
      <c r="F7430" s="17"/>
    </row>
    <row r="7431">
      <c r="F7431" s="17"/>
    </row>
    <row r="7432">
      <c r="F7432" s="17"/>
    </row>
    <row r="7433">
      <c r="F7433" s="17"/>
    </row>
    <row r="7434">
      <c r="F7434" s="17"/>
    </row>
    <row r="7435">
      <c r="F7435" s="17"/>
    </row>
    <row r="7436">
      <c r="F7436" s="17"/>
    </row>
    <row r="7437">
      <c r="F7437" s="17"/>
    </row>
    <row r="7438">
      <c r="F7438" s="17"/>
    </row>
    <row r="7439">
      <c r="F7439" s="17"/>
    </row>
    <row r="7440">
      <c r="F7440" s="17"/>
    </row>
    <row r="7441">
      <c r="F7441" s="17"/>
    </row>
    <row r="7442">
      <c r="F7442" s="17"/>
    </row>
    <row r="7443">
      <c r="F7443" s="17"/>
    </row>
    <row r="7444">
      <c r="F7444" s="17"/>
    </row>
    <row r="7445">
      <c r="F7445" s="17"/>
    </row>
    <row r="7446">
      <c r="F7446" s="17"/>
    </row>
    <row r="7447">
      <c r="F7447" s="17"/>
    </row>
    <row r="7448">
      <c r="F7448" s="17"/>
    </row>
    <row r="7449">
      <c r="F7449" s="17"/>
    </row>
    <row r="7450">
      <c r="F7450" s="17"/>
    </row>
    <row r="7451">
      <c r="F7451" s="17"/>
    </row>
    <row r="7452">
      <c r="F7452" s="17"/>
    </row>
    <row r="7453">
      <c r="F7453" s="17"/>
    </row>
    <row r="7454">
      <c r="F7454" s="17"/>
    </row>
    <row r="7455">
      <c r="F7455" s="17"/>
    </row>
    <row r="7456">
      <c r="F7456" s="17"/>
    </row>
    <row r="7457">
      <c r="F7457" s="17"/>
    </row>
    <row r="7458">
      <c r="F7458" s="17"/>
    </row>
    <row r="7459">
      <c r="F7459" s="17"/>
    </row>
    <row r="7460">
      <c r="F7460" s="17"/>
    </row>
    <row r="7461">
      <c r="F7461" s="17"/>
    </row>
    <row r="7462">
      <c r="F7462" s="17"/>
    </row>
    <row r="7463">
      <c r="F7463" s="17"/>
    </row>
    <row r="7464">
      <c r="F7464" s="17"/>
    </row>
    <row r="7465">
      <c r="F7465" s="17"/>
    </row>
    <row r="7466">
      <c r="F7466" s="17"/>
    </row>
    <row r="7467">
      <c r="F7467" s="17"/>
    </row>
    <row r="7468">
      <c r="F7468" s="17"/>
    </row>
    <row r="7469">
      <c r="F7469" s="17"/>
    </row>
    <row r="7470">
      <c r="F7470" s="17"/>
    </row>
    <row r="7471">
      <c r="F7471" s="17"/>
    </row>
    <row r="7472">
      <c r="F7472" s="17"/>
    </row>
    <row r="7473">
      <c r="F7473" s="17"/>
    </row>
    <row r="7474">
      <c r="F7474" s="17"/>
    </row>
    <row r="7475">
      <c r="F7475" s="17"/>
    </row>
    <row r="7476">
      <c r="F7476" s="17"/>
    </row>
    <row r="7477">
      <c r="F7477" s="17"/>
    </row>
    <row r="7478">
      <c r="F7478" s="17"/>
    </row>
    <row r="7479">
      <c r="F7479" s="17"/>
    </row>
    <row r="7480">
      <c r="F7480" s="17"/>
    </row>
    <row r="7481">
      <c r="F7481" s="17"/>
    </row>
    <row r="7482">
      <c r="F7482" s="17"/>
    </row>
    <row r="7483">
      <c r="F7483" s="17"/>
    </row>
    <row r="7484">
      <c r="F7484" s="17"/>
    </row>
    <row r="7485">
      <c r="F7485" s="17"/>
    </row>
    <row r="7486">
      <c r="F7486" s="17"/>
    </row>
    <row r="7487">
      <c r="F7487" s="17"/>
    </row>
    <row r="7488">
      <c r="F7488" s="17"/>
    </row>
    <row r="7489">
      <c r="F7489" s="17"/>
    </row>
    <row r="7490">
      <c r="F7490" s="17"/>
    </row>
    <row r="7491">
      <c r="F7491" s="17"/>
    </row>
    <row r="7492">
      <c r="F7492" s="17"/>
    </row>
    <row r="7493">
      <c r="F7493" s="17"/>
    </row>
    <row r="7494">
      <c r="F7494" s="17"/>
    </row>
    <row r="7495">
      <c r="F7495" s="17"/>
    </row>
    <row r="7496">
      <c r="F7496" s="17"/>
    </row>
    <row r="7497">
      <c r="F7497" s="17"/>
    </row>
    <row r="7498">
      <c r="F7498" s="17"/>
    </row>
    <row r="7499">
      <c r="F7499" s="17"/>
    </row>
    <row r="7500">
      <c r="F7500" s="17"/>
    </row>
    <row r="7501">
      <c r="F7501" s="17"/>
    </row>
    <row r="7502">
      <c r="F7502" s="17"/>
    </row>
    <row r="7503">
      <c r="F7503" s="17"/>
    </row>
    <row r="7504">
      <c r="F7504" s="17"/>
    </row>
    <row r="7505">
      <c r="F7505" s="17"/>
    </row>
    <row r="7506">
      <c r="F7506" s="17"/>
    </row>
    <row r="7507">
      <c r="F7507" s="17"/>
    </row>
    <row r="7508">
      <c r="F7508" s="17"/>
    </row>
    <row r="7509">
      <c r="F7509" s="17"/>
    </row>
    <row r="7510">
      <c r="F7510" s="17"/>
    </row>
    <row r="7511">
      <c r="F7511" s="17"/>
    </row>
    <row r="7512">
      <c r="F7512" s="17"/>
    </row>
    <row r="7513">
      <c r="F7513" s="17"/>
    </row>
    <row r="7514">
      <c r="F7514" s="17"/>
    </row>
    <row r="7515">
      <c r="F7515" s="17"/>
    </row>
    <row r="7516">
      <c r="F7516" s="17"/>
    </row>
    <row r="7517">
      <c r="F7517" s="17"/>
    </row>
    <row r="7518">
      <c r="F7518" s="17"/>
    </row>
    <row r="7519">
      <c r="F7519" s="17"/>
    </row>
    <row r="7520">
      <c r="F7520" s="17"/>
    </row>
    <row r="7521">
      <c r="F7521" s="17"/>
    </row>
    <row r="7522">
      <c r="F7522" s="17"/>
    </row>
    <row r="7523">
      <c r="F7523" s="17"/>
    </row>
    <row r="7524">
      <c r="F7524" s="17"/>
    </row>
    <row r="7525">
      <c r="F7525" s="17"/>
    </row>
    <row r="7526">
      <c r="F7526" s="17"/>
    </row>
    <row r="7527">
      <c r="F7527" s="17"/>
    </row>
    <row r="7528">
      <c r="F7528" s="17"/>
    </row>
    <row r="7529">
      <c r="F7529" s="17"/>
    </row>
    <row r="7530">
      <c r="F7530" s="17"/>
    </row>
    <row r="7531">
      <c r="F7531" s="17"/>
    </row>
    <row r="7532">
      <c r="F7532" s="17"/>
    </row>
    <row r="7533">
      <c r="F7533" s="17"/>
    </row>
    <row r="7534">
      <c r="F7534" s="17"/>
    </row>
    <row r="7535">
      <c r="F7535" s="17"/>
    </row>
    <row r="7536">
      <c r="F7536" s="17"/>
    </row>
    <row r="7537">
      <c r="F7537" s="17"/>
    </row>
    <row r="7538">
      <c r="F7538" s="17"/>
    </row>
    <row r="7539">
      <c r="F7539" s="17"/>
    </row>
    <row r="7540">
      <c r="F7540" s="17"/>
    </row>
    <row r="7541">
      <c r="F7541" s="17"/>
    </row>
    <row r="7542">
      <c r="F7542" s="17"/>
    </row>
    <row r="7543">
      <c r="F7543" s="17"/>
    </row>
    <row r="7544">
      <c r="F7544" s="17"/>
    </row>
    <row r="7545">
      <c r="F7545" s="17"/>
    </row>
    <row r="7546">
      <c r="F7546" s="17"/>
    </row>
    <row r="7547">
      <c r="F7547" s="17"/>
    </row>
    <row r="7548">
      <c r="F7548" s="17"/>
    </row>
    <row r="7549">
      <c r="F7549" s="17"/>
    </row>
    <row r="7550">
      <c r="F7550" s="17"/>
    </row>
    <row r="7551">
      <c r="F7551" s="17"/>
    </row>
    <row r="7552">
      <c r="F7552" s="17"/>
    </row>
    <row r="7553">
      <c r="F7553" s="17"/>
    </row>
    <row r="7554">
      <c r="F7554" s="17"/>
    </row>
    <row r="7555">
      <c r="F7555" s="17"/>
    </row>
    <row r="7556">
      <c r="F7556" s="17"/>
    </row>
    <row r="7557">
      <c r="F7557" s="17"/>
    </row>
    <row r="7558">
      <c r="F7558" s="17"/>
    </row>
    <row r="7559">
      <c r="F7559" s="17"/>
    </row>
    <row r="7560">
      <c r="F7560" s="17"/>
    </row>
    <row r="7561">
      <c r="F7561" s="17"/>
    </row>
    <row r="7562">
      <c r="F7562" s="17"/>
    </row>
    <row r="7563">
      <c r="F7563" s="17"/>
    </row>
    <row r="7564">
      <c r="F7564" s="17"/>
    </row>
    <row r="7565">
      <c r="F7565" s="17"/>
    </row>
    <row r="7566">
      <c r="F7566" s="17"/>
    </row>
    <row r="7567">
      <c r="F7567" s="17"/>
    </row>
    <row r="7568">
      <c r="F7568" s="17"/>
    </row>
    <row r="7569">
      <c r="F7569" s="17"/>
    </row>
    <row r="7570">
      <c r="F7570" s="17"/>
    </row>
    <row r="7571">
      <c r="F7571" s="17"/>
    </row>
    <row r="7572">
      <c r="F7572" s="17"/>
    </row>
    <row r="7573">
      <c r="F7573" s="17"/>
    </row>
    <row r="7574">
      <c r="F7574" s="17"/>
    </row>
    <row r="7575">
      <c r="F7575" s="17"/>
    </row>
    <row r="7576">
      <c r="F7576" s="17"/>
    </row>
    <row r="7577">
      <c r="F7577" s="17"/>
    </row>
    <row r="7578">
      <c r="F7578" s="17"/>
    </row>
    <row r="7579">
      <c r="F7579" s="17"/>
    </row>
    <row r="7580">
      <c r="F7580" s="17"/>
    </row>
    <row r="7581">
      <c r="F7581" s="17"/>
    </row>
    <row r="7582">
      <c r="F7582" s="17"/>
    </row>
    <row r="7583">
      <c r="F7583" s="17"/>
    </row>
    <row r="7584">
      <c r="F7584" s="17"/>
    </row>
    <row r="7585">
      <c r="F7585" s="17"/>
    </row>
    <row r="7586">
      <c r="F7586" s="17"/>
    </row>
    <row r="7587">
      <c r="F7587" s="17"/>
    </row>
    <row r="7588">
      <c r="F7588" s="17"/>
    </row>
    <row r="7589">
      <c r="F7589" s="17"/>
    </row>
    <row r="7590">
      <c r="F7590" s="17"/>
    </row>
    <row r="7591">
      <c r="F7591" s="17"/>
    </row>
    <row r="7592">
      <c r="F7592" s="17"/>
    </row>
    <row r="7593">
      <c r="F7593" s="17"/>
    </row>
    <row r="7594">
      <c r="F7594" s="17"/>
    </row>
    <row r="7595">
      <c r="F7595" s="17"/>
    </row>
    <row r="7596">
      <c r="F7596" s="17"/>
    </row>
    <row r="7597">
      <c r="F7597" s="17"/>
    </row>
    <row r="7598">
      <c r="F7598" s="17"/>
    </row>
    <row r="7599">
      <c r="F7599" s="17"/>
    </row>
    <row r="7600">
      <c r="F7600" s="17"/>
    </row>
    <row r="7601">
      <c r="F7601" s="17"/>
    </row>
    <row r="7602">
      <c r="F7602" s="17"/>
    </row>
    <row r="7603">
      <c r="F7603" s="17"/>
    </row>
    <row r="7604">
      <c r="F7604" s="17"/>
    </row>
    <row r="7605">
      <c r="F7605" s="17"/>
    </row>
    <row r="7606">
      <c r="F7606" s="17"/>
    </row>
    <row r="7607">
      <c r="F7607" s="17"/>
    </row>
    <row r="7608">
      <c r="F7608" s="17"/>
    </row>
    <row r="7609">
      <c r="F7609" s="17"/>
    </row>
    <row r="7610">
      <c r="F7610" s="17"/>
    </row>
    <row r="7611">
      <c r="F7611" s="17"/>
    </row>
    <row r="7612">
      <c r="F7612" s="17"/>
    </row>
    <row r="7613">
      <c r="F7613" s="17"/>
    </row>
    <row r="7614">
      <c r="F7614" s="17"/>
    </row>
    <row r="7615">
      <c r="F7615" s="17"/>
    </row>
    <row r="7616">
      <c r="F7616" s="17"/>
    </row>
    <row r="7617">
      <c r="F7617" s="17"/>
    </row>
    <row r="7618">
      <c r="F7618" s="17"/>
    </row>
    <row r="7619">
      <c r="F7619" s="17"/>
    </row>
    <row r="7620">
      <c r="F7620" s="17"/>
    </row>
    <row r="7621">
      <c r="F7621" s="17"/>
    </row>
    <row r="7622">
      <c r="F7622" s="17"/>
    </row>
    <row r="7623">
      <c r="F7623" s="17"/>
    </row>
    <row r="7624">
      <c r="F7624" s="17"/>
    </row>
    <row r="7625">
      <c r="F7625" s="17"/>
    </row>
    <row r="7626">
      <c r="F7626" s="17"/>
    </row>
    <row r="7627">
      <c r="F7627" s="17"/>
    </row>
    <row r="7628">
      <c r="F7628" s="17"/>
    </row>
    <row r="7629">
      <c r="F7629" s="17"/>
    </row>
    <row r="7630">
      <c r="F7630" s="17"/>
    </row>
    <row r="7631">
      <c r="F7631" s="17"/>
    </row>
    <row r="7632">
      <c r="F7632" s="17"/>
    </row>
    <row r="7633">
      <c r="F7633" s="17"/>
    </row>
    <row r="7634">
      <c r="F7634" s="17"/>
    </row>
    <row r="7635">
      <c r="F7635" s="17"/>
    </row>
    <row r="7636">
      <c r="F7636" s="17"/>
    </row>
    <row r="7637">
      <c r="F7637" s="17"/>
    </row>
    <row r="7638">
      <c r="F7638" s="17"/>
    </row>
    <row r="7639">
      <c r="F7639" s="17"/>
    </row>
    <row r="7640">
      <c r="F7640" s="17"/>
    </row>
    <row r="7641">
      <c r="F7641" s="17"/>
    </row>
    <row r="7642">
      <c r="F7642" s="17"/>
    </row>
    <row r="7643">
      <c r="F7643" s="17"/>
    </row>
    <row r="7644">
      <c r="F7644" s="17"/>
    </row>
    <row r="7645">
      <c r="F7645" s="17"/>
    </row>
    <row r="7646">
      <c r="F7646" s="17"/>
    </row>
    <row r="7647">
      <c r="F7647" s="17"/>
    </row>
    <row r="7648">
      <c r="F7648" s="17"/>
    </row>
    <row r="7649">
      <c r="F7649" s="17"/>
    </row>
    <row r="7650">
      <c r="F7650" s="17"/>
    </row>
    <row r="7651">
      <c r="F7651" s="17"/>
    </row>
    <row r="7652">
      <c r="F7652" s="17"/>
    </row>
    <row r="7653">
      <c r="F7653" s="17"/>
    </row>
    <row r="7654">
      <c r="F7654" s="17"/>
    </row>
    <row r="7655">
      <c r="F7655" s="17"/>
    </row>
    <row r="7656">
      <c r="F7656" s="17"/>
    </row>
    <row r="7657">
      <c r="F7657" s="17"/>
    </row>
    <row r="7658">
      <c r="F7658" s="17"/>
    </row>
    <row r="7659">
      <c r="F7659" s="17"/>
    </row>
    <row r="7660">
      <c r="F7660" s="17"/>
    </row>
    <row r="7661">
      <c r="F7661" s="17"/>
    </row>
    <row r="7662">
      <c r="F7662" s="17"/>
    </row>
    <row r="7663">
      <c r="F7663" s="17"/>
    </row>
    <row r="7664">
      <c r="F7664" s="17"/>
    </row>
    <row r="7665">
      <c r="F7665" s="17"/>
    </row>
    <row r="7666">
      <c r="F7666" s="17"/>
    </row>
    <row r="7667">
      <c r="F7667" s="17"/>
    </row>
    <row r="7668">
      <c r="F7668" s="17"/>
    </row>
    <row r="7669">
      <c r="F7669" s="17"/>
    </row>
    <row r="7670">
      <c r="F7670" s="17"/>
    </row>
    <row r="7671">
      <c r="F7671" s="17"/>
    </row>
    <row r="7672">
      <c r="F7672" s="17"/>
    </row>
    <row r="7673">
      <c r="F7673" s="17"/>
    </row>
    <row r="7674">
      <c r="F7674" s="17"/>
    </row>
    <row r="7675">
      <c r="F7675" s="17"/>
    </row>
    <row r="7676">
      <c r="F7676" s="17"/>
    </row>
    <row r="7677">
      <c r="F7677" s="17"/>
    </row>
    <row r="7678">
      <c r="F7678" s="17"/>
    </row>
    <row r="7679">
      <c r="F7679" s="17"/>
    </row>
    <row r="7680">
      <c r="F7680" s="17"/>
    </row>
    <row r="7681">
      <c r="F7681" s="17"/>
    </row>
    <row r="7682">
      <c r="F7682" s="17"/>
    </row>
    <row r="7683">
      <c r="F7683" s="17"/>
    </row>
    <row r="7684">
      <c r="F7684" s="17"/>
    </row>
    <row r="7685">
      <c r="F7685" s="17"/>
    </row>
    <row r="7686">
      <c r="F7686" s="17"/>
    </row>
    <row r="7687">
      <c r="F7687" s="17"/>
    </row>
    <row r="7688">
      <c r="F7688" s="17"/>
    </row>
    <row r="7689">
      <c r="F7689" s="17"/>
    </row>
    <row r="7690">
      <c r="F7690" s="17"/>
    </row>
    <row r="7691">
      <c r="F7691" s="17"/>
    </row>
    <row r="7692">
      <c r="F7692" s="17"/>
    </row>
    <row r="7693">
      <c r="F7693" s="17"/>
    </row>
    <row r="7694">
      <c r="F7694" s="17"/>
    </row>
    <row r="7695">
      <c r="F7695" s="17"/>
    </row>
    <row r="7696">
      <c r="F7696" s="17"/>
    </row>
    <row r="7697">
      <c r="F7697" s="17"/>
    </row>
    <row r="7698">
      <c r="F7698" s="17"/>
    </row>
    <row r="7699">
      <c r="F7699" s="17"/>
    </row>
    <row r="7700">
      <c r="F7700" s="17"/>
    </row>
    <row r="7701">
      <c r="F7701" s="17"/>
    </row>
    <row r="7702">
      <c r="F7702" s="17"/>
    </row>
    <row r="7703">
      <c r="F7703" s="17"/>
    </row>
    <row r="7704">
      <c r="F7704" s="17"/>
    </row>
    <row r="7705">
      <c r="F7705" s="17"/>
    </row>
    <row r="7706">
      <c r="F7706" s="17"/>
    </row>
    <row r="7707">
      <c r="F7707" s="17"/>
    </row>
    <row r="7708">
      <c r="F7708" s="17"/>
    </row>
    <row r="7709">
      <c r="F7709" s="17"/>
    </row>
    <row r="7710">
      <c r="F7710" s="17"/>
    </row>
    <row r="7711">
      <c r="F7711" s="17"/>
    </row>
    <row r="7712">
      <c r="F7712" s="17"/>
    </row>
    <row r="7713">
      <c r="F7713" s="17"/>
    </row>
    <row r="7714">
      <c r="F7714" s="17"/>
    </row>
    <row r="7715">
      <c r="F7715" s="17"/>
    </row>
    <row r="7716">
      <c r="F7716" s="17"/>
    </row>
    <row r="7717">
      <c r="F7717" s="17"/>
    </row>
    <row r="7718">
      <c r="F7718" s="17"/>
    </row>
    <row r="7719">
      <c r="F7719" s="17"/>
    </row>
    <row r="7720">
      <c r="F7720" s="17"/>
    </row>
    <row r="7721">
      <c r="F7721" s="17"/>
    </row>
    <row r="7722">
      <c r="F7722" s="17"/>
    </row>
    <row r="7723">
      <c r="F7723" s="17"/>
    </row>
    <row r="7724">
      <c r="F7724" s="17"/>
    </row>
    <row r="7725">
      <c r="F7725" s="17"/>
    </row>
    <row r="7726">
      <c r="F7726" s="17"/>
    </row>
    <row r="7727">
      <c r="F7727" s="17"/>
    </row>
    <row r="7728">
      <c r="F7728" s="17"/>
    </row>
    <row r="7729">
      <c r="F7729" s="17"/>
    </row>
    <row r="7730">
      <c r="F7730" s="17"/>
    </row>
    <row r="7731">
      <c r="F7731" s="17"/>
    </row>
    <row r="7732">
      <c r="F7732" s="17"/>
    </row>
    <row r="7733">
      <c r="F7733" s="17"/>
    </row>
    <row r="7734">
      <c r="F7734" s="17"/>
    </row>
    <row r="7735">
      <c r="F7735" s="17"/>
    </row>
    <row r="7736">
      <c r="F7736" s="17"/>
    </row>
    <row r="7737">
      <c r="F7737" s="17"/>
    </row>
    <row r="7738">
      <c r="F7738" s="17"/>
    </row>
    <row r="7739">
      <c r="F7739" s="17"/>
    </row>
    <row r="7740">
      <c r="F7740" s="17"/>
    </row>
    <row r="7741">
      <c r="F7741" s="17"/>
    </row>
    <row r="7742">
      <c r="F7742" s="17"/>
    </row>
    <row r="7743">
      <c r="F7743" s="17"/>
    </row>
    <row r="7744">
      <c r="F7744" s="17"/>
    </row>
    <row r="7745">
      <c r="F7745" s="17"/>
    </row>
    <row r="7746">
      <c r="F7746" s="17"/>
    </row>
    <row r="7747">
      <c r="F7747" s="17"/>
    </row>
    <row r="7748">
      <c r="F7748" s="17"/>
    </row>
    <row r="7749">
      <c r="F7749" s="17"/>
    </row>
    <row r="7750">
      <c r="F7750" s="17"/>
    </row>
    <row r="7751">
      <c r="F7751" s="17"/>
    </row>
    <row r="7752">
      <c r="F7752" s="17"/>
    </row>
    <row r="7753">
      <c r="F7753" s="17"/>
    </row>
    <row r="7754">
      <c r="F7754" s="17"/>
    </row>
    <row r="7755">
      <c r="F7755" s="17"/>
    </row>
    <row r="7756">
      <c r="F7756" s="17"/>
    </row>
    <row r="7757">
      <c r="F7757" s="17"/>
    </row>
    <row r="7758">
      <c r="F7758" s="17"/>
    </row>
    <row r="7759">
      <c r="F7759" s="17"/>
    </row>
    <row r="7760">
      <c r="F7760" s="17"/>
    </row>
    <row r="7761">
      <c r="F7761" s="17"/>
    </row>
    <row r="7762">
      <c r="F7762" s="17"/>
    </row>
    <row r="7763">
      <c r="F7763" s="17"/>
    </row>
    <row r="7764">
      <c r="F7764" s="17"/>
    </row>
    <row r="7765">
      <c r="F7765" s="17"/>
    </row>
    <row r="7766">
      <c r="F7766" s="17"/>
    </row>
    <row r="7767">
      <c r="F7767" s="17"/>
    </row>
    <row r="7768">
      <c r="F7768" s="17"/>
    </row>
    <row r="7769">
      <c r="F7769" s="17"/>
    </row>
    <row r="7770">
      <c r="F7770" s="17"/>
    </row>
    <row r="7771">
      <c r="F7771" s="17"/>
    </row>
    <row r="7772">
      <c r="F7772" s="17"/>
    </row>
    <row r="7773">
      <c r="F7773" s="17"/>
    </row>
    <row r="7774">
      <c r="F7774" s="17"/>
    </row>
    <row r="7775">
      <c r="F7775" s="17"/>
    </row>
    <row r="7776">
      <c r="F7776" s="17"/>
    </row>
    <row r="7777">
      <c r="F7777" s="17"/>
    </row>
    <row r="7778">
      <c r="F7778" s="17"/>
    </row>
    <row r="7779">
      <c r="F7779" s="17"/>
    </row>
    <row r="7780">
      <c r="F7780" s="17"/>
    </row>
    <row r="7781">
      <c r="F7781" s="17"/>
    </row>
    <row r="7782">
      <c r="F7782" s="17"/>
    </row>
    <row r="7783">
      <c r="F7783" s="17"/>
    </row>
    <row r="7784">
      <c r="F7784" s="17"/>
    </row>
    <row r="7785">
      <c r="F7785" s="17"/>
    </row>
    <row r="7786">
      <c r="F7786" s="17"/>
    </row>
    <row r="7787">
      <c r="F7787" s="17"/>
    </row>
    <row r="7788">
      <c r="F7788" s="17"/>
    </row>
    <row r="7789">
      <c r="F7789" s="17"/>
    </row>
    <row r="7790">
      <c r="F7790" s="17"/>
    </row>
    <row r="7791">
      <c r="F7791" s="17"/>
    </row>
    <row r="7792">
      <c r="F7792" s="17"/>
    </row>
    <row r="7793">
      <c r="F7793" s="17"/>
    </row>
    <row r="7794">
      <c r="F7794" s="17"/>
    </row>
    <row r="7795">
      <c r="F7795" s="17"/>
    </row>
    <row r="7796">
      <c r="F7796" s="17"/>
    </row>
    <row r="7797">
      <c r="F7797" s="17"/>
    </row>
    <row r="7798">
      <c r="F7798" s="17"/>
    </row>
    <row r="7799">
      <c r="F7799" s="17"/>
    </row>
    <row r="7800">
      <c r="F7800" s="17"/>
    </row>
    <row r="7801">
      <c r="F7801" s="17"/>
    </row>
    <row r="7802">
      <c r="F7802" s="17"/>
    </row>
    <row r="7803">
      <c r="F7803" s="17"/>
    </row>
    <row r="7804">
      <c r="F7804" s="17"/>
    </row>
    <row r="7805">
      <c r="F7805" s="17"/>
    </row>
    <row r="7806">
      <c r="F7806" s="17"/>
    </row>
    <row r="7807">
      <c r="F7807" s="17"/>
    </row>
    <row r="7808">
      <c r="F7808" s="17"/>
    </row>
    <row r="7809">
      <c r="F7809" s="17"/>
    </row>
    <row r="7810">
      <c r="F7810" s="17"/>
    </row>
    <row r="7811">
      <c r="F7811" s="17"/>
    </row>
    <row r="7812">
      <c r="F7812" s="17"/>
    </row>
    <row r="7813">
      <c r="F7813" s="17"/>
    </row>
    <row r="7814">
      <c r="F7814" s="17"/>
    </row>
    <row r="7815">
      <c r="F7815" s="17"/>
    </row>
    <row r="7816">
      <c r="F7816" s="17"/>
    </row>
    <row r="7817">
      <c r="F7817" s="17"/>
    </row>
    <row r="7818">
      <c r="F7818" s="17"/>
    </row>
    <row r="7819">
      <c r="F7819" s="17"/>
    </row>
    <row r="7820">
      <c r="F7820" s="17"/>
    </row>
    <row r="7821">
      <c r="F7821" s="17"/>
    </row>
    <row r="7822">
      <c r="F7822" s="17"/>
    </row>
    <row r="7823">
      <c r="F7823" s="17"/>
    </row>
    <row r="7824">
      <c r="F7824" s="17"/>
    </row>
    <row r="7825">
      <c r="F7825" s="17"/>
    </row>
    <row r="7826">
      <c r="F7826" s="17"/>
    </row>
    <row r="7827">
      <c r="F7827" s="17"/>
    </row>
    <row r="7828">
      <c r="F7828" s="17"/>
    </row>
    <row r="7829">
      <c r="F7829" s="17"/>
    </row>
    <row r="7830">
      <c r="F7830" s="17"/>
    </row>
    <row r="7831">
      <c r="F7831" s="17"/>
    </row>
    <row r="7832">
      <c r="F7832" s="17"/>
    </row>
    <row r="7833">
      <c r="F7833" s="17"/>
    </row>
    <row r="7834">
      <c r="F7834" s="17"/>
    </row>
    <row r="7835">
      <c r="F7835" s="17"/>
    </row>
    <row r="7836">
      <c r="F7836" s="17"/>
    </row>
    <row r="7837">
      <c r="F7837" s="17"/>
    </row>
    <row r="7838">
      <c r="F7838" s="17"/>
    </row>
    <row r="7839">
      <c r="F7839" s="17"/>
    </row>
    <row r="7840">
      <c r="F7840" s="17"/>
    </row>
    <row r="7841">
      <c r="F7841" s="17"/>
    </row>
    <row r="7842">
      <c r="F7842" s="17"/>
    </row>
    <row r="7843">
      <c r="F7843" s="17"/>
    </row>
    <row r="7844">
      <c r="F7844" s="17"/>
    </row>
    <row r="7845">
      <c r="F7845" s="17"/>
    </row>
    <row r="7846">
      <c r="F7846" s="17"/>
    </row>
    <row r="7847">
      <c r="F7847" s="17"/>
    </row>
    <row r="7848">
      <c r="F7848" s="17"/>
    </row>
    <row r="7849">
      <c r="F7849" s="17"/>
    </row>
    <row r="7850">
      <c r="F7850" s="17"/>
    </row>
    <row r="7851">
      <c r="F7851" s="17"/>
    </row>
    <row r="7852">
      <c r="F7852" s="17"/>
    </row>
    <row r="7853">
      <c r="F7853" s="17"/>
    </row>
    <row r="7854">
      <c r="F7854" s="17"/>
    </row>
    <row r="7855">
      <c r="F7855" s="17"/>
    </row>
    <row r="7856">
      <c r="F7856" s="17"/>
    </row>
    <row r="7857">
      <c r="F7857" s="17"/>
    </row>
    <row r="7858">
      <c r="F7858" s="17"/>
    </row>
    <row r="7859">
      <c r="F7859" s="17"/>
    </row>
    <row r="7860">
      <c r="F7860" s="17"/>
    </row>
    <row r="7861">
      <c r="F7861" s="17"/>
    </row>
    <row r="7862">
      <c r="F7862" s="17"/>
    </row>
    <row r="7863">
      <c r="F7863" s="17"/>
    </row>
    <row r="7864">
      <c r="F7864" s="17"/>
    </row>
    <row r="7865">
      <c r="F7865" s="17"/>
    </row>
    <row r="7866">
      <c r="F7866" s="17"/>
    </row>
    <row r="7867">
      <c r="F7867" s="17"/>
    </row>
    <row r="7868">
      <c r="F7868" s="17"/>
    </row>
    <row r="7869">
      <c r="F7869" s="17"/>
    </row>
    <row r="7870">
      <c r="F7870" s="17"/>
    </row>
    <row r="7871">
      <c r="F7871" s="17"/>
    </row>
    <row r="7872">
      <c r="F7872" s="17"/>
    </row>
    <row r="7873">
      <c r="F7873" s="17"/>
    </row>
    <row r="7874">
      <c r="F7874" s="17"/>
    </row>
    <row r="7875">
      <c r="F7875" s="17"/>
    </row>
    <row r="7876">
      <c r="F7876" s="17"/>
    </row>
    <row r="7877">
      <c r="F7877" s="17"/>
    </row>
    <row r="7878">
      <c r="F7878" s="17"/>
    </row>
    <row r="7879">
      <c r="F7879" s="17"/>
    </row>
    <row r="7880">
      <c r="F7880" s="17"/>
    </row>
    <row r="7881">
      <c r="F7881" s="17"/>
    </row>
    <row r="7882">
      <c r="F7882" s="17"/>
    </row>
    <row r="7883">
      <c r="F7883" s="17"/>
    </row>
    <row r="7884">
      <c r="F7884" s="17"/>
    </row>
    <row r="7885">
      <c r="F7885" s="17"/>
    </row>
    <row r="7886">
      <c r="F7886" s="17"/>
    </row>
    <row r="7887">
      <c r="F7887" s="17"/>
    </row>
    <row r="7888">
      <c r="F7888" s="17"/>
    </row>
    <row r="7889">
      <c r="F7889" s="17"/>
    </row>
    <row r="7890">
      <c r="F7890" s="17"/>
    </row>
    <row r="7891">
      <c r="F7891" s="17"/>
    </row>
    <row r="7892">
      <c r="F7892" s="17"/>
    </row>
    <row r="7893">
      <c r="F7893" s="17"/>
    </row>
    <row r="7894">
      <c r="F7894" s="17"/>
    </row>
    <row r="7895">
      <c r="F7895" s="17"/>
    </row>
    <row r="7896">
      <c r="F7896" s="17"/>
    </row>
    <row r="7897">
      <c r="F7897" s="17"/>
    </row>
    <row r="7898">
      <c r="F7898" s="17"/>
    </row>
    <row r="7899">
      <c r="F7899" s="17"/>
    </row>
    <row r="7900">
      <c r="F7900" s="17"/>
    </row>
    <row r="7901">
      <c r="F7901" s="17"/>
    </row>
    <row r="7902">
      <c r="F7902" s="17"/>
    </row>
    <row r="7903">
      <c r="F7903" s="17"/>
    </row>
    <row r="7904">
      <c r="F7904" s="17"/>
    </row>
    <row r="7905">
      <c r="F7905" s="17"/>
    </row>
    <row r="7906">
      <c r="F7906" s="17"/>
    </row>
    <row r="7907">
      <c r="F7907" s="17"/>
    </row>
    <row r="7908">
      <c r="F7908" s="17"/>
    </row>
    <row r="7909">
      <c r="F7909" s="17"/>
    </row>
    <row r="7910">
      <c r="F7910" s="17"/>
    </row>
    <row r="7911">
      <c r="F7911" s="17"/>
    </row>
    <row r="7912">
      <c r="F7912" s="17"/>
    </row>
    <row r="7913">
      <c r="F7913" s="17"/>
    </row>
    <row r="7914">
      <c r="F7914" s="17"/>
    </row>
    <row r="7915">
      <c r="F7915" s="17"/>
    </row>
    <row r="7916">
      <c r="F7916" s="17"/>
    </row>
    <row r="7917">
      <c r="F7917" s="17"/>
    </row>
    <row r="7918">
      <c r="F7918" s="17"/>
    </row>
    <row r="7919">
      <c r="F7919" s="17"/>
    </row>
    <row r="7920">
      <c r="F7920" s="17"/>
    </row>
    <row r="7921">
      <c r="F7921" s="17"/>
    </row>
    <row r="7922">
      <c r="F7922" s="17"/>
    </row>
    <row r="7923">
      <c r="F7923" s="17"/>
    </row>
    <row r="7924">
      <c r="F7924" s="17"/>
    </row>
    <row r="7925">
      <c r="F7925" s="17"/>
    </row>
    <row r="7926">
      <c r="F7926" s="17"/>
    </row>
    <row r="7927">
      <c r="F7927" s="17"/>
    </row>
    <row r="7928">
      <c r="F7928" s="17"/>
    </row>
    <row r="7929">
      <c r="F7929" s="17"/>
    </row>
    <row r="7930">
      <c r="F7930" s="17"/>
    </row>
    <row r="7931">
      <c r="F7931" s="17"/>
    </row>
    <row r="7932">
      <c r="F7932" s="17"/>
    </row>
    <row r="7933">
      <c r="F7933" s="17"/>
    </row>
    <row r="7934">
      <c r="F7934" s="17"/>
    </row>
    <row r="7935">
      <c r="F7935" s="17"/>
    </row>
    <row r="7936">
      <c r="F7936" s="17"/>
    </row>
    <row r="7937">
      <c r="F7937" s="17"/>
    </row>
    <row r="7938">
      <c r="F7938" s="17"/>
    </row>
    <row r="7939">
      <c r="F7939" s="17"/>
    </row>
    <row r="7940">
      <c r="F7940" s="17"/>
    </row>
    <row r="7941">
      <c r="F7941" s="17"/>
    </row>
    <row r="7942">
      <c r="F7942" s="17"/>
    </row>
    <row r="7943">
      <c r="F7943" s="17"/>
    </row>
    <row r="7944">
      <c r="F7944" s="17"/>
    </row>
    <row r="7945">
      <c r="F7945" s="17"/>
    </row>
    <row r="7946">
      <c r="F7946" s="17"/>
    </row>
    <row r="7947">
      <c r="F7947" s="17"/>
    </row>
    <row r="7948">
      <c r="F7948" s="17"/>
    </row>
    <row r="7949">
      <c r="F7949" s="17"/>
    </row>
    <row r="7950">
      <c r="F7950" s="17"/>
    </row>
    <row r="7951">
      <c r="F7951" s="17"/>
    </row>
    <row r="7952">
      <c r="F7952" s="17"/>
    </row>
    <row r="7953">
      <c r="F7953" s="17"/>
    </row>
    <row r="7954">
      <c r="F7954" s="17"/>
    </row>
    <row r="7955">
      <c r="F7955" s="17"/>
    </row>
    <row r="7956">
      <c r="F7956" s="17"/>
    </row>
    <row r="7957">
      <c r="F7957" s="17"/>
    </row>
    <row r="7958">
      <c r="F7958" s="17"/>
    </row>
    <row r="7959">
      <c r="F7959" s="17"/>
    </row>
    <row r="7960">
      <c r="F7960" s="17"/>
    </row>
    <row r="7961">
      <c r="F7961" s="17"/>
    </row>
    <row r="7962">
      <c r="F7962" s="17"/>
    </row>
    <row r="7963">
      <c r="F7963" s="17"/>
    </row>
    <row r="7964">
      <c r="F7964" s="17"/>
    </row>
    <row r="7965">
      <c r="F7965" s="17"/>
    </row>
    <row r="7966">
      <c r="F7966" s="17"/>
    </row>
    <row r="7967">
      <c r="F7967" s="17"/>
    </row>
    <row r="7968">
      <c r="F7968" s="17"/>
    </row>
    <row r="7969">
      <c r="F7969" s="17"/>
    </row>
    <row r="7970">
      <c r="F7970" s="17"/>
    </row>
    <row r="7971">
      <c r="F7971" s="17"/>
    </row>
    <row r="7972">
      <c r="F7972" s="17"/>
    </row>
    <row r="7973">
      <c r="F7973" s="17"/>
    </row>
    <row r="7974">
      <c r="F7974" s="17"/>
    </row>
    <row r="7975">
      <c r="F7975" s="17"/>
    </row>
    <row r="7976">
      <c r="F7976" s="17"/>
    </row>
    <row r="7977">
      <c r="F7977" s="17"/>
    </row>
    <row r="7978">
      <c r="F7978" s="17"/>
    </row>
    <row r="7979">
      <c r="F7979" s="17"/>
    </row>
    <row r="7980">
      <c r="F7980" s="17"/>
    </row>
    <row r="7981">
      <c r="F7981" s="17"/>
    </row>
    <row r="7982">
      <c r="F7982" s="17"/>
    </row>
    <row r="7983">
      <c r="F7983" s="17"/>
    </row>
    <row r="7984">
      <c r="F7984" s="17"/>
    </row>
    <row r="7985">
      <c r="F7985" s="17"/>
    </row>
    <row r="7986">
      <c r="F7986" s="17"/>
    </row>
    <row r="7987">
      <c r="F7987" s="17"/>
    </row>
    <row r="7988">
      <c r="F7988" s="17"/>
    </row>
    <row r="7989">
      <c r="F7989" s="17"/>
    </row>
    <row r="7990">
      <c r="F7990" s="17"/>
    </row>
    <row r="7991">
      <c r="F7991" s="17"/>
    </row>
    <row r="7992">
      <c r="F7992" s="17"/>
    </row>
    <row r="7993">
      <c r="F7993" s="17"/>
    </row>
    <row r="7994">
      <c r="F7994" s="17"/>
    </row>
    <row r="7995">
      <c r="F7995" s="17"/>
    </row>
    <row r="7996">
      <c r="F7996" s="17"/>
    </row>
    <row r="7997">
      <c r="F7997" s="17"/>
    </row>
    <row r="7998">
      <c r="F7998" s="17"/>
    </row>
    <row r="7999">
      <c r="F7999" s="17"/>
    </row>
    <row r="8000">
      <c r="F8000" s="17"/>
    </row>
    <row r="8001">
      <c r="F8001" s="17"/>
    </row>
    <row r="8002">
      <c r="F8002" s="17"/>
    </row>
    <row r="8003">
      <c r="F8003" s="17"/>
    </row>
    <row r="8004">
      <c r="F8004" s="17"/>
    </row>
    <row r="8005">
      <c r="F8005" s="17"/>
    </row>
    <row r="8006">
      <c r="F8006" s="17"/>
    </row>
    <row r="8007">
      <c r="F8007" s="17"/>
    </row>
    <row r="8008">
      <c r="F8008" s="17"/>
    </row>
    <row r="8009">
      <c r="F8009" s="17"/>
    </row>
    <row r="8010">
      <c r="F8010" s="17"/>
    </row>
    <row r="8011">
      <c r="F8011" s="17"/>
    </row>
    <row r="8012">
      <c r="F8012" s="17"/>
    </row>
    <row r="8013">
      <c r="F8013" s="17"/>
    </row>
    <row r="8014">
      <c r="F8014" s="17"/>
    </row>
    <row r="8015">
      <c r="F8015" s="17"/>
    </row>
    <row r="8016">
      <c r="F8016" s="17"/>
    </row>
    <row r="8017">
      <c r="F8017" s="17"/>
    </row>
    <row r="8018">
      <c r="F8018" s="17"/>
    </row>
    <row r="8019">
      <c r="F8019" s="17"/>
    </row>
    <row r="8020">
      <c r="F8020" s="17"/>
    </row>
    <row r="8021">
      <c r="F8021" s="17"/>
    </row>
    <row r="8022">
      <c r="F8022" s="17"/>
    </row>
    <row r="8023">
      <c r="F8023" s="17"/>
    </row>
    <row r="8024">
      <c r="F8024" s="17"/>
    </row>
    <row r="8025">
      <c r="F8025" s="17"/>
    </row>
    <row r="8026">
      <c r="F8026" s="17"/>
    </row>
    <row r="8027">
      <c r="F8027" s="17"/>
    </row>
    <row r="8028">
      <c r="F8028" s="17"/>
    </row>
    <row r="8029">
      <c r="F8029" s="17"/>
    </row>
    <row r="8030">
      <c r="F8030" s="17"/>
    </row>
    <row r="8031">
      <c r="F8031" s="17"/>
    </row>
    <row r="8032">
      <c r="F8032" s="17"/>
    </row>
    <row r="8033">
      <c r="F8033" s="17"/>
    </row>
    <row r="8034">
      <c r="F8034" s="17"/>
    </row>
    <row r="8035">
      <c r="F8035" s="17"/>
    </row>
    <row r="8036">
      <c r="F8036" s="17"/>
    </row>
    <row r="8037">
      <c r="F8037" s="17"/>
    </row>
    <row r="8038">
      <c r="F8038" s="17"/>
    </row>
    <row r="8039">
      <c r="F8039" s="17"/>
    </row>
    <row r="8040">
      <c r="F8040" s="17"/>
    </row>
    <row r="8041">
      <c r="F8041" s="17"/>
    </row>
    <row r="8042">
      <c r="F8042" s="17"/>
    </row>
    <row r="8043">
      <c r="F8043" s="17"/>
    </row>
    <row r="8044">
      <c r="F8044" s="17"/>
    </row>
    <row r="8045">
      <c r="F8045" s="17"/>
    </row>
    <row r="8046">
      <c r="F8046" s="17"/>
    </row>
    <row r="8047">
      <c r="F8047" s="17"/>
    </row>
    <row r="8048">
      <c r="F8048" s="17"/>
    </row>
    <row r="8049">
      <c r="F8049" s="17"/>
    </row>
    <row r="8050">
      <c r="F8050" s="17"/>
    </row>
    <row r="8051">
      <c r="F8051" s="17"/>
    </row>
    <row r="8052">
      <c r="F8052" s="17"/>
    </row>
    <row r="8053">
      <c r="F8053" s="17"/>
    </row>
    <row r="8054">
      <c r="F8054" s="17"/>
    </row>
    <row r="8055">
      <c r="F8055" s="17"/>
    </row>
    <row r="8056">
      <c r="F8056" s="17"/>
    </row>
    <row r="8057">
      <c r="F8057" s="17"/>
    </row>
    <row r="8058">
      <c r="F8058" s="17"/>
    </row>
    <row r="8059">
      <c r="F8059" s="17"/>
    </row>
    <row r="8060">
      <c r="F8060" s="17"/>
    </row>
    <row r="8061">
      <c r="F8061" s="17"/>
    </row>
    <row r="8062">
      <c r="F8062" s="17"/>
    </row>
    <row r="8063">
      <c r="F8063" s="17"/>
    </row>
    <row r="8064">
      <c r="F8064" s="17"/>
    </row>
    <row r="8065">
      <c r="F8065" s="17"/>
    </row>
    <row r="8066">
      <c r="F8066" s="17"/>
    </row>
    <row r="8067">
      <c r="F8067" s="17"/>
    </row>
    <row r="8068">
      <c r="F8068" s="17"/>
    </row>
    <row r="8069">
      <c r="F8069" s="17"/>
    </row>
    <row r="8070">
      <c r="F8070" s="17"/>
    </row>
    <row r="8071">
      <c r="F8071" s="17"/>
    </row>
    <row r="8072">
      <c r="F8072" s="17"/>
    </row>
    <row r="8073">
      <c r="F8073" s="17"/>
    </row>
    <row r="8074">
      <c r="F8074" s="17"/>
    </row>
    <row r="8075">
      <c r="F8075" s="17"/>
    </row>
    <row r="8076">
      <c r="F8076" s="17"/>
    </row>
    <row r="8077">
      <c r="F8077" s="17"/>
    </row>
    <row r="8078">
      <c r="F8078" s="17"/>
    </row>
    <row r="8079">
      <c r="F8079" s="17"/>
    </row>
    <row r="8080">
      <c r="F8080" s="17"/>
    </row>
    <row r="8081">
      <c r="F8081" s="17"/>
    </row>
    <row r="8082">
      <c r="F8082" s="17"/>
    </row>
    <row r="8083">
      <c r="F8083" s="17"/>
    </row>
    <row r="8084">
      <c r="F8084" s="17"/>
    </row>
    <row r="8085">
      <c r="F8085" s="17"/>
    </row>
    <row r="8086">
      <c r="F8086" s="17"/>
    </row>
    <row r="8087">
      <c r="F8087" s="17"/>
    </row>
    <row r="8088">
      <c r="F8088" s="17"/>
    </row>
    <row r="8089">
      <c r="F8089" s="17"/>
    </row>
    <row r="8090">
      <c r="F8090" s="17"/>
    </row>
    <row r="8091">
      <c r="F8091" s="17"/>
    </row>
    <row r="8092">
      <c r="F8092" s="17"/>
    </row>
    <row r="8093">
      <c r="F8093" s="17"/>
    </row>
    <row r="8094">
      <c r="F8094" s="17"/>
    </row>
    <row r="8095">
      <c r="F8095" s="17"/>
    </row>
    <row r="8096">
      <c r="F8096" s="17"/>
    </row>
    <row r="8097">
      <c r="F8097" s="17"/>
    </row>
    <row r="8098">
      <c r="F8098" s="17"/>
    </row>
    <row r="8099">
      <c r="F8099" s="17"/>
    </row>
    <row r="8100">
      <c r="F8100" s="17"/>
    </row>
    <row r="8101">
      <c r="F8101" s="17"/>
    </row>
    <row r="8102">
      <c r="F8102" s="17"/>
    </row>
    <row r="8103">
      <c r="F8103" s="17"/>
    </row>
    <row r="8104">
      <c r="F8104" s="17"/>
    </row>
    <row r="8105">
      <c r="F8105" s="17"/>
    </row>
    <row r="8106">
      <c r="F8106" s="17"/>
    </row>
    <row r="8107">
      <c r="F8107" s="17"/>
    </row>
    <row r="8108">
      <c r="F8108" s="17"/>
    </row>
    <row r="8109">
      <c r="F8109" s="17"/>
    </row>
    <row r="8110">
      <c r="F8110" s="17"/>
    </row>
    <row r="8111">
      <c r="F8111" s="17"/>
    </row>
    <row r="8112">
      <c r="F8112" s="17"/>
    </row>
    <row r="8113">
      <c r="F8113" s="17"/>
    </row>
    <row r="8114">
      <c r="F8114" s="17"/>
    </row>
    <row r="8115">
      <c r="F8115" s="17"/>
    </row>
    <row r="8116">
      <c r="F8116" s="17"/>
    </row>
    <row r="8117">
      <c r="F8117" s="17"/>
    </row>
    <row r="8118">
      <c r="F8118" s="17"/>
    </row>
    <row r="8119">
      <c r="F8119" s="17"/>
    </row>
    <row r="8120">
      <c r="F8120" s="17"/>
    </row>
    <row r="8121">
      <c r="F8121" s="17"/>
    </row>
    <row r="8122">
      <c r="F8122" s="17"/>
    </row>
    <row r="8123">
      <c r="F8123" s="17"/>
    </row>
    <row r="8124">
      <c r="F8124" s="17"/>
    </row>
    <row r="8125">
      <c r="F8125" s="17"/>
    </row>
    <row r="8126">
      <c r="F8126" s="17"/>
    </row>
    <row r="8127">
      <c r="F8127" s="17"/>
    </row>
    <row r="8128">
      <c r="F8128" s="17"/>
    </row>
    <row r="8129">
      <c r="F8129" s="17"/>
    </row>
    <row r="8130">
      <c r="F8130" s="17"/>
    </row>
    <row r="8131">
      <c r="F8131" s="17"/>
    </row>
    <row r="8132">
      <c r="F8132" s="17"/>
    </row>
    <row r="8133">
      <c r="F8133" s="17"/>
    </row>
    <row r="8134">
      <c r="F8134" s="17"/>
    </row>
    <row r="8135">
      <c r="F8135" s="17"/>
    </row>
    <row r="8136">
      <c r="F8136" s="17"/>
    </row>
    <row r="8137">
      <c r="F8137" s="17"/>
    </row>
    <row r="8138">
      <c r="F8138" s="17"/>
    </row>
    <row r="8139">
      <c r="F8139" s="17"/>
    </row>
    <row r="8140">
      <c r="F8140" s="17"/>
    </row>
    <row r="8141">
      <c r="F8141" s="17"/>
    </row>
    <row r="8142">
      <c r="F8142" s="17"/>
    </row>
    <row r="8143">
      <c r="F8143" s="17"/>
    </row>
    <row r="8144">
      <c r="F8144" s="17"/>
    </row>
    <row r="8145">
      <c r="F8145" s="17"/>
    </row>
    <row r="8146">
      <c r="F8146" s="17"/>
    </row>
    <row r="8147">
      <c r="F8147" s="17"/>
    </row>
    <row r="8148">
      <c r="F8148" s="17"/>
    </row>
    <row r="8149">
      <c r="F8149" s="17"/>
    </row>
    <row r="8150">
      <c r="F8150" s="17"/>
    </row>
    <row r="8151">
      <c r="F8151" s="17"/>
    </row>
    <row r="8152">
      <c r="F8152" s="17"/>
    </row>
    <row r="8153">
      <c r="F8153" s="17"/>
    </row>
    <row r="8154">
      <c r="F8154" s="17"/>
    </row>
    <row r="8155">
      <c r="F8155" s="17"/>
    </row>
    <row r="8156">
      <c r="F8156" s="17"/>
    </row>
    <row r="8157">
      <c r="F8157" s="17"/>
    </row>
    <row r="8158">
      <c r="F8158" s="17"/>
    </row>
    <row r="8159">
      <c r="F8159" s="17"/>
    </row>
    <row r="8160">
      <c r="F8160" s="17"/>
    </row>
    <row r="8161">
      <c r="F8161" s="17"/>
    </row>
    <row r="8162">
      <c r="F8162" s="17"/>
    </row>
    <row r="8163">
      <c r="F8163" s="17"/>
    </row>
    <row r="8164">
      <c r="F8164" s="17"/>
    </row>
    <row r="8165">
      <c r="F8165" s="17"/>
    </row>
    <row r="8166">
      <c r="F8166" s="17"/>
    </row>
    <row r="8167">
      <c r="F8167" s="17"/>
    </row>
    <row r="8168">
      <c r="F8168" s="17"/>
    </row>
    <row r="8169">
      <c r="F8169" s="17"/>
    </row>
    <row r="8170">
      <c r="F8170" s="17"/>
    </row>
    <row r="8171">
      <c r="F8171" s="17"/>
    </row>
    <row r="8172">
      <c r="F8172" s="17"/>
    </row>
    <row r="8173">
      <c r="F8173" s="17"/>
    </row>
    <row r="8174">
      <c r="F8174" s="17"/>
    </row>
    <row r="8175">
      <c r="F8175" s="17"/>
    </row>
    <row r="8176">
      <c r="F8176" s="17"/>
    </row>
    <row r="8177">
      <c r="F8177" s="17"/>
    </row>
    <row r="8178">
      <c r="F8178" s="17"/>
    </row>
    <row r="8179">
      <c r="F8179" s="17"/>
    </row>
    <row r="8180">
      <c r="F8180" s="17"/>
    </row>
    <row r="8181">
      <c r="F8181" s="17"/>
    </row>
    <row r="8182">
      <c r="F8182" s="17"/>
    </row>
    <row r="8183">
      <c r="F8183" s="17"/>
    </row>
    <row r="8184">
      <c r="F8184" s="17"/>
    </row>
    <row r="8185">
      <c r="F8185" s="17"/>
    </row>
    <row r="8186">
      <c r="F8186" s="17"/>
    </row>
    <row r="8187">
      <c r="F8187" s="17"/>
    </row>
    <row r="8188">
      <c r="F8188" s="17"/>
    </row>
    <row r="8189">
      <c r="F8189" s="17"/>
    </row>
    <row r="8190">
      <c r="F8190" s="17"/>
    </row>
    <row r="8191">
      <c r="F8191" s="17"/>
    </row>
    <row r="8192">
      <c r="F8192" s="17"/>
    </row>
    <row r="8193">
      <c r="F8193" s="17"/>
    </row>
    <row r="8194">
      <c r="F8194" s="17"/>
    </row>
    <row r="8195">
      <c r="F8195" s="17"/>
    </row>
    <row r="8196">
      <c r="F8196" s="17"/>
    </row>
    <row r="8197">
      <c r="F8197" s="17"/>
    </row>
    <row r="8198">
      <c r="F8198" s="17"/>
    </row>
    <row r="8199">
      <c r="F8199" s="17"/>
    </row>
    <row r="8200">
      <c r="F8200" s="17"/>
    </row>
    <row r="8201">
      <c r="F8201" s="17"/>
    </row>
    <row r="8202">
      <c r="F8202" s="17"/>
    </row>
    <row r="8203">
      <c r="F8203" s="17"/>
    </row>
    <row r="8204">
      <c r="F8204" s="17"/>
    </row>
    <row r="8205">
      <c r="F8205" s="17"/>
    </row>
    <row r="8206">
      <c r="F8206" s="17"/>
    </row>
    <row r="8207">
      <c r="F8207" s="17"/>
    </row>
    <row r="8208">
      <c r="F8208" s="17"/>
    </row>
    <row r="8209">
      <c r="F8209" s="17"/>
    </row>
    <row r="8210">
      <c r="F8210" s="17"/>
    </row>
    <row r="8211">
      <c r="F8211" s="17"/>
    </row>
    <row r="8212">
      <c r="F8212" s="17"/>
    </row>
    <row r="8213">
      <c r="F8213" s="17"/>
    </row>
    <row r="8214">
      <c r="F8214" s="17"/>
    </row>
    <row r="8215">
      <c r="F8215" s="17"/>
    </row>
    <row r="8216">
      <c r="F8216" s="17"/>
    </row>
    <row r="8217">
      <c r="F8217" s="17"/>
    </row>
    <row r="8218">
      <c r="F8218" s="17"/>
    </row>
    <row r="8219">
      <c r="F8219" s="17"/>
    </row>
    <row r="8220">
      <c r="F8220" s="17"/>
    </row>
    <row r="8221">
      <c r="F8221" s="17"/>
    </row>
    <row r="8222">
      <c r="F8222" s="17"/>
    </row>
    <row r="8223">
      <c r="F8223" s="17"/>
    </row>
    <row r="8224">
      <c r="F8224" s="17"/>
    </row>
    <row r="8225">
      <c r="F8225" s="17"/>
    </row>
    <row r="8226">
      <c r="F8226" s="17"/>
    </row>
    <row r="8227">
      <c r="F8227" s="17"/>
    </row>
    <row r="8228">
      <c r="F8228" s="17"/>
    </row>
    <row r="8229">
      <c r="F8229" s="17"/>
    </row>
    <row r="8230">
      <c r="F8230" s="17"/>
    </row>
    <row r="8231">
      <c r="F8231" s="17"/>
    </row>
    <row r="8232">
      <c r="F8232" s="17"/>
    </row>
    <row r="8233">
      <c r="F8233" s="17"/>
    </row>
    <row r="8234">
      <c r="F8234" s="17"/>
    </row>
    <row r="8235">
      <c r="F8235" s="17"/>
    </row>
    <row r="8236">
      <c r="F8236" s="17"/>
    </row>
    <row r="8237">
      <c r="F8237" s="17"/>
    </row>
    <row r="8238">
      <c r="F8238" s="17"/>
    </row>
    <row r="8239">
      <c r="F8239" s="17"/>
    </row>
    <row r="8240">
      <c r="F8240" s="17"/>
    </row>
    <row r="8241">
      <c r="F8241" s="17"/>
    </row>
    <row r="8242">
      <c r="F8242" s="17"/>
    </row>
    <row r="8243">
      <c r="F8243" s="17"/>
    </row>
    <row r="8244">
      <c r="F8244" s="17"/>
    </row>
    <row r="8245">
      <c r="F8245" s="17"/>
    </row>
    <row r="8246">
      <c r="F8246" s="17"/>
    </row>
    <row r="8247">
      <c r="F8247" s="17"/>
    </row>
    <row r="8248">
      <c r="F8248" s="17"/>
    </row>
    <row r="8249">
      <c r="F8249" s="17"/>
    </row>
    <row r="8250">
      <c r="F8250" s="17"/>
    </row>
    <row r="8251">
      <c r="F8251" s="17"/>
    </row>
    <row r="8252">
      <c r="F8252" s="17"/>
    </row>
    <row r="8253">
      <c r="F8253" s="17"/>
    </row>
    <row r="8254">
      <c r="F8254" s="17"/>
    </row>
    <row r="8255">
      <c r="F8255" s="17"/>
    </row>
    <row r="8256">
      <c r="F8256" s="17"/>
    </row>
    <row r="8257">
      <c r="F8257" s="17"/>
    </row>
    <row r="8258">
      <c r="F8258" s="17"/>
    </row>
    <row r="8259">
      <c r="F8259" s="17"/>
    </row>
    <row r="8260">
      <c r="F8260" s="17"/>
    </row>
    <row r="8261">
      <c r="F8261" s="17"/>
    </row>
    <row r="8262">
      <c r="F8262" s="17"/>
    </row>
    <row r="8263">
      <c r="F8263" s="17"/>
    </row>
    <row r="8264">
      <c r="F8264" s="17"/>
    </row>
    <row r="8265">
      <c r="F8265" s="17"/>
    </row>
    <row r="8266">
      <c r="F8266" s="17"/>
    </row>
    <row r="8267">
      <c r="F8267" s="17"/>
    </row>
    <row r="8268">
      <c r="F8268" s="17"/>
    </row>
    <row r="8269">
      <c r="F8269" s="17"/>
    </row>
    <row r="8270">
      <c r="F8270" s="17"/>
    </row>
    <row r="8271">
      <c r="F8271" s="17"/>
    </row>
    <row r="8272">
      <c r="F8272" s="17"/>
    </row>
    <row r="8273">
      <c r="F8273" s="17"/>
    </row>
    <row r="8274">
      <c r="F8274" s="17"/>
    </row>
    <row r="8275">
      <c r="F8275" s="17"/>
    </row>
    <row r="8276">
      <c r="F8276" s="17"/>
    </row>
    <row r="8277">
      <c r="F8277" s="17"/>
    </row>
    <row r="8278">
      <c r="F8278" s="17"/>
    </row>
    <row r="8279">
      <c r="F8279" s="17"/>
    </row>
    <row r="8280">
      <c r="F8280" s="17"/>
    </row>
    <row r="8281">
      <c r="F8281" s="17"/>
    </row>
    <row r="8282">
      <c r="F8282" s="17"/>
    </row>
    <row r="8283">
      <c r="F8283" s="17"/>
    </row>
    <row r="8284">
      <c r="F8284" s="17"/>
    </row>
    <row r="8285">
      <c r="F8285" s="17"/>
    </row>
    <row r="8286">
      <c r="F8286" s="17"/>
    </row>
    <row r="8287">
      <c r="F8287" s="17"/>
    </row>
    <row r="8288">
      <c r="F8288" s="17"/>
    </row>
    <row r="8289">
      <c r="F8289" s="17"/>
    </row>
    <row r="8290">
      <c r="F8290" s="17"/>
    </row>
    <row r="8291">
      <c r="F8291" s="17"/>
    </row>
    <row r="8292">
      <c r="F8292" s="17"/>
    </row>
    <row r="8293">
      <c r="F8293" s="17"/>
    </row>
    <row r="8294">
      <c r="F8294" s="17"/>
    </row>
    <row r="8295">
      <c r="F8295" s="17"/>
    </row>
    <row r="8296">
      <c r="F8296" s="17"/>
    </row>
    <row r="8297">
      <c r="F8297" s="17"/>
    </row>
    <row r="8298">
      <c r="F8298" s="17"/>
    </row>
    <row r="8299">
      <c r="F8299" s="17"/>
    </row>
    <row r="8300">
      <c r="F8300" s="17"/>
    </row>
    <row r="8301">
      <c r="F8301" s="17"/>
    </row>
    <row r="8302">
      <c r="F8302" s="17"/>
    </row>
    <row r="8303">
      <c r="F8303" s="17"/>
    </row>
    <row r="8304">
      <c r="F8304" s="17"/>
    </row>
    <row r="8305">
      <c r="F8305" s="17"/>
    </row>
    <row r="8306">
      <c r="F8306" s="17"/>
    </row>
    <row r="8307">
      <c r="F8307" s="17"/>
    </row>
    <row r="8308">
      <c r="F8308" s="17"/>
    </row>
    <row r="8309">
      <c r="F8309" s="17"/>
    </row>
    <row r="8310">
      <c r="F8310" s="17"/>
    </row>
    <row r="8311">
      <c r="F8311" s="17"/>
    </row>
    <row r="8312">
      <c r="F8312" s="17"/>
    </row>
    <row r="8313">
      <c r="F8313" s="17"/>
    </row>
    <row r="8314">
      <c r="F8314" s="17"/>
    </row>
    <row r="8315">
      <c r="F8315" s="17"/>
    </row>
    <row r="8316">
      <c r="F8316" s="17"/>
    </row>
    <row r="8317">
      <c r="F8317" s="17"/>
    </row>
    <row r="8318">
      <c r="F8318" s="17"/>
    </row>
    <row r="8319">
      <c r="F8319" s="17"/>
    </row>
    <row r="8320">
      <c r="F8320" s="17"/>
    </row>
    <row r="8321">
      <c r="F8321" s="17"/>
    </row>
    <row r="8322">
      <c r="F8322" s="17"/>
    </row>
    <row r="8323">
      <c r="F8323" s="17"/>
    </row>
    <row r="8324">
      <c r="F8324" s="17"/>
    </row>
    <row r="8325">
      <c r="F8325" s="17"/>
    </row>
    <row r="8326">
      <c r="F8326" s="17"/>
    </row>
    <row r="8327">
      <c r="F8327" s="17"/>
    </row>
    <row r="8328">
      <c r="F8328" s="17"/>
    </row>
    <row r="8329">
      <c r="F8329" s="17"/>
    </row>
    <row r="8330">
      <c r="F8330" s="17"/>
    </row>
    <row r="8331">
      <c r="F8331" s="17"/>
    </row>
    <row r="8332">
      <c r="F8332" s="17"/>
    </row>
    <row r="8333">
      <c r="F8333" s="17"/>
    </row>
    <row r="8334">
      <c r="F8334" s="17"/>
    </row>
    <row r="8335">
      <c r="F8335" s="17"/>
    </row>
    <row r="8336">
      <c r="F8336" s="17"/>
    </row>
    <row r="8337">
      <c r="F8337" s="17"/>
    </row>
    <row r="8338">
      <c r="F8338" s="17"/>
    </row>
    <row r="8339">
      <c r="F8339" s="17"/>
    </row>
    <row r="8340">
      <c r="F8340" s="17"/>
    </row>
    <row r="8341">
      <c r="F8341" s="17"/>
    </row>
    <row r="8342">
      <c r="F8342" s="17"/>
    </row>
    <row r="8343">
      <c r="F8343" s="17"/>
    </row>
    <row r="8344">
      <c r="F8344" s="17"/>
    </row>
    <row r="8345">
      <c r="F8345" s="17"/>
    </row>
    <row r="8346">
      <c r="F8346" s="17"/>
    </row>
    <row r="8347">
      <c r="F8347" s="17"/>
    </row>
    <row r="8348">
      <c r="F8348" s="17"/>
    </row>
    <row r="8349">
      <c r="F8349" s="17"/>
    </row>
    <row r="8350">
      <c r="F8350" s="17"/>
    </row>
    <row r="8351">
      <c r="F8351" s="17"/>
    </row>
    <row r="8352">
      <c r="F8352" s="17"/>
    </row>
    <row r="8353">
      <c r="F8353" s="17"/>
    </row>
    <row r="8354">
      <c r="F8354" s="17"/>
    </row>
    <row r="8355">
      <c r="F8355" s="17"/>
    </row>
    <row r="8356">
      <c r="F8356" s="17"/>
    </row>
    <row r="8357">
      <c r="F8357" s="17"/>
    </row>
    <row r="8358">
      <c r="F8358" s="17"/>
    </row>
    <row r="8359">
      <c r="F8359" s="17"/>
    </row>
    <row r="8360">
      <c r="F8360" s="17"/>
    </row>
    <row r="8361">
      <c r="F8361" s="17"/>
    </row>
    <row r="8362">
      <c r="F8362" s="17"/>
    </row>
    <row r="8363">
      <c r="F8363" s="17"/>
    </row>
    <row r="8364">
      <c r="F8364" s="17"/>
    </row>
    <row r="8365">
      <c r="F8365" s="17"/>
    </row>
    <row r="8366">
      <c r="F8366" s="17"/>
    </row>
    <row r="8367">
      <c r="F8367" s="17"/>
    </row>
    <row r="8368">
      <c r="F8368" s="17"/>
    </row>
    <row r="8369">
      <c r="F8369" s="17"/>
    </row>
    <row r="8370">
      <c r="F8370" s="17"/>
    </row>
    <row r="8371">
      <c r="F8371" s="17"/>
    </row>
    <row r="8372">
      <c r="F8372" s="17"/>
    </row>
    <row r="8373">
      <c r="F8373" s="17"/>
    </row>
    <row r="8374">
      <c r="F8374" s="17"/>
    </row>
    <row r="8375">
      <c r="F8375" s="17"/>
    </row>
    <row r="8376">
      <c r="F8376" s="17"/>
    </row>
    <row r="8377">
      <c r="F8377" s="17"/>
    </row>
    <row r="8378">
      <c r="F8378" s="17"/>
    </row>
    <row r="8379">
      <c r="F8379" s="17"/>
    </row>
    <row r="8380">
      <c r="F8380" s="17"/>
    </row>
    <row r="8381">
      <c r="F8381" s="17"/>
    </row>
    <row r="8382">
      <c r="F8382" s="17"/>
    </row>
    <row r="8383">
      <c r="F8383" s="17"/>
    </row>
    <row r="8384">
      <c r="F8384" s="17"/>
    </row>
    <row r="8385">
      <c r="F8385" s="17"/>
    </row>
    <row r="8386">
      <c r="F8386" s="17"/>
    </row>
    <row r="8387">
      <c r="F8387" s="17"/>
    </row>
    <row r="8388">
      <c r="F8388" s="17"/>
    </row>
    <row r="8389">
      <c r="F8389" s="17"/>
    </row>
    <row r="8390">
      <c r="F8390" s="17"/>
    </row>
    <row r="8391">
      <c r="F8391" s="17"/>
    </row>
    <row r="8392">
      <c r="F8392" s="17"/>
    </row>
    <row r="8393">
      <c r="F8393" s="17"/>
    </row>
    <row r="8394">
      <c r="F8394" s="17"/>
    </row>
    <row r="8395">
      <c r="F8395" s="17"/>
    </row>
    <row r="8396">
      <c r="F8396" s="17"/>
    </row>
    <row r="8397">
      <c r="F8397" s="17"/>
    </row>
    <row r="8398">
      <c r="F8398" s="17"/>
    </row>
    <row r="8399">
      <c r="F8399" s="17"/>
    </row>
    <row r="8400">
      <c r="F8400" s="17"/>
    </row>
    <row r="8401">
      <c r="F8401" s="17"/>
    </row>
    <row r="8402">
      <c r="F8402" s="17"/>
    </row>
    <row r="8403">
      <c r="F8403" s="17"/>
    </row>
    <row r="8404">
      <c r="F8404" s="17"/>
    </row>
    <row r="8405">
      <c r="F8405" s="17"/>
    </row>
    <row r="8406">
      <c r="F8406" s="17"/>
    </row>
    <row r="8407">
      <c r="F8407" s="17"/>
    </row>
    <row r="8408">
      <c r="F8408" s="17"/>
    </row>
    <row r="8409">
      <c r="F8409" s="17"/>
    </row>
    <row r="8410">
      <c r="F8410" s="17"/>
    </row>
    <row r="8411">
      <c r="F8411" s="17"/>
    </row>
    <row r="8412">
      <c r="F8412" s="17"/>
    </row>
    <row r="8413">
      <c r="F8413" s="17"/>
    </row>
    <row r="8414">
      <c r="F8414" s="17"/>
    </row>
    <row r="8415">
      <c r="F8415" s="17"/>
    </row>
    <row r="8416">
      <c r="F8416" s="17"/>
    </row>
    <row r="8417">
      <c r="F8417" s="17"/>
    </row>
    <row r="8418">
      <c r="F8418" s="17"/>
    </row>
    <row r="8419">
      <c r="F8419" s="17"/>
    </row>
    <row r="8420">
      <c r="F8420" s="17"/>
    </row>
    <row r="8421">
      <c r="F8421" s="17"/>
    </row>
    <row r="8422">
      <c r="F8422" s="17"/>
    </row>
    <row r="8423">
      <c r="F8423" s="17"/>
    </row>
    <row r="8424">
      <c r="F8424" s="17"/>
    </row>
    <row r="8425">
      <c r="F8425" s="17"/>
    </row>
    <row r="8426">
      <c r="F8426" s="17"/>
    </row>
    <row r="8427">
      <c r="F8427" s="17"/>
    </row>
    <row r="8428">
      <c r="F8428" s="17"/>
    </row>
    <row r="8429">
      <c r="F8429" s="17"/>
    </row>
    <row r="8430">
      <c r="F8430" s="17"/>
    </row>
    <row r="8431">
      <c r="F8431" s="17"/>
    </row>
    <row r="8432">
      <c r="F8432" s="17"/>
    </row>
    <row r="8433">
      <c r="F8433" s="17"/>
    </row>
    <row r="8434">
      <c r="F8434" s="17"/>
    </row>
    <row r="8435">
      <c r="F8435" s="17"/>
    </row>
    <row r="8436">
      <c r="F8436" s="17"/>
    </row>
    <row r="8437">
      <c r="F8437" s="17"/>
    </row>
    <row r="8438">
      <c r="F8438" s="17"/>
    </row>
    <row r="8439">
      <c r="F8439" s="17"/>
    </row>
    <row r="8440">
      <c r="F8440" s="17"/>
    </row>
    <row r="8441">
      <c r="F8441" s="17"/>
    </row>
    <row r="8442">
      <c r="F8442" s="17"/>
    </row>
    <row r="8443">
      <c r="F8443" s="17"/>
    </row>
    <row r="8444">
      <c r="F8444" s="17"/>
    </row>
    <row r="8445">
      <c r="F8445" s="17"/>
    </row>
    <row r="8446">
      <c r="F8446" s="17"/>
    </row>
    <row r="8447">
      <c r="F8447" s="17"/>
    </row>
    <row r="8448">
      <c r="F8448" s="17"/>
    </row>
    <row r="8449">
      <c r="F8449" s="17"/>
    </row>
    <row r="8450">
      <c r="F8450" s="17"/>
    </row>
    <row r="8451">
      <c r="F8451" s="17"/>
    </row>
    <row r="8452">
      <c r="F8452" s="17"/>
    </row>
    <row r="8453">
      <c r="F8453" s="17"/>
    </row>
    <row r="8454">
      <c r="F8454" s="17"/>
    </row>
    <row r="8455">
      <c r="F8455" s="17"/>
    </row>
    <row r="8456">
      <c r="F8456" s="17"/>
    </row>
    <row r="8457">
      <c r="F8457" s="17"/>
    </row>
    <row r="8458">
      <c r="F8458" s="17"/>
    </row>
    <row r="8459">
      <c r="F8459" s="17"/>
    </row>
    <row r="8460">
      <c r="F8460" s="17"/>
    </row>
    <row r="8461">
      <c r="F8461" s="17"/>
    </row>
    <row r="8462">
      <c r="F8462" s="17"/>
    </row>
    <row r="8463">
      <c r="F8463" s="17"/>
    </row>
    <row r="8464">
      <c r="F8464" s="17"/>
    </row>
    <row r="8465">
      <c r="F8465" s="17"/>
    </row>
    <row r="8466">
      <c r="F8466" s="17"/>
    </row>
    <row r="8467">
      <c r="F8467" s="17"/>
    </row>
    <row r="8468">
      <c r="F8468" s="17"/>
    </row>
    <row r="8469">
      <c r="F8469" s="17"/>
    </row>
    <row r="8470">
      <c r="F8470" s="17"/>
    </row>
    <row r="8471">
      <c r="F8471" s="17"/>
    </row>
    <row r="8472">
      <c r="F8472" s="17"/>
    </row>
    <row r="8473">
      <c r="F8473" s="17"/>
    </row>
    <row r="8474">
      <c r="F8474" s="17"/>
    </row>
    <row r="8475">
      <c r="F8475" s="17"/>
    </row>
    <row r="8476">
      <c r="F8476" s="17"/>
    </row>
    <row r="8477">
      <c r="F8477" s="17"/>
    </row>
    <row r="8478">
      <c r="F8478" s="17"/>
    </row>
    <row r="8479">
      <c r="F8479" s="17"/>
    </row>
    <row r="8480">
      <c r="F8480" s="17"/>
    </row>
    <row r="8481">
      <c r="F8481" s="17"/>
    </row>
    <row r="8482">
      <c r="F8482" s="17"/>
    </row>
    <row r="8483">
      <c r="F8483" s="17"/>
    </row>
    <row r="8484">
      <c r="F8484" s="17"/>
    </row>
    <row r="8485">
      <c r="F8485" s="17"/>
    </row>
    <row r="8486">
      <c r="F8486" s="17"/>
    </row>
    <row r="8487">
      <c r="F8487" s="17"/>
    </row>
    <row r="8488">
      <c r="F8488" s="17"/>
    </row>
    <row r="8489">
      <c r="F8489" s="17"/>
    </row>
    <row r="8490">
      <c r="F8490" s="17"/>
    </row>
    <row r="8491">
      <c r="F8491" s="17"/>
    </row>
    <row r="8492">
      <c r="F8492" s="17"/>
    </row>
    <row r="8493">
      <c r="F8493" s="17"/>
    </row>
    <row r="8494">
      <c r="F8494" s="17"/>
    </row>
    <row r="8495">
      <c r="F8495" s="17"/>
    </row>
    <row r="8496">
      <c r="F8496" s="17"/>
    </row>
    <row r="8497">
      <c r="F8497" s="17"/>
    </row>
    <row r="8498">
      <c r="F8498" s="17"/>
    </row>
    <row r="8499">
      <c r="F8499" s="17"/>
    </row>
    <row r="8500">
      <c r="F8500" s="17"/>
    </row>
    <row r="8501">
      <c r="F8501" s="17"/>
    </row>
    <row r="8502">
      <c r="F8502" s="17"/>
    </row>
    <row r="8503">
      <c r="F8503" s="17"/>
    </row>
    <row r="8504">
      <c r="F8504" s="17"/>
    </row>
    <row r="8505">
      <c r="F8505" s="17"/>
    </row>
    <row r="8506">
      <c r="F8506" s="17"/>
    </row>
    <row r="8507">
      <c r="F8507" s="17"/>
    </row>
    <row r="8508">
      <c r="F8508" s="17"/>
    </row>
    <row r="8509">
      <c r="F8509" s="17"/>
    </row>
    <row r="8510">
      <c r="F8510" s="17"/>
    </row>
    <row r="8511">
      <c r="F8511" s="17"/>
    </row>
    <row r="8512">
      <c r="F8512" s="17"/>
    </row>
    <row r="8513">
      <c r="F8513" s="17"/>
    </row>
    <row r="8514">
      <c r="F8514" s="17"/>
    </row>
    <row r="8515">
      <c r="F8515" s="17"/>
    </row>
    <row r="8516">
      <c r="F8516" s="17"/>
    </row>
    <row r="8517">
      <c r="F8517" s="17"/>
    </row>
    <row r="8518">
      <c r="F8518" s="17"/>
    </row>
    <row r="8519">
      <c r="F8519" s="17"/>
    </row>
    <row r="8520">
      <c r="F8520" s="17"/>
    </row>
    <row r="8521">
      <c r="F8521" s="17"/>
    </row>
    <row r="8522">
      <c r="F8522" s="17"/>
    </row>
    <row r="8523">
      <c r="F8523" s="17"/>
    </row>
    <row r="8524">
      <c r="F8524" s="17"/>
    </row>
    <row r="8525">
      <c r="F8525" s="17"/>
    </row>
    <row r="8526">
      <c r="F8526" s="17"/>
    </row>
    <row r="8527">
      <c r="F8527" s="17"/>
    </row>
    <row r="8528">
      <c r="F8528" s="17"/>
    </row>
    <row r="8529">
      <c r="F8529" s="17"/>
    </row>
    <row r="8530">
      <c r="F8530" s="17"/>
    </row>
    <row r="8531">
      <c r="F8531" s="17"/>
    </row>
    <row r="8532">
      <c r="F8532" s="17"/>
    </row>
    <row r="8533">
      <c r="F8533" s="17"/>
    </row>
    <row r="8534">
      <c r="F8534" s="17"/>
    </row>
    <row r="8535">
      <c r="F8535" s="17"/>
    </row>
    <row r="8536">
      <c r="F8536" s="17"/>
    </row>
    <row r="8537">
      <c r="F8537" s="17"/>
    </row>
    <row r="8538">
      <c r="F8538" s="17"/>
    </row>
    <row r="8539">
      <c r="F8539" s="17"/>
    </row>
    <row r="8540">
      <c r="F8540" s="17"/>
    </row>
    <row r="8541">
      <c r="F8541" s="17"/>
    </row>
    <row r="8542">
      <c r="F8542" s="17"/>
    </row>
    <row r="8543">
      <c r="F8543" s="17"/>
    </row>
    <row r="8544">
      <c r="F8544" s="17"/>
    </row>
    <row r="8545">
      <c r="F8545" s="17"/>
    </row>
    <row r="8546">
      <c r="F8546" s="17"/>
    </row>
    <row r="8547">
      <c r="F8547" s="17"/>
    </row>
    <row r="8548">
      <c r="F8548" s="17"/>
    </row>
    <row r="8549">
      <c r="F8549" s="17"/>
    </row>
    <row r="8550">
      <c r="F8550" s="17"/>
    </row>
    <row r="8551">
      <c r="F8551" s="17"/>
    </row>
    <row r="8552">
      <c r="F8552" s="17"/>
    </row>
    <row r="8553">
      <c r="F8553" s="17"/>
    </row>
    <row r="8554">
      <c r="F8554" s="17"/>
    </row>
    <row r="8555">
      <c r="F8555" s="17"/>
    </row>
    <row r="8556">
      <c r="F8556" s="17"/>
    </row>
    <row r="8557">
      <c r="F8557" s="17"/>
    </row>
    <row r="8558">
      <c r="F8558" s="17"/>
    </row>
    <row r="8559">
      <c r="F8559" s="17"/>
    </row>
    <row r="8560">
      <c r="F8560" s="17"/>
    </row>
    <row r="8561">
      <c r="F8561" s="17"/>
    </row>
    <row r="8562">
      <c r="F8562" s="17"/>
    </row>
    <row r="8563">
      <c r="F8563" s="17"/>
    </row>
    <row r="8564">
      <c r="F8564" s="17"/>
    </row>
    <row r="8565">
      <c r="F8565" s="17"/>
    </row>
    <row r="8566">
      <c r="F8566" s="17"/>
    </row>
    <row r="8567">
      <c r="F8567" s="17"/>
    </row>
    <row r="8568">
      <c r="F8568" s="17"/>
    </row>
    <row r="8569">
      <c r="F8569" s="17"/>
    </row>
    <row r="8570">
      <c r="F8570" s="17"/>
    </row>
    <row r="8571">
      <c r="F8571" s="17"/>
    </row>
    <row r="8572">
      <c r="F8572" s="17"/>
    </row>
    <row r="8573">
      <c r="F8573" s="17"/>
    </row>
    <row r="8574">
      <c r="F8574" s="17"/>
    </row>
    <row r="8575">
      <c r="F8575" s="17"/>
    </row>
    <row r="8576">
      <c r="F8576" s="17"/>
    </row>
    <row r="8577">
      <c r="F8577" s="17"/>
    </row>
    <row r="8578">
      <c r="F8578" s="17"/>
    </row>
    <row r="8579">
      <c r="F8579" s="17"/>
    </row>
    <row r="8580">
      <c r="F8580" s="17"/>
    </row>
    <row r="8581">
      <c r="F8581" s="17"/>
    </row>
    <row r="8582">
      <c r="F8582" s="17"/>
    </row>
    <row r="8583">
      <c r="F8583" s="17"/>
    </row>
    <row r="8584">
      <c r="F8584" s="17"/>
    </row>
    <row r="8585">
      <c r="F8585" s="17"/>
    </row>
    <row r="8586">
      <c r="F8586" s="17"/>
    </row>
    <row r="8587">
      <c r="F8587" s="17"/>
    </row>
    <row r="8588">
      <c r="F8588" s="17"/>
    </row>
    <row r="8589">
      <c r="F8589" s="17"/>
    </row>
    <row r="8590">
      <c r="F8590" s="17"/>
    </row>
    <row r="8591">
      <c r="F8591" s="17"/>
    </row>
    <row r="8592">
      <c r="F8592" s="17"/>
    </row>
    <row r="8593">
      <c r="F8593" s="17"/>
    </row>
    <row r="8594">
      <c r="F8594" s="17"/>
    </row>
    <row r="8595">
      <c r="F8595" s="17"/>
    </row>
    <row r="8596">
      <c r="F8596" s="17"/>
    </row>
    <row r="8597">
      <c r="F8597" s="17"/>
    </row>
    <row r="8598">
      <c r="F8598" s="17"/>
    </row>
    <row r="8599">
      <c r="F8599" s="17"/>
    </row>
    <row r="8600">
      <c r="F8600" s="17"/>
    </row>
    <row r="8601">
      <c r="F8601" s="17"/>
    </row>
    <row r="8602">
      <c r="F8602" s="17"/>
    </row>
    <row r="8603">
      <c r="F8603" s="17"/>
    </row>
    <row r="8604">
      <c r="F8604" s="17"/>
    </row>
    <row r="8605">
      <c r="F8605" s="17"/>
    </row>
    <row r="8606">
      <c r="F8606" s="17"/>
    </row>
    <row r="8607">
      <c r="F8607" s="17"/>
    </row>
    <row r="8608">
      <c r="F8608" s="17"/>
    </row>
    <row r="8609">
      <c r="F8609" s="17"/>
    </row>
    <row r="8610">
      <c r="F8610" s="17"/>
    </row>
    <row r="8611">
      <c r="F8611" s="17"/>
    </row>
    <row r="8612">
      <c r="F8612" s="17"/>
    </row>
    <row r="8613">
      <c r="F8613" s="17"/>
    </row>
    <row r="8614">
      <c r="F8614" s="17"/>
    </row>
    <row r="8615">
      <c r="F8615" s="17"/>
    </row>
    <row r="8616">
      <c r="F8616" s="17"/>
    </row>
    <row r="8617">
      <c r="F8617" s="17"/>
    </row>
    <row r="8618">
      <c r="F8618" s="17"/>
    </row>
    <row r="8619">
      <c r="F8619" s="17"/>
    </row>
    <row r="8620">
      <c r="F8620" s="17"/>
    </row>
    <row r="8621">
      <c r="F8621" s="17"/>
    </row>
    <row r="8622">
      <c r="F8622" s="17"/>
    </row>
    <row r="8623">
      <c r="F8623" s="17"/>
    </row>
    <row r="8624">
      <c r="F8624" s="17"/>
    </row>
    <row r="8625">
      <c r="F8625" s="17"/>
    </row>
    <row r="8626">
      <c r="F8626" s="17"/>
    </row>
    <row r="8627">
      <c r="F8627" s="17"/>
    </row>
    <row r="8628">
      <c r="F8628" s="17"/>
    </row>
    <row r="8629">
      <c r="F8629" s="17"/>
    </row>
    <row r="8630">
      <c r="F8630" s="17"/>
    </row>
    <row r="8631">
      <c r="F8631" s="17"/>
    </row>
    <row r="8632">
      <c r="F8632" s="17"/>
    </row>
    <row r="8633">
      <c r="F8633" s="17"/>
    </row>
    <row r="8634">
      <c r="F8634" s="17"/>
    </row>
    <row r="8635">
      <c r="F8635" s="17"/>
    </row>
    <row r="8636">
      <c r="F8636" s="17"/>
    </row>
    <row r="8637">
      <c r="F8637" s="17"/>
    </row>
    <row r="8638">
      <c r="F8638" s="17"/>
    </row>
    <row r="8639">
      <c r="F8639" s="17"/>
    </row>
    <row r="8640">
      <c r="F8640" s="17"/>
    </row>
    <row r="8641">
      <c r="F8641" s="17"/>
    </row>
    <row r="8642">
      <c r="F8642" s="17"/>
    </row>
    <row r="8643">
      <c r="F8643" s="17"/>
    </row>
    <row r="8644">
      <c r="F8644" s="17"/>
    </row>
    <row r="8645">
      <c r="F8645" s="17"/>
    </row>
    <row r="8646">
      <c r="F8646" s="17"/>
    </row>
    <row r="8647">
      <c r="F8647" s="17"/>
    </row>
    <row r="8648">
      <c r="F8648" s="17"/>
    </row>
    <row r="8649">
      <c r="F8649" s="17"/>
    </row>
    <row r="8650">
      <c r="F8650" s="17"/>
    </row>
    <row r="8651">
      <c r="F8651" s="17"/>
    </row>
    <row r="8652">
      <c r="F8652" s="17"/>
    </row>
    <row r="8653">
      <c r="F8653" s="17"/>
    </row>
    <row r="8654">
      <c r="F8654" s="17"/>
    </row>
    <row r="8655">
      <c r="F8655" s="17"/>
    </row>
    <row r="8656">
      <c r="F8656" s="17"/>
    </row>
    <row r="8657">
      <c r="F8657" s="17"/>
    </row>
    <row r="8658">
      <c r="F8658" s="17"/>
    </row>
    <row r="8659">
      <c r="F8659" s="17"/>
    </row>
    <row r="8660">
      <c r="F8660" s="17"/>
    </row>
    <row r="8661">
      <c r="F8661" s="17"/>
    </row>
    <row r="8662">
      <c r="F8662" s="17"/>
    </row>
    <row r="8663">
      <c r="F8663" s="17"/>
    </row>
    <row r="8664">
      <c r="F8664" s="17"/>
    </row>
    <row r="8665">
      <c r="F8665" s="17"/>
    </row>
    <row r="8666">
      <c r="F8666" s="17"/>
    </row>
    <row r="8667">
      <c r="F8667" s="17"/>
    </row>
    <row r="8668">
      <c r="F8668" s="17"/>
    </row>
    <row r="8669">
      <c r="F8669" s="17"/>
    </row>
    <row r="8670">
      <c r="F8670" s="17"/>
    </row>
    <row r="8671">
      <c r="F8671" s="17"/>
    </row>
    <row r="8672">
      <c r="F8672" s="17"/>
    </row>
    <row r="8673">
      <c r="F8673" s="17"/>
    </row>
    <row r="8674">
      <c r="F8674" s="17"/>
    </row>
    <row r="8675">
      <c r="F8675" s="17"/>
    </row>
    <row r="8676">
      <c r="F8676" s="17"/>
    </row>
    <row r="8677">
      <c r="F8677" s="17"/>
    </row>
    <row r="8678">
      <c r="F8678" s="17"/>
    </row>
    <row r="8679">
      <c r="F8679" s="17"/>
    </row>
    <row r="8680">
      <c r="F8680" s="17"/>
    </row>
    <row r="8681">
      <c r="F8681" s="17"/>
    </row>
    <row r="8682">
      <c r="F8682" s="17"/>
    </row>
    <row r="8683">
      <c r="F8683" s="17"/>
    </row>
    <row r="8684">
      <c r="F8684" s="17"/>
    </row>
    <row r="8685">
      <c r="F8685" s="17"/>
    </row>
    <row r="8686">
      <c r="F8686" s="17"/>
    </row>
    <row r="8687">
      <c r="F8687" s="17"/>
    </row>
    <row r="8688">
      <c r="F8688" s="17"/>
    </row>
    <row r="8689">
      <c r="F8689" s="17"/>
    </row>
    <row r="8690">
      <c r="F8690" s="17"/>
    </row>
    <row r="8691">
      <c r="F8691" s="17"/>
    </row>
    <row r="8692">
      <c r="F8692" s="17"/>
    </row>
    <row r="8693">
      <c r="F8693" s="17"/>
    </row>
    <row r="8694">
      <c r="F8694" s="17"/>
    </row>
    <row r="8695">
      <c r="F8695" s="17"/>
    </row>
    <row r="8696">
      <c r="F8696" s="17"/>
    </row>
    <row r="8697">
      <c r="F8697" s="17"/>
    </row>
    <row r="8698">
      <c r="F8698" s="17"/>
    </row>
    <row r="8699">
      <c r="F8699" s="17"/>
    </row>
    <row r="8700">
      <c r="F8700" s="17"/>
    </row>
    <row r="8701">
      <c r="F8701" s="17"/>
    </row>
    <row r="8702">
      <c r="F8702" s="17"/>
    </row>
    <row r="8703">
      <c r="F8703" s="17"/>
    </row>
    <row r="8704">
      <c r="F8704" s="17"/>
    </row>
    <row r="8705">
      <c r="F8705" s="17"/>
    </row>
    <row r="8706">
      <c r="F8706" s="17"/>
    </row>
    <row r="8707">
      <c r="F8707" s="17"/>
    </row>
    <row r="8708">
      <c r="F8708" s="17"/>
    </row>
    <row r="8709">
      <c r="F8709" s="17"/>
    </row>
    <row r="8710">
      <c r="F8710" s="17"/>
    </row>
    <row r="8711">
      <c r="F8711" s="17"/>
    </row>
    <row r="8712">
      <c r="F8712" s="17"/>
    </row>
    <row r="8713">
      <c r="F8713" s="17"/>
    </row>
    <row r="8714">
      <c r="F8714" s="17"/>
    </row>
    <row r="8715">
      <c r="F8715" s="17"/>
    </row>
    <row r="8716">
      <c r="F8716" s="17"/>
    </row>
    <row r="8717">
      <c r="F8717" s="17"/>
    </row>
    <row r="8718">
      <c r="F8718" s="17"/>
    </row>
    <row r="8719">
      <c r="F8719" s="17"/>
    </row>
    <row r="8720">
      <c r="F8720" s="17"/>
    </row>
    <row r="8721">
      <c r="F8721" s="17"/>
    </row>
    <row r="8722">
      <c r="F8722" s="17"/>
    </row>
    <row r="8723">
      <c r="F8723" s="17"/>
    </row>
    <row r="8724">
      <c r="F8724" s="17"/>
    </row>
    <row r="8725">
      <c r="F8725" s="17"/>
    </row>
    <row r="8726">
      <c r="F8726" s="17"/>
    </row>
    <row r="8727">
      <c r="F8727" s="17"/>
    </row>
    <row r="8728">
      <c r="F8728" s="17"/>
    </row>
    <row r="8729">
      <c r="F8729" s="17"/>
    </row>
    <row r="8730">
      <c r="F8730" s="17"/>
    </row>
    <row r="8731">
      <c r="F8731" s="17"/>
    </row>
    <row r="8732">
      <c r="F8732" s="17"/>
    </row>
    <row r="8733">
      <c r="F8733" s="17"/>
    </row>
    <row r="8734">
      <c r="F8734" s="17"/>
    </row>
    <row r="8735">
      <c r="F8735" s="17"/>
    </row>
    <row r="8736">
      <c r="F8736" s="17"/>
    </row>
    <row r="8737">
      <c r="F8737" s="17"/>
    </row>
    <row r="8738">
      <c r="F8738" s="17"/>
    </row>
    <row r="8739">
      <c r="F8739" s="17"/>
    </row>
    <row r="8740">
      <c r="F8740" s="17"/>
    </row>
    <row r="8741">
      <c r="F8741" s="17"/>
    </row>
    <row r="8742">
      <c r="F8742" s="17"/>
    </row>
    <row r="8743">
      <c r="F8743" s="17"/>
    </row>
    <row r="8744">
      <c r="F8744" s="17"/>
    </row>
    <row r="8745">
      <c r="F8745" s="17"/>
    </row>
    <row r="8746">
      <c r="F8746" s="17"/>
    </row>
    <row r="8747">
      <c r="F8747" s="17"/>
    </row>
    <row r="8748">
      <c r="F8748" s="17"/>
    </row>
    <row r="8749">
      <c r="F8749" s="17"/>
    </row>
    <row r="8750">
      <c r="F8750" s="17"/>
    </row>
    <row r="8751">
      <c r="F8751" s="17"/>
    </row>
    <row r="8752">
      <c r="F8752" s="17"/>
    </row>
    <row r="8753">
      <c r="F8753" s="17"/>
    </row>
    <row r="8754">
      <c r="F8754" s="17"/>
    </row>
    <row r="8755">
      <c r="F8755" s="17"/>
    </row>
    <row r="8756">
      <c r="F8756" s="17"/>
    </row>
    <row r="8757">
      <c r="F8757" s="17"/>
    </row>
    <row r="8758">
      <c r="F8758" s="17"/>
    </row>
    <row r="8759">
      <c r="F8759" s="17"/>
    </row>
    <row r="8760">
      <c r="F8760" s="17"/>
    </row>
    <row r="8761">
      <c r="F8761" s="17"/>
    </row>
    <row r="8762">
      <c r="F8762" s="17"/>
    </row>
    <row r="8763">
      <c r="F8763" s="17"/>
    </row>
    <row r="8764">
      <c r="F8764" s="17"/>
    </row>
    <row r="8765">
      <c r="F8765" s="17"/>
    </row>
    <row r="8766">
      <c r="F8766" s="17"/>
    </row>
    <row r="8767">
      <c r="F8767" s="17"/>
    </row>
    <row r="8768">
      <c r="F8768" s="17"/>
    </row>
    <row r="8769">
      <c r="F8769" s="17"/>
    </row>
    <row r="8770">
      <c r="F8770" s="17"/>
    </row>
    <row r="8771">
      <c r="F8771" s="17"/>
    </row>
    <row r="8772">
      <c r="F8772" s="17"/>
    </row>
    <row r="8773">
      <c r="F8773" s="17"/>
    </row>
    <row r="8774">
      <c r="F8774" s="17"/>
    </row>
    <row r="8775">
      <c r="F8775" s="17"/>
    </row>
    <row r="8776">
      <c r="F8776" s="17"/>
    </row>
    <row r="8777">
      <c r="F8777" s="17"/>
    </row>
    <row r="8778">
      <c r="F8778" s="17"/>
    </row>
    <row r="8779">
      <c r="F8779" s="17"/>
    </row>
    <row r="8780">
      <c r="F8780" s="17"/>
    </row>
    <row r="8781">
      <c r="F8781" s="17"/>
    </row>
    <row r="8782">
      <c r="F8782" s="17"/>
    </row>
    <row r="8783">
      <c r="F8783" s="17"/>
    </row>
    <row r="8784">
      <c r="F8784" s="17"/>
    </row>
    <row r="8785">
      <c r="F8785" s="17"/>
    </row>
    <row r="8786">
      <c r="F8786" s="17"/>
    </row>
    <row r="8787">
      <c r="F8787" s="17"/>
    </row>
    <row r="8788">
      <c r="F8788" s="17"/>
    </row>
    <row r="8789">
      <c r="F8789" s="17"/>
    </row>
    <row r="8790">
      <c r="F8790" s="17"/>
    </row>
    <row r="8791">
      <c r="F8791" s="17"/>
    </row>
    <row r="8792">
      <c r="F8792" s="17"/>
    </row>
    <row r="8793">
      <c r="F8793" s="17"/>
    </row>
    <row r="8794">
      <c r="F8794" s="17"/>
    </row>
    <row r="8795">
      <c r="F8795" s="17"/>
    </row>
    <row r="8796">
      <c r="F8796" s="17"/>
    </row>
    <row r="8797">
      <c r="F8797" s="17"/>
    </row>
    <row r="8798">
      <c r="F8798" s="17"/>
    </row>
    <row r="8799">
      <c r="F8799" s="17"/>
    </row>
    <row r="8800">
      <c r="F8800" s="17"/>
    </row>
    <row r="8801">
      <c r="F8801" s="17"/>
    </row>
    <row r="8802">
      <c r="F8802" s="17"/>
    </row>
    <row r="8803">
      <c r="F8803" s="17"/>
    </row>
    <row r="8804">
      <c r="F8804" s="17"/>
    </row>
    <row r="8805">
      <c r="F8805" s="17"/>
    </row>
    <row r="8806">
      <c r="F8806" s="17"/>
    </row>
    <row r="8807">
      <c r="F8807" s="17"/>
    </row>
    <row r="8808">
      <c r="F8808" s="17"/>
    </row>
    <row r="8809">
      <c r="F8809" s="17"/>
    </row>
    <row r="8810">
      <c r="F8810" s="17"/>
    </row>
    <row r="8811">
      <c r="F8811" s="17"/>
    </row>
    <row r="8812">
      <c r="F8812" s="17"/>
    </row>
    <row r="8813">
      <c r="F8813" s="17"/>
    </row>
    <row r="8814">
      <c r="F8814" s="17"/>
    </row>
    <row r="8815">
      <c r="F8815" s="17"/>
    </row>
    <row r="8816">
      <c r="F8816" s="17"/>
    </row>
    <row r="8817">
      <c r="F8817" s="17"/>
    </row>
    <row r="8818">
      <c r="F8818" s="17"/>
    </row>
    <row r="8819">
      <c r="F8819" s="17"/>
    </row>
    <row r="8820">
      <c r="F8820" s="17"/>
    </row>
    <row r="8821">
      <c r="F8821" s="17"/>
    </row>
    <row r="8822">
      <c r="F8822" s="17"/>
    </row>
    <row r="8823">
      <c r="F8823" s="17"/>
    </row>
    <row r="8824">
      <c r="F8824" s="17"/>
    </row>
    <row r="8825">
      <c r="F8825" s="17"/>
    </row>
    <row r="8826">
      <c r="F8826" s="17"/>
    </row>
    <row r="8827">
      <c r="F8827" s="17"/>
    </row>
    <row r="8828">
      <c r="F8828" s="17"/>
    </row>
    <row r="8829">
      <c r="F8829" s="17"/>
    </row>
    <row r="8830">
      <c r="F8830" s="17"/>
    </row>
    <row r="8831">
      <c r="F8831" s="17"/>
    </row>
    <row r="8832">
      <c r="F8832" s="17"/>
    </row>
    <row r="8833">
      <c r="F8833" s="17"/>
    </row>
    <row r="8834">
      <c r="F8834" s="17"/>
    </row>
    <row r="8835">
      <c r="F8835" s="17"/>
    </row>
    <row r="8836">
      <c r="F8836" s="17"/>
    </row>
    <row r="8837">
      <c r="F8837" s="17"/>
    </row>
    <row r="8838">
      <c r="F8838" s="17"/>
    </row>
    <row r="8839">
      <c r="F8839" s="17"/>
    </row>
    <row r="8840">
      <c r="F8840" s="17"/>
    </row>
    <row r="8841">
      <c r="F8841" s="17"/>
    </row>
    <row r="8842">
      <c r="F8842" s="17"/>
    </row>
    <row r="8843">
      <c r="F8843" s="17"/>
    </row>
    <row r="8844">
      <c r="F8844" s="17"/>
    </row>
    <row r="8845">
      <c r="F8845" s="17"/>
    </row>
    <row r="8846">
      <c r="F8846" s="17"/>
    </row>
    <row r="8847">
      <c r="F8847" s="17"/>
    </row>
    <row r="8848">
      <c r="F8848" s="17"/>
    </row>
    <row r="8849">
      <c r="F8849" s="17"/>
    </row>
    <row r="8850">
      <c r="F8850" s="17"/>
    </row>
    <row r="8851">
      <c r="F8851" s="17"/>
    </row>
    <row r="8852">
      <c r="F8852" s="17"/>
    </row>
    <row r="8853">
      <c r="F8853" s="17"/>
    </row>
    <row r="8854">
      <c r="F8854" s="17"/>
    </row>
    <row r="8855">
      <c r="F8855" s="17"/>
    </row>
    <row r="8856">
      <c r="F8856" s="17"/>
    </row>
    <row r="8857">
      <c r="F8857" s="17"/>
    </row>
    <row r="8858">
      <c r="F8858" s="17"/>
    </row>
    <row r="8859">
      <c r="F8859" s="17"/>
    </row>
    <row r="8860">
      <c r="F8860" s="17"/>
    </row>
    <row r="8861">
      <c r="F8861" s="17"/>
    </row>
    <row r="8862">
      <c r="F8862" s="17"/>
    </row>
    <row r="8863">
      <c r="F8863" s="17"/>
    </row>
    <row r="8864">
      <c r="F8864" s="17"/>
    </row>
    <row r="8865">
      <c r="F8865" s="17"/>
    </row>
    <row r="8866">
      <c r="F8866" s="17"/>
    </row>
    <row r="8867">
      <c r="F8867" s="17"/>
    </row>
    <row r="8868">
      <c r="F8868" s="17"/>
    </row>
    <row r="8869">
      <c r="F8869" s="17"/>
    </row>
    <row r="8870">
      <c r="F8870" s="17"/>
    </row>
    <row r="8871">
      <c r="F8871" s="17"/>
    </row>
    <row r="8872">
      <c r="F8872" s="17"/>
    </row>
    <row r="8873">
      <c r="F8873" s="17"/>
    </row>
    <row r="8874">
      <c r="F8874" s="17"/>
    </row>
    <row r="8875">
      <c r="F8875" s="17"/>
    </row>
    <row r="8876">
      <c r="F8876" s="17"/>
    </row>
    <row r="8877">
      <c r="F8877" s="17"/>
    </row>
    <row r="8878">
      <c r="F8878" s="17"/>
    </row>
    <row r="8879">
      <c r="F8879" s="17"/>
    </row>
    <row r="8880">
      <c r="F8880" s="17"/>
    </row>
    <row r="8881">
      <c r="F8881" s="17"/>
    </row>
    <row r="8882">
      <c r="F8882" s="17"/>
    </row>
    <row r="8883">
      <c r="F8883" s="17"/>
    </row>
    <row r="8884">
      <c r="F8884" s="17"/>
    </row>
    <row r="8885">
      <c r="F8885" s="17"/>
    </row>
    <row r="8886">
      <c r="F8886" s="17"/>
    </row>
    <row r="8887">
      <c r="F8887" s="17"/>
    </row>
    <row r="8888">
      <c r="F8888" s="17"/>
    </row>
    <row r="8889">
      <c r="F8889" s="17"/>
    </row>
    <row r="8890">
      <c r="F8890" s="17"/>
    </row>
    <row r="8891">
      <c r="F8891" s="17"/>
    </row>
    <row r="8892">
      <c r="F8892" s="17"/>
    </row>
    <row r="8893">
      <c r="F8893" s="17"/>
    </row>
    <row r="8894">
      <c r="F8894" s="17"/>
    </row>
    <row r="8895">
      <c r="F8895" s="17"/>
    </row>
    <row r="8896">
      <c r="F8896" s="17"/>
    </row>
    <row r="8897">
      <c r="F8897" s="17"/>
    </row>
    <row r="8898">
      <c r="F8898" s="17"/>
    </row>
    <row r="8899">
      <c r="F8899" s="17"/>
    </row>
    <row r="8900">
      <c r="F8900" s="17"/>
    </row>
    <row r="8901">
      <c r="F8901" s="17"/>
    </row>
    <row r="8902">
      <c r="F8902" s="17"/>
    </row>
    <row r="8903">
      <c r="F8903" s="17"/>
    </row>
    <row r="8904">
      <c r="F8904" s="17"/>
    </row>
    <row r="8905">
      <c r="F8905" s="17"/>
    </row>
    <row r="8906">
      <c r="F8906" s="17"/>
    </row>
    <row r="8907">
      <c r="F8907" s="17"/>
    </row>
    <row r="8908">
      <c r="F8908" s="17"/>
    </row>
    <row r="8909">
      <c r="F8909" s="17"/>
    </row>
    <row r="8910">
      <c r="F8910" s="17"/>
    </row>
    <row r="8911">
      <c r="F8911" s="17"/>
    </row>
    <row r="8912">
      <c r="F8912" s="17"/>
    </row>
    <row r="8913">
      <c r="F8913" s="17"/>
    </row>
    <row r="8914">
      <c r="F8914" s="17"/>
    </row>
    <row r="8915">
      <c r="F8915" s="17"/>
    </row>
    <row r="8916">
      <c r="F8916" s="17"/>
    </row>
    <row r="8917">
      <c r="F8917" s="17"/>
    </row>
    <row r="8918">
      <c r="F8918" s="17"/>
    </row>
    <row r="8919">
      <c r="F8919" s="17"/>
    </row>
    <row r="8920">
      <c r="F8920" s="17"/>
    </row>
    <row r="8921">
      <c r="F8921" s="17"/>
    </row>
    <row r="8922">
      <c r="F8922" s="17"/>
    </row>
    <row r="8923">
      <c r="F8923" s="17"/>
    </row>
    <row r="8924">
      <c r="F8924" s="17"/>
    </row>
    <row r="8925">
      <c r="F8925" s="17"/>
    </row>
    <row r="8926">
      <c r="F8926" s="17"/>
    </row>
    <row r="8927">
      <c r="F8927" s="17"/>
    </row>
    <row r="8928">
      <c r="F8928" s="17"/>
    </row>
    <row r="8929">
      <c r="F8929" s="17"/>
    </row>
    <row r="8930">
      <c r="F8930" s="17"/>
    </row>
    <row r="8931">
      <c r="F8931" s="17"/>
    </row>
    <row r="8932">
      <c r="F8932" s="17"/>
    </row>
    <row r="8933">
      <c r="F8933" s="17"/>
    </row>
    <row r="8934">
      <c r="F8934" s="17"/>
    </row>
    <row r="8935">
      <c r="F8935" s="17"/>
    </row>
    <row r="8936">
      <c r="F8936" s="17"/>
    </row>
    <row r="8937">
      <c r="F8937" s="17"/>
    </row>
    <row r="8938">
      <c r="F8938" s="17"/>
    </row>
    <row r="8939">
      <c r="F8939" s="17"/>
    </row>
    <row r="8940">
      <c r="F8940" s="17"/>
    </row>
    <row r="8941">
      <c r="F8941" s="17"/>
    </row>
    <row r="8942">
      <c r="F8942" s="17"/>
    </row>
    <row r="8943">
      <c r="F8943" s="17"/>
    </row>
    <row r="8944">
      <c r="F8944" s="17"/>
    </row>
    <row r="8945">
      <c r="F8945" s="17"/>
    </row>
    <row r="8946">
      <c r="F8946" s="17"/>
    </row>
    <row r="8947">
      <c r="F8947" s="17"/>
    </row>
    <row r="8948">
      <c r="F8948" s="17"/>
    </row>
    <row r="8949">
      <c r="F8949" s="17"/>
    </row>
    <row r="8950">
      <c r="F8950" s="17"/>
    </row>
    <row r="8951">
      <c r="F8951" s="17"/>
    </row>
    <row r="8952">
      <c r="F8952" s="17"/>
    </row>
    <row r="8953">
      <c r="F8953" s="17"/>
    </row>
    <row r="8954">
      <c r="F8954" s="17"/>
    </row>
    <row r="8955">
      <c r="F8955" s="17"/>
    </row>
    <row r="8956">
      <c r="F8956" s="17"/>
    </row>
    <row r="8957">
      <c r="F8957" s="17"/>
    </row>
    <row r="8958">
      <c r="F8958" s="17"/>
    </row>
    <row r="8959">
      <c r="F8959" s="17"/>
    </row>
    <row r="8960">
      <c r="F8960" s="17"/>
    </row>
    <row r="8961">
      <c r="F8961" s="17"/>
    </row>
    <row r="8962">
      <c r="F8962" s="17"/>
    </row>
    <row r="8963">
      <c r="F8963" s="17"/>
    </row>
    <row r="8964">
      <c r="F8964" s="17"/>
    </row>
    <row r="8965">
      <c r="F8965" s="17"/>
    </row>
    <row r="8966">
      <c r="F8966" s="17"/>
    </row>
    <row r="8967">
      <c r="F8967" s="17"/>
    </row>
    <row r="8968">
      <c r="F8968" s="17"/>
    </row>
    <row r="8969">
      <c r="F8969" s="17"/>
    </row>
    <row r="8970">
      <c r="F8970" s="17"/>
    </row>
    <row r="8971">
      <c r="F8971" s="17"/>
    </row>
    <row r="8972">
      <c r="F8972" s="17"/>
    </row>
    <row r="8973">
      <c r="F8973" s="17"/>
    </row>
    <row r="8974">
      <c r="F8974" s="17"/>
    </row>
    <row r="8975">
      <c r="F8975" s="17"/>
    </row>
    <row r="8976">
      <c r="F8976" s="17"/>
    </row>
    <row r="8977">
      <c r="F8977" s="17"/>
    </row>
    <row r="8978">
      <c r="F8978" s="17"/>
    </row>
    <row r="8979">
      <c r="F8979" s="17"/>
    </row>
    <row r="8980">
      <c r="F8980" s="17"/>
    </row>
    <row r="8981">
      <c r="F8981" s="17"/>
    </row>
    <row r="8982">
      <c r="F8982" s="17"/>
    </row>
    <row r="8983">
      <c r="F8983" s="17"/>
    </row>
    <row r="8984">
      <c r="F8984" s="17"/>
    </row>
    <row r="8985">
      <c r="F8985" s="17"/>
    </row>
    <row r="8986">
      <c r="F8986" s="17"/>
    </row>
    <row r="8987">
      <c r="F8987" s="17"/>
    </row>
    <row r="8988">
      <c r="F8988" s="17"/>
    </row>
    <row r="8989">
      <c r="F8989" s="17"/>
    </row>
    <row r="8990">
      <c r="F8990" s="17"/>
    </row>
    <row r="8991">
      <c r="F8991" s="17"/>
    </row>
    <row r="8992">
      <c r="F8992" s="17"/>
    </row>
    <row r="8993">
      <c r="F8993" s="17"/>
    </row>
    <row r="8994">
      <c r="F8994" s="17"/>
    </row>
    <row r="8995">
      <c r="F8995" s="17"/>
    </row>
    <row r="8996">
      <c r="F8996" s="17"/>
    </row>
    <row r="8997">
      <c r="F8997" s="17"/>
    </row>
    <row r="8998">
      <c r="F8998" s="17"/>
    </row>
    <row r="8999">
      <c r="F8999" s="17"/>
    </row>
    <row r="9000">
      <c r="F9000" s="17"/>
    </row>
    <row r="9001">
      <c r="F9001" s="17"/>
    </row>
    <row r="9002">
      <c r="F9002" s="17"/>
    </row>
    <row r="9003">
      <c r="F9003" s="17"/>
    </row>
    <row r="9004">
      <c r="F9004" s="17"/>
    </row>
    <row r="9005">
      <c r="F9005" s="17"/>
    </row>
    <row r="9006">
      <c r="F9006" s="17"/>
    </row>
    <row r="9007">
      <c r="F9007" s="17"/>
    </row>
    <row r="9008">
      <c r="F9008" s="17"/>
    </row>
    <row r="9009">
      <c r="F9009" s="17"/>
    </row>
    <row r="9010">
      <c r="F9010" s="17"/>
    </row>
    <row r="9011">
      <c r="F9011" s="17"/>
    </row>
    <row r="9012">
      <c r="F9012" s="17"/>
    </row>
    <row r="9013">
      <c r="F9013" s="17"/>
    </row>
    <row r="9014">
      <c r="F9014" s="17"/>
    </row>
    <row r="9015">
      <c r="F9015" s="17"/>
    </row>
    <row r="9016">
      <c r="F9016" s="17"/>
    </row>
    <row r="9017">
      <c r="F9017" s="17"/>
    </row>
    <row r="9018">
      <c r="F9018" s="17"/>
    </row>
    <row r="9019">
      <c r="F9019" s="17"/>
    </row>
    <row r="9020">
      <c r="F9020" s="17"/>
    </row>
    <row r="9021">
      <c r="F9021" s="17"/>
    </row>
    <row r="9022">
      <c r="F9022" s="17"/>
    </row>
    <row r="9023">
      <c r="F9023" s="17"/>
    </row>
    <row r="9024">
      <c r="F9024" s="17"/>
    </row>
    <row r="9025">
      <c r="F9025" s="17"/>
    </row>
    <row r="9026">
      <c r="F9026" s="17"/>
    </row>
    <row r="9027">
      <c r="F9027" s="17"/>
    </row>
    <row r="9028">
      <c r="F9028" s="17"/>
    </row>
    <row r="9029">
      <c r="F9029" s="17"/>
    </row>
    <row r="9030">
      <c r="F9030" s="17"/>
    </row>
    <row r="9031">
      <c r="F9031" s="17"/>
    </row>
    <row r="9032">
      <c r="F9032" s="17"/>
    </row>
    <row r="9033">
      <c r="F9033" s="17"/>
    </row>
    <row r="9034">
      <c r="F9034" s="17"/>
    </row>
    <row r="9035">
      <c r="F9035" s="17"/>
    </row>
    <row r="9036">
      <c r="F9036" s="17"/>
    </row>
    <row r="9037">
      <c r="F9037" s="17"/>
    </row>
    <row r="9038">
      <c r="F9038" s="17"/>
    </row>
    <row r="9039">
      <c r="F9039" s="17"/>
    </row>
    <row r="9040">
      <c r="F9040" s="17"/>
    </row>
    <row r="9041">
      <c r="F9041" s="17"/>
    </row>
    <row r="9042">
      <c r="F9042" s="17"/>
    </row>
    <row r="9043">
      <c r="F9043" s="17"/>
    </row>
    <row r="9044">
      <c r="F9044" s="17"/>
    </row>
    <row r="9045">
      <c r="F9045" s="17"/>
    </row>
    <row r="9046">
      <c r="F9046" s="17"/>
    </row>
    <row r="9047">
      <c r="F9047" s="17"/>
    </row>
    <row r="9048">
      <c r="F9048" s="17"/>
    </row>
    <row r="9049">
      <c r="F9049" s="17"/>
    </row>
    <row r="9050">
      <c r="F9050" s="17"/>
    </row>
    <row r="9051">
      <c r="F9051" s="17"/>
    </row>
    <row r="9052">
      <c r="F9052" s="17"/>
    </row>
    <row r="9053">
      <c r="F9053" s="17"/>
    </row>
    <row r="9054">
      <c r="F9054" s="17"/>
    </row>
    <row r="9055">
      <c r="F9055" s="17"/>
    </row>
    <row r="9056">
      <c r="F9056" s="17"/>
    </row>
    <row r="9057">
      <c r="F9057" s="17"/>
    </row>
    <row r="9058">
      <c r="F9058" s="17"/>
    </row>
    <row r="9059">
      <c r="F9059" s="17"/>
    </row>
    <row r="9060">
      <c r="F9060" s="17"/>
    </row>
    <row r="9061">
      <c r="F9061" s="17"/>
    </row>
    <row r="9062">
      <c r="F9062" s="17"/>
    </row>
    <row r="9063">
      <c r="F9063" s="17"/>
    </row>
    <row r="9064">
      <c r="F9064" s="17"/>
    </row>
    <row r="9065">
      <c r="F9065" s="17"/>
    </row>
    <row r="9066">
      <c r="F9066" s="17"/>
    </row>
    <row r="9067">
      <c r="F9067" s="17"/>
    </row>
    <row r="9068">
      <c r="F9068" s="17"/>
    </row>
    <row r="9069">
      <c r="F9069" s="17"/>
    </row>
    <row r="9070">
      <c r="F9070" s="17"/>
    </row>
    <row r="9071">
      <c r="F9071" s="17"/>
    </row>
    <row r="9072">
      <c r="F9072" s="17"/>
    </row>
    <row r="9073">
      <c r="F9073" s="17"/>
    </row>
    <row r="9074">
      <c r="F9074" s="17"/>
    </row>
    <row r="9075">
      <c r="F9075" s="17"/>
    </row>
    <row r="9076">
      <c r="F9076" s="17"/>
    </row>
    <row r="9077">
      <c r="F9077" s="17"/>
    </row>
    <row r="9078">
      <c r="F9078" s="17"/>
    </row>
    <row r="9079">
      <c r="F9079" s="17"/>
    </row>
    <row r="9080">
      <c r="F9080" s="17"/>
    </row>
    <row r="9081">
      <c r="F9081" s="17"/>
    </row>
    <row r="9082">
      <c r="F9082" s="17"/>
    </row>
    <row r="9083">
      <c r="F9083" s="17"/>
    </row>
    <row r="9084">
      <c r="F9084" s="17"/>
    </row>
    <row r="9085">
      <c r="F9085" s="17"/>
    </row>
    <row r="9086">
      <c r="F9086" s="17"/>
    </row>
    <row r="9087">
      <c r="F9087" s="17"/>
    </row>
    <row r="9088">
      <c r="F9088" s="17"/>
    </row>
    <row r="9089">
      <c r="F9089" s="17"/>
    </row>
    <row r="9090">
      <c r="F9090" s="17"/>
    </row>
    <row r="9091">
      <c r="F9091" s="17"/>
    </row>
    <row r="9092">
      <c r="F9092" s="17"/>
    </row>
    <row r="9093">
      <c r="F9093" s="17"/>
    </row>
    <row r="9094">
      <c r="F9094" s="17"/>
    </row>
    <row r="9095">
      <c r="F9095" s="17"/>
    </row>
    <row r="9096">
      <c r="F9096" s="17"/>
    </row>
    <row r="9097">
      <c r="F9097" s="17"/>
    </row>
    <row r="9098">
      <c r="F9098" s="17"/>
    </row>
    <row r="9099">
      <c r="F9099" s="17"/>
    </row>
    <row r="9100">
      <c r="F9100" s="17"/>
    </row>
    <row r="9101">
      <c r="F9101" s="17"/>
    </row>
    <row r="9102">
      <c r="F9102" s="17"/>
    </row>
    <row r="9103">
      <c r="F9103" s="17"/>
    </row>
    <row r="9104">
      <c r="F9104" s="17"/>
    </row>
    <row r="9105">
      <c r="F9105" s="17"/>
    </row>
    <row r="9106">
      <c r="F9106" s="17"/>
    </row>
    <row r="9107">
      <c r="F9107" s="17"/>
    </row>
    <row r="9108">
      <c r="F9108" s="17"/>
    </row>
    <row r="9109">
      <c r="F9109" s="17"/>
    </row>
    <row r="9110">
      <c r="F9110" s="17"/>
    </row>
    <row r="9111">
      <c r="F9111" s="17"/>
    </row>
    <row r="9112">
      <c r="F9112" s="17"/>
    </row>
    <row r="9113">
      <c r="F9113" s="17"/>
    </row>
    <row r="9114">
      <c r="F9114" s="17"/>
    </row>
    <row r="9115">
      <c r="F9115" s="17"/>
    </row>
    <row r="9116">
      <c r="F9116" s="17"/>
    </row>
    <row r="9117">
      <c r="F9117" s="17"/>
    </row>
    <row r="9118">
      <c r="F9118" s="17"/>
    </row>
    <row r="9119">
      <c r="F9119" s="17"/>
    </row>
    <row r="9120">
      <c r="F9120" s="17"/>
    </row>
    <row r="9121">
      <c r="F9121" s="17"/>
    </row>
    <row r="9122">
      <c r="F9122" s="17"/>
    </row>
    <row r="9123">
      <c r="F9123" s="17"/>
    </row>
    <row r="9124">
      <c r="F9124" s="17"/>
    </row>
    <row r="9125">
      <c r="F9125" s="17"/>
    </row>
    <row r="9126">
      <c r="F9126" s="17"/>
    </row>
    <row r="9127">
      <c r="F9127" s="17"/>
    </row>
    <row r="9128">
      <c r="F9128" s="17"/>
    </row>
    <row r="9129">
      <c r="F9129" s="17"/>
    </row>
    <row r="9130">
      <c r="F9130" s="17"/>
    </row>
    <row r="9131">
      <c r="F9131" s="17"/>
    </row>
    <row r="9132">
      <c r="F9132" s="17"/>
    </row>
    <row r="9133">
      <c r="F9133" s="17"/>
    </row>
    <row r="9134">
      <c r="F9134" s="17"/>
    </row>
    <row r="9135">
      <c r="F9135" s="17"/>
    </row>
    <row r="9136">
      <c r="F9136" s="17"/>
    </row>
    <row r="9137">
      <c r="F9137" s="17"/>
    </row>
    <row r="9138">
      <c r="F9138" s="17"/>
    </row>
    <row r="9139">
      <c r="F9139" s="17"/>
    </row>
    <row r="9140">
      <c r="F9140" s="17"/>
    </row>
    <row r="9141">
      <c r="F9141" s="17"/>
    </row>
    <row r="9142">
      <c r="F9142" s="17"/>
    </row>
    <row r="9143">
      <c r="F9143" s="17"/>
    </row>
    <row r="9144">
      <c r="F9144" s="17"/>
    </row>
    <row r="9145">
      <c r="F9145" s="17"/>
    </row>
    <row r="9146">
      <c r="F9146" s="17"/>
    </row>
    <row r="9147">
      <c r="F9147" s="17"/>
    </row>
    <row r="9148">
      <c r="F9148" s="17"/>
    </row>
    <row r="9149">
      <c r="F9149" s="17"/>
    </row>
    <row r="9150">
      <c r="F9150" s="17"/>
    </row>
    <row r="9151">
      <c r="F9151" s="17"/>
    </row>
    <row r="9152">
      <c r="F9152" s="17"/>
    </row>
    <row r="9153">
      <c r="F9153" s="17"/>
    </row>
    <row r="9154">
      <c r="F9154" s="17"/>
    </row>
    <row r="9155">
      <c r="F9155" s="17"/>
    </row>
    <row r="9156">
      <c r="F9156" s="17"/>
    </row>
    <row r="9157">
      <c r="F9157" s="17"/>
    </row>
    <row r="9158">
      <c r="F9158" s="17"/>
    </row>
    <row r="9159">
      <c r="F9159" s="17"/>
    </row>
    <row r="9160">
      <c r="F9160" s="17"/>
    </row>
    <row r="9161">
      <c r="F9161" s="17"/>
    </row>
    <row r="9162">
      <c r="F9162" s="17"/>
    </row>
    <row r="9163">
      <c r="F9163" s="17"/>
    </row>
    <row r="9164">
      <c r="F9164" s="17"/>
    </row>
    <row r="9165">
      <c r="F9165" s="17"/>
    </row>
    <row r="9166">
      <c r="F9166" s="17"/>
    </row>
    <row r="9167">
      <c r="F9167" s="17"/>
    </row>
    <row r="9168">
      <c r="F9168" s="17"/>
    </row>
    <row r="9169">
      <c r="F9169" s="17"/>
    </row>
    <row r="9170">
      <c r="F9170" s="17"/>
    </row>
    <row r="9171">
      <c r="F9171" s="17"/>
    </row>
    <row r="9172">
      <c r="F9172" s="17"/>
    </row>
    <row r="9173">
      <c r="F9173" s="17"/>
    </row>
    <row r="9174">
      <c r="F9174" s="17"/>
    </row>
    <row r="9175">
      <c r="F9175" s="17"/>
    </row>
    <row r="9176">
      <c r="F9176" s="17"/>
    </row>
    <row r="9177">
      <c r="F9177" s="17"/>
    </row>
    <row r="9178">
      <c r="F9178" s="17"/>
    </row>
    <row r="9179">
      <c r="F9179" s="17"/>
    </row>
    <row r="9180">
      <c r="F9180" s="17"/>
    </row>
    <row r="9181">
      <c r="F9181" s="17"/>
    </row>
    <row r="9182">
      <c r="F9182" s="17"/>
    </row>
    <row r="9183">
      <c r="F9183" s="17"/>
    </row>
    <row r="9184">
      <c r="F9184" s="17"/>
    </row>
    <row r="9185">
      <c r="F9185" s="17"/>
    </row>
    <row r="9186">
      <c r="F9186" s="17"/>
    </row>
    <row r="9187">
      <c r="F9187" s="17"/>
    </row>
    <row r="9188">
      <c r="F9188" s="17"/>
    </row>
    <row r="9189">
      <c r="F9189" s="17"/>
    </row>
    <row r="9190">
      <c r="F9190" s="17"/>
    </row>
    <row r="9191">
      <c r="F9191" s="17"/>
    </row>
    <row r="9192">
      <c r="F9192" s="17"/>
    </row>
    <row r="9193">
      <c r="F9193" s="17"/>
    </row>
    <row r="9194">
      <c r="F9194" s="17"/>
    </row>
    <row r="9195">
      <c r="F9195" s="17"/>
    </row>
    <row r="9196">
      <c r="F9196" s="17"/>
    </row>
    <row r="9197">
      <c r="F9197" s="17"/>
    </row>
    <row r="9198">
      <c r="F9198" s="17"/>
    </row>
    <row r="9199">
      <c r="F9199" s="17"/>
    </row>
    <row r="9200">
      <c r="F9200" s="17"/>
    </row>
    <row r="9201">
      <c r="F9201" s="17"/>
    </row>
    <row r="9202">
      <c r="F9202" s="17"/>
    </row>
    <row r="9203">
      <c r="F9203" s="17"/>
    </row>
    <row r="9204">
      <c r="F9204" s="17"/>
    </row>
    <row r="9205">
      <c r="F9205" s="17"/>
    </row>
    <row r="9206">
      <c r="F9206" s="17"/>
    </row>
    <row r="9207">
      <c r="F9207" s="17"/>
    </row>
    <row r="9208">
      <c r="F9208" s="17"/>
    </row>
    <row r="9209">
      <c r="F9209" s="17"/>
    </row>
    <row r="9210">
      <c r="F9210" s="17"/>
    </row>
    <row r="9211">
      <c r="F9211" s="17"/>
    </row>
    <row r="9212">
      <c r="F9212" s="17"/>
    </row>
    <row r="9213">
      <c r="F9213" s="17"/>
    </row>
    <row r="9214">
      <c r="F9214" s="17"/>
    </row>
    <row r="9215">
      <c r="F9215" s="17"/>
    </row>
    <row r="9216">
      <c r="F9216" s="17"/>
    </row>
    <row r="9217">
      <c r="F9217" s="17"/>
    </row>
    <row r="9218">
      <c r="F9218" s="17"/>
    </row>
    <row r="9219">
      <c r="F9219" s="17"/>
    </row>
    <row r="9220">
      <c r="F9220" s="17"/>
    </row>
    <row r="9221">
      <c r="F9221" s="17"/>
    </row>
    <row r="9222">
      <c r="F9222" s="17"/>
    </row>
    <row r="9223">
      <c r="F9223" s="17"/>
    </row>
    <row r="9224">
      <c r="F9224" s="17"/>
    </row>
    <row r="9225">
      <c r="F9225" s="17"/>
    </row>
    <row r="9226">
      <c r="F9226" s="17"/>
    </row>
    <row r="9227">
      <c r="F9227" s="17"/>
    </row>
    <row r="9228">
      <c r="F9228" s="17"/>
    </row>
    <row r="9229">
      <c r="F9229" s="17"/>
    </row>
    <row r="9230">
      <c r="F9230" s="17"/>
    </row>
    <row r="9231">
      <c r="F9231" s="17"/>
    </row>
    <row r="9232">
      <c r="F9232" s="17"/>
    </row>
    <row r="9233">
      <c r="F9233" s="17"/>
    </row>
    <row r="9234">
      <c r="F9234" s="17"/>
    </row>
    <row r="9235">
      <c r="F9235" s="17"/>
    </row>
    <row r="9236">
      <c r="F9236" s="17"/>
    </row>
    <row r="9237">
      <c r="F9237" s="17"/>
    </row>
    <row r="9238">
      <c r="F9238" s="17"/>
    </row>
    <row r="9239">
      <c r="F9239" s="17"/>
    </row>
    <row r="9240">
      <c r="F9240" s="17"/>
    </row>
    <row r="9241">
      <c r="F9241" s="17"/>
    </row>
    <row r="9242">
      <c r="F9242" s="17"/>
    </row>
    <row r="9243">
      <c r="F9243" s="17"/>
    </row>
    <row r="9244">
      <c r="F9244" s="17"/>
    </row>
    <row r="9245">
      <c r="F9245" s="17"/>
    </row>
    <row r="9246">
      <c r="F9246" s="17"/>
    </row>
    <row r="9247">
      <c r="F9247" s="17"/>
    </row>
    <row r="9248">
      <c r="F9248" s="17"/>
    </row>
    <row r="9249">
      <c r="F9249" s="17"/>
    </row>
    <row r="9250">
      <c r="F9250" s="17"/>
    </row>
    <row r="9251">
      <c r="F9251" s="17"/>
    </row>
    <row r="9252">
      <c r="F9252" s="17"/>
    </row>
    <row r="9253">
      <c r="F9253" s="17"/>
    </row>
    <row r="9254">
      <c r="F9254" s="17"/>
    </row>
    <row r="9255">
      <c r="F9255" s="17"/>
    </row>
    <row r="9256">
      <c r="F9256" s="17"/>
    </row>
    <row r="9257">
      <c r="F9257" s="17"/>
    </row>
    <row r="9258">
      <c r="F9258" s="17"/>
    </row>
    <row r="9259">
      <c r="F9259" s="17"/>
    </row>
    <row r="9260">
      <c r="F9260" s="17"/>
    </row>
    <row r="9261">
      <c r="F9261" s="17"/>
    </row>
    <row r="9262">
      <c r="F9262" s="17"/>
    </row>
    <row r="9263">
      <c r="F9263" s="17"/>
    </row>
    <row r="9264">
      <c r="F9264" s="17"/>
    </row>
    <row r="9265">
      <c r="F9265" s="17"/>
    </row>
    <row r="9266">
      <c r="F9266" s="17"/>
    </row>
    <row r="9267">
      <c r="F9267" s="17"/>
    </row>
    <row r="9268">
      <c r="F9268" s="17"/>
    </row>
    <row r="9269">
      <c r="F9269" s="17"/>
    </row>
    <row r="9270">
      <c r="F9270" s="17"/>
    </row>
    <row r="9271">
      <c r="F9271" s="17"/>
    </row>
    <row r="9272">
      <c r="F9272" s="17"/>
    </row>
    <row r="9273">
      <c r="F9273" s="17"/>
    </row>
    <row r="9274">
      <c r="F9274" s="17"/>
    </row>
    <row r="9275">
      <c r="F9275" s="17"/>
    </row>
    <row r="9276">
      <c r="F9276" s="17"/>
    </row>
    <row r="9277">
      <c r="F9277" s="17"/>
    </row>
    <row r="9278">
      <c r="F9278" s="17"/>
    </row>
    <row r="9279">
      <c r="F9279" s="17"/>
    </row>
    <row r="9280">
      <c r="F9280" s="17"/>
    </row>
    <row r="9281">
      <c r="F9281" s="17"/>
    </row>
    <row r="9282">
      <c r="F9282" s="17"/>
    </row>
    <row r="9283">
      <c r="F9283" s="17"/>
    </row>
    <row r="9284">
      <c r="F9284" s="17"/>
    </row>
    <row r="9285">
      <c r="F9285" s="17"/>
    </row>
    <row r="9286">
      <c r="F9286" s="17"/>
    </row>
    <row r="9287">
      <c r="F9287" s="17"/>
    </row>
    <row r="9288">
      <c r="F9288" s="17"/>
    </row>
    <row r="9289">
      <c r="F9289" s="17"/>
    </row>
    <row r="9290">
      <c r="F9290" s="17"/>
    </row>
    <row r="9291">
      <c r="F9291" s="17"/>
    </row>
    <row r="9292">
      <c r="F9292" s="17"/>
    </row>
    <row r="9293">
      <c r="F9293" s="17"/>
    </row>
    <row r="9294">
      <c r="F9294" s="17"/>
    </row>
    <row r="9295">
      <c r="F9295" s="17"/>
    </row>
    <row r="9296">
      <c r="F9296" s="17"/>
    </row>
    <row r="9297">
      <c r="F9297" s="17"/>
    </row>
    <row r="9298">
      <c r="F9298" s="17"/>
    </row>
    <row r="9299">
      <c r="F9299" s="17"/>
    </row>
    <row r="9300">
      <c r="F9300" s="17"/>
    </row>
    <row r="9301">
      <c r="F9301" s="17"/>
    </row>
    <row r="9302">
      <c r="F9302" s="17"/>
    </row>
    <row r="9303">
      <c r="F9303" s="17"/>
    </row>
    <row r="9304">
      <c r="F9304" s="17"/>
    </row>
    <row r="9305">
      <c r="F9305" s="17"/>
    </row>
    <row r="9306">
      <c r="F9306" s="17"/>
    </row>
    <row r="9307">
      <c r="F9307" s="17"/>
    </row>
    <row r="9308">
      <c r="F9308" s="17"/>
    </row>
    <row r="9309">
      <c r="F9309" s="17"/>
    </row>
    <row r="9310">
      <c r="F9310" s="17"/>
    </row>
    <row r="9311">
      <c r="F9311" s="17"/>
    </row>
    <row r="9312">
      <c r="F9312" s="17"/>
    </row>
    <row r="9313">
      <c r="F9313" s="17"/>
    </row>
    <row r="9314">
      <c r="F9314" s="17"/>
    </row>
    <row r="9315">
      <c r="F9315" s="17"/>
    </row>
    <row r="9316">
      <c r="F9316" s="17"/>
    </row>
    <row r="9317">
      <c r="F9317" s="17"/>
    </row>
    <row r="9318">
      <c r="F9318" s="17"/>
    </row>
    <row r="9319">
      <c r="F9319" s="17"/>
    </row>
    <row r="9320">
      <c r="F9320" s="17"/>
    </row>
    <row r="9321">
      <c r="F9321" s="17"/>
    </row>
    <row r="9322">
      <c r="F9322" s="17"/>
    </row>
    <row r="9323">
      <c r="F9323" s="17"/>
    </row>
    <row r="9324">
      <c r="F9324" s="17"/>
    </row>
    <row r="9325">
      <c r="F9325" s="17"/>
    </row>
    <row r="9326">
      <c r="F9326" s="17"/>
    </row>
    <row r="9327">
      <c r="F9327" s="17"/>
    </row>
    <row r="9328">
      <c r="F9328" s="17"/>
    </row>
    <row r="9329">
      <c r="F9329" s="17"/>
    </row>
    <row r="9330">
      <c r="F9330" s="17"/>
    </row>
    <row r="9331">
      <c r="F9331" s="17"/>
    </row>
    <row r="9332">
      <c r="F9332" s="17"/>
    </row>
    <row r="9333">
      <c r="F9333" s="17"/>
    </row>
    <row r="9334">
      <c r="F9334" s="17"/>
    </row>
    <row r="9335">
      <c r="F9335" s="17"/>
    </row>
    <row r="9336">
      <c r="F9336" s="17"/>
    </row>
    <row r="9337">
      <c r="F9337" s="17"/>
    </row>
    <row r="9338">
      <c r="F9338" s="17"/>
    </row>
    <row r="9339">
      <c r="F9339" s="17"/>
    </row>
    <row r="9340">
      <c r="F9340" s="17"/>
    </row>
    <row r="9341">
      <c r="F9341" s="17"/>
    </row>
    <row r="9342">
      <c r="F9342" s="17"/>
    </row>
    <row r="9343">
      <c r="F9343" s="17"/>
    </row>
    <row r="9344">
      <c r="F9344" s="17"/>
    </row>
    <row r="9345">
      <c r="F9345" s="17"/>
    </row>
    <row r="9346">
      <c r="F9346" s="17"/>
    </row>
    <row r="9347">
      <c r="F9347" s="17"/>
    </row>
    <row r="9348">
      <c r="F9348" s="17"/>
    </row>
    <row r="9349">
      <c r="F9349" s="17"/>
    </row>
    <row r="9350">
      <c r="F9350" s="17"/>
    </row>
    <row r="9351">
      <c r="F9351" s="17"/>
    </row>
    <row r="9352">
      <c r="F9352" s="17"/>
    </row>
    <row r="9353">
      <c r="F9353" s="17"/>
    </row>
    <row r="9354">
      <c r="F9354" s="17"/>
    </row>
    <row r="9355">
      <c r="F9355" s="17"/>
    </row>
    <row r="9356">
      <c r="F9356" s="17"/>
    </row>
    <row r="9357">
      <c r="F9357" s="17"/>
    </row>
    <row r="9358">
      <c r="F9358" s="17"/>
    </row>
    <row r="9359">
      <c r="F9359" s="17"/>
    </row>
    <row r="9360">
      <c r="F9360" s="17"/>
    </row>
    <row r="9361">
      <c r="F9361" s="17"/>
    </row>
    <row r="9362">
      <c r="F9362" s="17"/>
    </row>
    <row r="9363">
      <c r="F9363" s="17"/>
    </row>
    <row r="9364">
      <c r="F9364" s="17"/>
    </row>
    <row r="9365">
      <c r="F9365" s="17"/>
    </row>
    <row r="9366">
      <c r="F9366" s="17"/>
    </row>
    <row r="9367">
      <c r="F9367" s="17"/>
    </row>
    <row r="9368">
      <c r="F9368" s="17"/>
    </row>
    <row r="9369">
      <c r="F9369" s="17"/>
    </row>
    <row r="9370">
      <c r="F9370" s="17"/>
    </row>
    <row r="9371">
      <c r="F9371" s="17"/>
    </row>
    <row r="9372">
      <c r="F9372" s="17"/>
    </row>
    <row r="9373">
      <c r="F9373" s="17"/>
    </row>
    <row r="9374">
      <c r="F9374" s="17"/>
    </row>
    <row r="9375">
      <c r="F9375" s="17"/>
    </row>
    <row r="9376">
      <c r="F9376" s="17"/>
    </row>
    <row r="9377">
      <c r="F9377" s="17"/>
    </row>
    <row r="9378">
      <c r="F9378" s="17"/>
    </row>
    <row r="9379">
      <c r="F9379" s="17"/>
    </row>
    <row r="9380">
      <c r="F9380" s="17"/>
    </row>
    <row r="9381">
      <c r="F9381" s="17"/>
    </row>
    <row r="9382">
      <c r="F9382" s="17"/>
    </row>
    <row r="9383">
      <c r="F9383" s="17"/>
    </row>
    <row r="9384">
      <c r="F9384" s="17"/>
    </row>
    <row r="9385">
      <c r="F9385" s="17"/>
    </row>
    <row r="9386">
      <c r="F9386" s="17"/>
    </row>
    <row r="9387">
      <c r="F9387" s="17"/>
    </row>
    <row r="9388">
      <c r="F9388" s="17"/>
    </row>
    <row r="9389">
      <c r="F9389" s="17"/>
    </row>
    <row r="9390">
      <c r="F9390" s="17"/>
    </row>
    <row r="9391">
      <c r="F9391" s="17"/>
    </row>
    <row r="9392">
      <c r="F9392" s="17"/>
    </row>
    <row r="9393">
      <c r="F9393" s="17"/>
    </row>
    <row r="9394">
      <c r="F9394" s="17"/>
    </row>
    <row r="9395">
      <c r="F9395" s="17"/>
    </row>
    <row r="9396">
      <c r="F9396" s="17"/>
    </row>
    <row r="9397">
      <c r="F9397" s="17"/>
    </row>
    <row r="9398">
      <c r="F9398" s="17"/>
    </row>
    <row r="9399">
      <c r="F9399" s="17"/>
    </row>
    <row r="9400">
      <c r="F9400" s="17"/>
    </row>
    <row r="9401">
      <c r="F9401" s="17"/>
    </row>
    <row r="9402">
      <c r="F9402" s="17"/>
    </row>
    <row r="9403">
      <c r="F9403" s="17"/>
    </row>
    <row r="9404">
      <c r="F9404" s="17"/>
    </row>
    <row r="9405">
      <c r="F9405" s="17"/>
    </row>
    <row r="9406">
      <c r="F9406" s="17"/>
    </row>
    <row r="9407">
      <c r="F9407" s="17"/>
    </row>
    <row r="9408">
      <c r="F9408" s="17"/>
    </row>
    <row r="9409">
      <c r="F9409" s="17"/>
    </row>
    <row r="9410">
      <c r="F9410" s="17"/>
    </row>
    <row r="9411">
      <c r="F9411" s="17"/>
    </row>
    <row r="9412">
      <c r="F9412" s="17"/>
    </row>
    <row r="9413">
      <c r="F9413" s="17"/>
    </row>
    <row r="9414">
      <c r="F9414" s="17"/>
    </row>
    <row r="9415">
      <c r="F9415" s="17"/>
    </row>
    <row r="9416">
      <c r="F9416" s="17"/>
    </row>
    <row r="9417">
      <c r="F9417" s="17"/>
    </row>
    <row r="9418">
      <c r="F9418" s="17"/>
    </row>
    <row r="9419">
      <c r="F9419" s="17"/>
    </row>
    <row r="9420">
      <c r="F9420" s="17"/>
    </row>
    <row r="9421">
      <c r="F9421" s="17"/>
    </row>
    <row r="9422">
      <c r="F9422" s="17"/>
    </row>
    <row r="9423">
      <c r="F9423" s="17"/>
    </row>
    <row r="9424">
      <c r="F9424" s="17"/>
    </row>
    <row r="9425">
      <c r="F9425" s="17"/>
    </row>
    <row r="9426">
      <c r="F9426" s="17"/>
    </row>
    <row r="9427">
      <c r="F9427" s="17"/>
    </row>
    <row r="9428">
      <c r="F9428" s="17"/>
    </row>
    <row r="9429">
      <c r="F9429" s="17"/>
    </row>
    <row r="9430">
      <c r="F9430" s="17"/>
    </row>
    <row r="9431">
      <c r="F9431" s="17"/>
    </row>
    <row r="9432">
      <c r="F9432" s="17"/>
    </row>
    <row r="9433">
      <c r="F9433" s="17"/>
    </row>
    <row r="9434">
      <c r="F9434" s="17"/>
    </row>
    <row r="9435">
      <c r="F9435" s="17"/>
    </row>
    <row r="9436">
      <c r="F9436" s="17"/>
    </row>
    <row r="9437">
      <c r="F9437" s="17"/>
    </row>
    <row r="9438">
      <c r="F9438" s="17"/>
    </row>
    <row r="9439">
      <c r="F9439" s="17"/>
    </row>
    <row r="9440">
      <c r="F9440" s="17"/>
    </row>
    <row r="9441">
      <c r="F9441" s="17"/>
    </row>
    <row r="9442">
      <c r="F9442" s="17"/>
    </row>
    <row r="9443">
      <c r="F9443" s="17"/>
    </row>
    <row r="9444">
      <c r="F9444" s="17"/>
    </row>
    <row r="9445">
      <c r="F9445" s="17"/>
    </row>
    <row r="9446">
      <c r="F9446" s="17"/>
    </row>
    <row r="9447">
      <c r="F9447" s="17"/>
    </row>
    <row r="9448">
      <c r="F9448" s="17"/>
    </row>
    <row r="9449">
      <c r="F9449" s="17"/>
    </row>
    <row r="9450">
      <c r="F9450" s="17"/>
    </row>
    <row r="9451">
      <c r="F9451" s="17"/>
    </row>
    <row r="9452">
      <c r="F9452" s="17"/>
    </row>
    <row r="9453">
      <c r="F9453" s="17"/>
    </row>
    <row r="9454">
      <c r="F9454" s="17"/>
    </row>
    <row r="9455">
      <c r="F9455" s="17"/>
    </row>
    <row r="9456">
      <c r="F9456" s="17"/>
    </row>
    <row r="9457">
      <c r="F9457" s="17"/>
    </row>
    <row r="9458">
      <c r="F9458" s="17"/>
    </row>
    <row r="9459">
      <c r="F9459" s="17"/>
    </row>
    <row r="9460">
      <c r="F9460" s="17"/>
    </row>
    <row r="9461">
      <c r="F9461" s="17"/>
    </row>
    <row r="9462">
      <c r="F9462" s="17"/>
    </row>
    <row r="9463">
      <c r="F9463" s="17"/>
    </row>
    <row r="9464">
      <c r="F9464" s="17"/>
    </row>
    <row r="9465">
      <c r="F9465" s="17"/>
    </row>
    <row r="9466">
      <c r="F9466" s="17"/>
    </row>
    <row r="9467">
      <c r="F9467" s="17"/>
    </row>
    <row r="9468">
      <c r="F9468" s="17"/>
    </row>
    <row r="9469">
      <c r="F9469" s="17"/>
    </row>
    <row r="9470">
      <c r="F9470" s="17"/>
    </row>
    <row r="9471">
      <c r="F9471" s="17"/>
    </row>
    <row r="9472">
      <c r="F9472" s="17"/>
    </row>
    <row r="9473">
      <c r="F9473" s="17"/>
    </row>
    <row r="9474">
      <c r="F9474" s="17"/>
    </row>
    <row r="9475">
      <c r="F9475" s="17"/>
    </row>
    <row r="9476">
      <c r="F9476" s="17"/>
    </row>
    <row r="9477">
      <c r="F9477" s="17"/>
    </row>
    <row r="9478">
      <c r="F9478" s="17"/>
    </row>
    <row r="9479">
      <c r="F9479" s="17"/>
    </row>
    <row r="9480">
      <c r="F9480" s="17"/>
    </row>
    <row r="9481">
      <c r="F9481" s="17"/>
    </row>
    <row r="9482">
      <c r="F9482" s="17"/>
    </row>
    <row r="9483">
      <c r="F9483" s="17"/>
    </row>
    <row r="9484">
      <c r="F9484" s="17"/>
    </row>
    <row r="9485">
      <c r="F9485" s="17"/>
    </row>
    <row r="9486">
      <c r="F9486" s="17"/>
    </row>
    <row r="9487">
      <c r="F9487" s="17"/>
    </row>
    <row r="9488">
      <c r="F9488" s="17"/>
    </row>
    <row r="9489">
      <c r="F9489" s="17"/>
    </row>
    <row r="9490">
      <c r="F9490" s="17"/>
    </row>
    <row r="9491">
      <c r="F9491" s="17"/>
    </row>
    <row r="9492">
      <c r="F9492" s="17"/>
    </row>
    <row r="9493">
      <c r="F9493" s="17"/>
    </row>
    <row r="9494">
      <c r="F9494" s="17"/>
    </row>
    <row r="9495">
      <c r="F9495" s="17"/>
    </row>
    <row r="9496">
      <c r="F9496" s="17"/>
    </row>
    <row r="9497">
      <c r="F9497" s="17"/>
    </row>
    <row r="9498">
      <c r="F9498" s="17"/>
    </row>
    <row r="9499">
      <c r="F9499" s="17"/>
    </row>
    <row r="9500">
      <c r="F9500" s="17"/>
    </row>
    <row r="9501">
      <c r="F9501" s="17"/>
    </row>
    <row r="9502">
      <c r="F9502" s="17"/>
    </row>
    <row r="9503">
      <c r="F9503" s="17"/>
    </row>
    <row r="9504">
      <c r="F9504" s="17"/>
    </row>
    <row r="9505">
      <c r="F9505" s="17"/>
    </row>
    <row r="9506">
      <c r="F9506" s="17"/>
    </row>
    <row r="9507">
      <c r="F9507" s="17"/>
    </row>
    <row r="9508">
      <c r="F9508" s="17"/>
    </row>
    <row r="9509">
      <c r="F9509" s="17"/>
    </row>
    <row r="9510">
      <c r="F9510" s="17"/>
    </row>
    <row r="9511">
      <c r="F9511" s="17"/>
    </row>
    <row r="9512">
      <c r="F9512" s="17"/>
    </row>
    <row r="9513">
      <c r="F9513" s="17"/>
    </row>
    <row r="9514">
      <c r="F9514" s="17"/>
    </row>
    <row r="9515">
      <c r="F9515" s="17"/>
    </row>
    <row r="9516">
      <c r="F9516" s="17"/>
    </row>
    <row r="9517">
      <c r="F9517" s="17"/>
    </row>
    <row r="9518">
      <c r="F9518" s="17"/>
    </row>
    <row r="9519">
      <c r="F9519" s="17"/>
    </row>
    <row r="9520">
      <c r="F9520" s="17"/>
    </row>
    <row r="9521">
      <c r="F9521" s="17"/>
    </row>
    <row r="9522">
      <c r="F9522" s="17"/>
    </row>
    <row r="9523">
      <c r="F9523" s="17"/>
    </row>
    <row r="9524">
      <c r="F9524" s="17"/>
    </row>
    <row r="9525">
      <c r="F9525" s="17"/>
    </row>
    <row r="9526">
      <c r="F9526" s="17"/>
    </row>
    <row r="9527">
      <c r="F9527" s="17"/>
    </row>
    <row r="9528">
      <c r="F9528" s="17"/>
    </row>
    <row r="9529">
      <c r="F9529" s="17"/>
    </row>
    <row r="9530">
      <c r="F9530" s="17"/>
    </row>
    <row r="9531">
      <c r="F9531" s="17"/>
    </row>
    <row r="9532">
      <c r="F9532" s="17"/>
    </row>
    <row r="9533">
      <c r="F9533" s="17"/>
    </row>
    <row r="9534">
      <c r="F9534" s="17"/>
    </row>
    <row r="9535">
      <c r="F9535" s="17"/>
    </row>
    <row r="9536">
      <c r="F9536" s="17"/>
    </row>
    <row r="9537">
      <c r="F9537" s="17"/>
    </row>
    <row r="9538">
      <c r="F9538" s="17"/>
    </row>
    <row r="9539">
      <c r="F9539" s="17"/>
    </row>
    <row r="9540">
      <c r="F9540" s="17"/>
    </row>
    <row r="9541">
      <c r="F9541" s="17"/>
    </row>
    <row r="9542">
      <c r="F9542" s="17"/>
    </row>
    <row r="9543">
      <c r="F9543" s="17"/>
    </row>
    <row r="9544">
      <c r="F9544" s="17"/>
    </row>
    <row r="9545">
      <c r="F9545" s="17"/>
    </row>
    <row r="9546">
      <c r="F9546" s="17"/>
    </row>
    <row r="9547">
      <c r="F9547" s="17"/>
    </row>
    <row r="9548">
      <c r="F9548" s="17"/>
    </row>
    <row r="9549">
      <c r="F9549" s="17"/>
    </row>
    <row r="9550">
      <c r="F9550" s="17"/>
    </row>
    <row r="9551">
      <c r="F9551" s="17"/>
    </row>
    <row r="9552">
      <c r="F9552" s="17"/>
    </row>
    <row r="9553">
      <c r="F9553" s="17"/>
    </row>
    <row r="9554">
      <c r="F9554" s="17"/>
    </row>
    <row r="9555">
      <c r="F9555" s="17"/>
    </row>
    <row r="9556">
      <c r="F9556" s="17"/>
    </row>
    <row r="9557">
      <c r="F9557" s="17"/>
    </row>
    <row r="9558">
      <c r="F9558" s="17"/>
    </row>
    <row r="9559">
      <c r="F9559" s="17"/>
    </row>
    <row r="9560">
      <c r="F9560" s="17"/>
    </row>
    <row r="9561">
      <c r="F9561" s="17"/>
    </row>
    <row r="9562">
      <c r="F9562" s="17"/>
    </row>
    <row r="9563">
      <c r="F9563" s="17"/>
    </row>
    <row r="9564">
      <c r="F9564" s="17"/>
    </row>
    <row r="9565">
      <c r="F9565" s="17"/>
    </row>
    <row r="9566">
      <c r="F9566" s="17"/>
    </row>
    <row r="9567">
      <c r="F9567" s="17"/>
    </row>
    <row r="9568">
      <c r="F9568" s="17"/>
    </row>
    <row r="9569">
      <c r="F9569" s="17"/>
    </row>
    <row r="9570">
      <c r="F9570" s="17"/>
    </row>
    <row r="9571">
      <c r="F9571" s="17"/>
    </row>
    <row r="9572">
      <c r="F9572" s="17"/>
    </row>
    <row r="9573">
      <c r="F9573" s="17"/>
    </row>
    <row r="9574">
      <c r="F9574" s="17"/>
    </row>
    <row r="9575">
      <c r="F9575" s="17"/>
    </row>
    <row r="9576">
      <c r="F9576" s="17"/>
    </row>
    <row r="9577">
      <c r="F9577" s="17"/>
    </row>
    <row r="9578">
      <c r="F9578" s="17"/>
    </row>
    <row r="9579">
      <c r="F9579" s="17"/>
    </row>
    <row r="9580">
      <c r="F9580" s="17"/>
    </row>
    <row r="9581">
      <c r="F9581" s="17"/>
    </row>
    <row r="9582">
      <c r="F9582" s="17"/>
    </row>
    <row r="9583">
      <c r="F9583" s="17"/>
    </row>
    <row r="9584">
      <c r="F9584" s="17"/>
    </row>
    <row r="9585">
      <c r="F9585" s="17"/>
    </row>
    <row r="9586">
      <c r="F9586" s="17"/>
    </row>
    <row r="9587">
      <c r="F9587" s="17"/>
    </row>
    <row r="9588">
      <c r="F9588" s="17"/>
    </row>
    <row r="9589">
      <c r="F9589" s="17"/>
    </row>
    <row r="9590">
      <c r="F9590" s="17"/>
    </row>
    <row r="9591">
      <c r="F9591" s="17"/>
    </row>
    <row r="9592">
      <c r="F9592" s="17"/>
    </row>
    <row r="9593">
      <c r="F9593" s="17"/>
    </row>
    <row r="9594">
      <c r="F9594" s="17"/>
    </row>
    <row r="9595">
      <c r="F9595" s="17"/>
    </row>
    <row r="9596">
      <c r="F9596" s="17"/>
    </row>
    <row r="9597">
      <c r="F9597" s="17"/>
    </row>
    <row r="9598">
      <c r="F9598" s="17"/>
    </row>
    <row r="9599">
      <c r="F9599" s="17"/>
    </row>
    <row r="9600">
      <c r="F9600" s="17"/>
    </row>
    <row r="9601">
      <c r="F9601" s="17"/>
    </row>
    <row r="9602">
      <c r="F9602" s="17"/>
    </row>
    <row r="9603">
      <c r="F9603" s="17"/>
    </row>
    <row r="9604">
      <c r="F9604" s="17"/>
    </row>
    <row r="9605">
      <c r="F9605" s="17"/>
    </row>
    <row r="9606">
      <c r="F9606" s="17"/>
    </row>
    <row r="9607">
      <c r="F9607" s="17"/>
    </row>
    <row r="9608">
      <c r="F9608" s="17"/>
    </row>
    <row r="9609">
      <c r="F9609" s="17"/>
    </row>
    <row r="9610">
      <c r="F9610" s="17"/>
    </row>
    <row r="9611">
      <c r="F9611" s="17"/>
    </row>
    <row r="9612">
      <c r="F9612" s="17"/>
    </row>
    <row r="9613">
      <c r="F9613" s="17"/>
    </row>
    <row r="9614">
      <c r="F9614" s="17"/>
    </row>
    <row r="9615">
      <c r="F9615" s="17"/>
    </row>
    <row r="9616">
      <c r="F9616" s="17"/>
    </row>
    <row r="9617">
      <c r="F9617" s="17"/>
    </row>
    <row r="9618">
      <c r="F9618" s="17"/>
    </row>
    <row r="9619">
      <c r="F9619" s="17"/>
    </row>
    <row r="9620">
      <c r="F9620" s="17"/>
    </row>
    <row r="9621">
      <c r="F9621" s="17"/>
    </row>
    <row r="9622">
      <c r="F9622" s="17"/>
    </row>
    <row r="9623">
      <c r="F9623" s="17"/>
    </row>
    <row r="9624">
      <c r="F9624" s="17"/>
    </row>
    <row r="9625">
      <c r="F9625" s="17"/>
    </row>
    <row r="9626">
      <c r="F9626" s="17"/>
    </row>
    <row r="9627">
      <c r="F9627" s="17"/>
    </row>
    <row r="9628">
      <c r="F9628" s="17"/>
    </row>
    <row r="9629">
      <c r="F9629" s="17"/>
    </row>
    <row r="9630">
      <c r="F9630" s="17"/>
    </row>
    <row r="9631">
      <c r="F9631" s="17"/>
    </row>
    <row r="9632">
      <c r="F9632" s="17"/>
    </row>
    <row r="9633">
      <c r="F9633" s="17"/>
    </row>
    <row r="9634">
      <c r="F9634" s="17"/>
    </row>
    <row r="9635">
      <c r="F9635" s="17"/>
    </row>
    <row r="9636">
      <c r="F9636" s="17"/>
    </row>
    <row r="9637">
      <c r="F9637" s="17"/>
    </row>
    <row r="9638">
      <c r="F9638" s="17"/>
    </row>
    <row r="9639">
      <c r="F9639" s="17"/>
    </row>
    <row r="9640">
      <c r="F9640" s="17"/>
    </row>
    <row r="9641">
      <c r="F9641" s="17"/>
    </row>
    <row r="9642">
      <c r="F9642" s="17"/>
    </row>
    <row r="9643">
      <c r="F9643" s="17"/>
    </row>
    <row r="9644">
      <c r="F9644" s="17"/>
    </row>
    <row r="9645">
      <c r="F9645" s="17"/>
    </row>
    <row r="9646">
      <c r="F9646" s="17"/>
    </row>
    <row r="9647">
      <c r="F9647" s="17"/>
    </row>
    <row r="9648">
      <c r="F9648" s="17"/>
    </row>
    <row r="9649">
      <c r="F9649" s="17"/>
    </row>
    <row r="9650">
      <c r="F9650" s="17"/>
    </row>
    <row r="9651">
      <c r="F9651" s="17"/>
    </row>
    <row r="9652">
      <c r="F9652" s="17"/>
    </row>
    <row r="9653">
      <c r="F9653" s="17"/>
    </row>
    <row r="9654">
      <c r="F9654" s="17"/>
    </row>
    <row r="9655">
      <c r="F9655" s="17"/>
    </row>
    <row r="9656">
      <c r="F9656" s="17"/>
    </row>
    <row r="9657">
      <c r="F9657" s="17"/>
    </row>
    <row r="9658">
      <c r="F9658" s="17"/>
    </row>
    <row r="9659">
      <c r="F9659" s="17"/>
    </row>
    <row r="9660">
      <c r="F9660" s="17"/>
    </row>
    <row r="9661">
      <c r="F9661" s="17"/>
    </row>
    <row r="9662">
      <c r="F9662" s="17"/>
    </row>
    <row r="9663">
      <c r="F9663" s="17"/>
    </row>
    <row r="9664">
      <c r="F9664" s="17"/>
    </row>
    <row r="9665">
      <c r="F9665" s="17"/>
    </row>
    <row r="9666">
      <c r="F9666" s="17"/>
    </row>
    <row r="9667">
      <c r="F9667" s="17"/>
    </row>
    <row r="9668">
      <c r="F9668" s="17"/>
    </row>
    <row r="9669">
      <c r="F9669" s="17"/>
    </row>
    <row r="9670">
      <c r="F9670" s="17"/>
    </row>
    <row r="9671">
      <c r="F9671" s="17"/>
    </row>
    <row r="9672">
      <c r="F9672" s="17"/>
    </row>
    <row r="9673">
      <c r="F9673" s="17"/>
    </row>
    <row r="9674">
      <c r="F9674" s="17"/>
    </row>
    <row r="9675">
      <c r="F9675" s="17"/>
    </row>
    <row r="9676">
      <c r="F9676" s="17"/>
    </row>
    <row r="9677">
      <c r="F9677" s="17"/>
    </row>
    <row r="9678">
      <c r="F9678" s="17"/>
    </row>
    <row r="9679">
      <c r="F9679" s="17"/>
    </row>
    <row r="9680">
      <c r="F9680" s="17"/>
    </row>
    <row r="9681">
      <c r="F9681" s="17"/>
    </row>
    <row r="9682">
      <c r="F9682" s="17"/>
    </row>
    <row r="9683">
      <c r="F9683" s="17"/>
    </row>
    <row r="9684">
      <c r="F9684" s="17"/>
    </row>
    <row r="9685">
      <c r="F9685" s="17"/>
    </row>
    <row r="9686">
      <c r="F9686" s="17"/>
    </row>
    <row r="9687">
      <c r="F9687" s="17"/>
    </row>
    <row r="9688">
      <c r="F9688" s="17"/>
    </row>
    <row r="9689">
      <c r="F9689" s="17"/>
    </row>
    <row r="9690">
      <c r="F9690" s="17"/>
    </row>
    <row r="9691">
      <c r="F9691" s="17"/>
    </row>
    <row r="9692">
      <c r="F9692" s="17"/>
    </row>
    <row r="9693">
      <c r="F9693" s="17"/>
    </row>
    <row r="9694">
      <c r="F9694" s="17"/>
    </row>
    <row r="9695">
      <c r="F9695" s="17"/>
    </row>
    <row r="9696">
      <c r="F9696" s="17"/>
    </row>
    <row r="9697">
      <c r="F9697" s="17"/>
    </row>
    <row r="9698">
      <c r="F9698" s="17"/>
    </row>
    <row r="9699">
      <c r="F9699" s="17"/>
    </row>
    <row r="9700">
      <c r="F9700" s="17"/>
    </row>
    <row r="9701">
      <c r="F9701" s="17"/>
    </row>
    <row r="9702">
      <c r="F9702" s="17"/>
    </row>
    <row r="9703">
      <c r="F9703" s="17"/>
    </row>
    <row r="9704">
      <c r="F9704" s="17"/>
    </row>
    <row r="9705">
      <c r="F9705" s="17"/>
    </row>
    <row r="9706">
      <c r="F9706" s="17"/>
    </row>
    <row r="9707">
      <c r="F9707" s="17"/>
    </row>
    <row r="9708">
      <c r="F9708" s="17"/>
    </row>
    <row r="9709">
      <c r="F9709" s="17"/>
    </row>
    <row r="9710">
      <c r="F9710" s="17"/>
    </row>
    <row r="9711">
      <c r="F9711" s="17"/>
    </row>
    <row r="9712">
      <c r="F9712" s="17"/>
    </row>
    <row r="9713">
      <c r="F9713" s="17"/>
    </row>
    <row r="9714">
      <c r="F9714" s="17"/>
    </row>
    <row r="9715">
      <c r="F9715" s="17"/>
    </row>
    <row r="9716">
      <c r="F9716" s="17"/>
    </row>
    <row r="9717">
      <c r="F9717" s="17"/>
    </row>
    <row r="9718">
      <c r="F9718" s="17"/>
    </row>
    <row r="9719">
      <c r="F9719" s="17"/>
    </row>
    <row r="9720">
      <c r="F9720" s="17"/>
    </row>
    <row r="9721">
      <c r="F9721" s="17"/>
    </row>
    <row r="9722">
      <c r="F9722" s="17"/>
    </row>
    <row r="9723">
      <c r="F9723" s="17"/>
    </row>
    <row r="9724">
      <c r="F9724" s="17"/>
    </row>
    <row r="9725">
      <c r="F9725" s="17"/>
    </row>
    <row r="9726">
      <c r="F9726" s="17"/>
    </row>
    <row r="9727">
      <c r="F9727" s="17"/>
    </row>
    <row r="9728">
      <c r="F9728" s="17"/>
    </row>
    <row r="9729">
      <c r="F9729" s="17"/>
    </row>
    <row r="9730">
      <c r="F9730" s="17"/>
    </row>
    <row r="9731">
      <c r="F9731" s="17"/>
    </row>
    <row r="9732">
      <c r="F9732" s="17"/>
    </row>
    <row r="9733">
      <c r="F9733" s="17"/>
    </row>
    <row r="9734">
      <c r="F9734" s="17"/>
    </row>
    <row r="9735">
      <c r="F9735" s="17"/>
    </row>
    <row r="9736">
      <c r="F9736" s="17"/>
    </row>
    <row r="9737">
      <c r="F9737" s="17"/>
    </row>
    <row r="9738">
      <c r="F9738" s="17"/>
    </row>
    <row r="9739">
      <c r="F9739" s="17"/>
    </row>
    <row r="9740">
      <c r="F9740" s="17"/>
    </row>
    <row r="9741">
      <c r="F9741" s="17"/>
    </row>
    <row r="9742">
      <c r="F9742" s="17"/>
    </row>
    <row r="9743">
      <c r="F9743" s="17"/>
    </row>
    <row r="9744">
      <c r="F9744" s="17"/>
    </row>
    <row r="9745">
      <c r="F9745" s="17"/>
    </row>
    <row r="9746">
      <c r="F9746" s="17"/>
    </row>
    <row r="9747">
      <c r="F9747" s="17"/>
    </row>
    <row r="9748">
      <c r="F9748" s="17"/>
    </row>
    <row r="9749">
      <c r="F9749" s="17"/>
    </row>
    <row r="9750">
      <c r="F9750" s="17"/>
    </row>
    <row r="9751">
      <c r="F9751" s="17"/>
    </row>
    <row r="9752">
      <c r="F9752" s="17"/>
    </row>
    <row r="9753">
      <c r="F9753" s="17"/>
    </row>
    <row r="9754">
      <c r="F9754" s="17"/>
    </row>
    <row r="9755">
      <c r="F9755" s="17"/>
    </row>
    <row r="9756">
      <c r="F9756" s="17"/>
    </row>
    <row r="9757">
      <c r="F9757" s="17"/>
    </row>
    <row r="9758">
      <c r="F9758" s="17"/>
    </row>
    <row r="9759">
      <c r="F9759" s="17"/>
    </row>
    <row r="9760">
      <c r="F9760" s="17"/>
    </row>
    <row r="9761">
      <c r="F9761" s="17"/>
    </row>
    <row r="9762">
      <c r="F9762" s="17"/>
    </row>
    <row r="9763">
      <c r="F9763" s="17"/>
    </row>
    <row r="9764">
      <c r="F9764" s="17"/>
    </row>
    <row r="9765">
      <c r="F9765" s="17"/>
    </row>
    <row r="9766">
      <c r="F9766" s="17"/>
    </row>
    <row r="9767">
      <c r="F9767" s="17"/>
    </row>
    <row r="9768">
      <c r="F9768" s="17"/>
    </row>
    <row r="9769">
      <c r="F9769" s="17"/>
    </row>
    <row r="9770">
      <c r="F9770" s="17"/>
    </row>
    <row r="9771">
      <c r="F9771" s="17"/>
    </row>
    <row r="9772">
      <c r="F9772" s="17"/>
    </row>
    <row r="9773">
      <c r="F9773" s="17"/>
    </row>
    <row r="9774">
      <c r="F9774" s="17"/>
    </row>
    <row r="9775">
      <c r="F9775" s="17"/>
    </row>
    <row r="9776">
      <c r="F9776" s="17"/>
    </row>
    <row r="9777">
      <c r="F9777" s="17"/>
    </row>
    <row r="9778">
      <c r="F9778" s="17"/>
    </row>
    <row r="9779">
      <c r="F9779" s="17"/>
    </row>
    <row r="9780">
      <c r="F9780" s="17"/>
    </row>
    <row r="9781">
      <c r="F9781" s="17"/>
    </row>
    <row r="9782">
      <c r="F9782" s="17"/>
    </row>
    <row r="9783">
      <c r="F9783" s="17"/>
    </row>
    <row r="9784">
      <c r="F9784" s="17"/>
    </row>
    <row r="9785">
      <c r="F9785" s="17"/>
    </row>
    <row r="9786">
      <c r="F9786" s="17"/>
    </row>
    <row r="9787">
      <c r="F9787" s="17"/>
    </row>
    <row r="9788">
      <c r="F9788" s="17"/>
    </row>
    <row r="9789">
      <c r="F9789" s="17"/>
    </row>
    <row r="9790">
      <c r="F9790" s="17"/>
    </row>
    <row r="9791">
      <c r="F9791" s="17"/>
    </row>
    <row r="9792">
      <c r="F9792" s="17"/>
    </row>
    <row r="9793">
      <c r="F9793" s="17"/>
    </row>
    <row r="9794">
      <c r="F9794" s="17"/>
    </row>
    <row r="9795">
      <c r="F9795" s="17"/>
    </row>
    <row r="9796">
      <c r="F9796" s="17"/>
    </row>
    <row r="9797">
      <c r="F9797" s="17"/>
    </row>
    <row r="9798">
      <c r="F9798" s="17"/>
    </row>
    <row r="9799">
      <c r="F9799" s="17"/>
    </row>
    <row r="9800">
      <c r="F9800" s="17"/>
    </row>
    <row r="9801">
      <c r="F9801" s="17"/>
    </row>
    <row r="9802">
      <c r="F9802" s="17"/>
    </row>
    <row r="9803">
      <c r="F9803" s="17"/>
    </row>
    <row r="9804">
      <c r="F9804" s="17"/>
    </row>
    <row r="9805">
      <c r="F9805" s="17"/>
    </row>
    <row r="9806">
      <c r="F9806" s="17"/>
    </row>
    <row r="9807">
      <c r="F9807" s="17"/>
    </row>
    <row r="9808">
      <c r="F9808" s="17"/>
    </row>
    <row r="9809">
      <c r="F9809" s="17"/>
    </row>
    <row r="9810">
      <c r="F9810" s="17"/>
    </row>
    <row r="9811">
      <c r="F9811" s="17"/>
    </row>
    <row r="9812">
      <c r="F9812" s="17"/>
    </row>
    <row r="9813">
      <c r="F9813" s="17"/>
    </row>
    <row r="9814">
      <c r="F9814" s="17"/>
    </row>
    <row r="9815">
      <c r="F9815" s="17"/>
    </row>
    <row r="9816">
      <c r="F9816" s="17"/>
    </row>
    <row r="9817">
      <c r="F9817" s="17"/>
    </row>
    <row r="9818">
      <c r="F9818" s="17"/>
    </row>
    <row r="9819">
      <c r="F9819" s="17"/>
    </row>
    <row r="9820">
      <c r="F9820" s="17"/>
    </row>
    <row r="9821">
      <c r="F9821" s="17"/>
    </row>
    <row r="9822">
      <c r="F9822" s="17"/>
    </row>
    <row r="9823">
      <c r="F9823" s="17"/>
    </row>
    <row r="9824">
      <c r="F9824" s="17"/>
    </row>
    <row r="9825">
      <c r="F9825" s="17"/>
    </row>
    <row r="9826">
      <c r="F9826" s="17"/>
    </row>
    <row r="9827">
      <c r="F9827" s="17"/>
    </row>
    <row r="9828">
      <c r="F9828" s="17"/>
    </row>
    <row r="9829">
      <c r="F9829" s="17"/>
    </row>
    <row r="9830">
      <c r="F9830" s="17"/>
    </row>
    <row r="9831">
      <c r="F9831" s="17"/>
    </row>
    <row r="9832">
      <c r="F9832" s="17"/>
    </row>
    <row r="9833">
      <c r="F9833" s="17"/>
    </row>
    <row r="9834">
      <c r="F9834" s="17"/>
    </row>
    <row r="9835">
      <c r="F9835" s="17"/>
    </row>
    <row r="9836">
      <c r="F9836" s="17"/>
    </row>
    <row r="9837">
      <c r="F9837" s="17"/>
    </row>
    <row r="9838">
      <c r="F9838" s="17"/>
    </row>
    <row r="9839">
      <c r="F9839" s="17"/>
    </row>
    <row r="9840">
      <c r="F9840" s="17"/>
    </row>
    <row r="9841">
      <c r="F9841" s="17"/>
    </row>
    <row r="9842">
      <c r="F9842" s="17"/>
    </row>
    <row r="9843">
      <c r="F9843" s="17"/>
    </row>
    <row r="9844">
      <c r="F9844" s="17"/>
    </row>
    <row r="9845">
      <c r="F9845" s="17"/>
    </row>
    <row r="9846">
      <c r="F9846" s="17"/>
    </row>
    <row r="9847">
      <c r="F9847" s="17"/>
    </row>
    <row r="9848">
      <c r="F9848" s="17"/>
    </row>
    <row r="9849">
      <c r="F9849" s="17"/>
    </row>
    <row r="9850">
      <c r="F9850" s="17"/>
    </row>
    <row r="9851">
      <c r="F9851" s="17"/>
    </row>
    <row r="9852">
      <c r="F9852" s="17"/>
    </row>
    <row r="9853">
      <c r="F9853" s="17"/>
    </row>
    <row r="9854">
      <c r="F9854" s="17"/>
    </row>
    <row r="9855">
      <c r="F9855" s="17"/>
    </row>
    <row r="9856">
      <c r="F9856" s="17"/>
    </row>
    <row r="9857">
      <c r="F9857" s="17"/>
    </row>
    <row r="9858">
      <c r="F9858" s="17"/>
    </row>
    <row r="9859">
      <c r="F9859" s="17"/>
    </row>
    <row r="9860">
      <c r="F9860" s="17"/>
    </row>
    <row r="9861">
      <c r="F9861" s="17"/>
    </row>
    <row r="9862">
      <c r="F9862" s="17"/>
    </row>
    <row r="9863">
      <c r="F9863" s="17"/>
    </row>
    <row r="9864">
      <c r="F9864" s="17"/>
    </row>
    <row r="9865">
      <c r="F9865" s="17"/>
    </row>
    <row r="9866">
      <c r="F9866" s="17"/>
    </row>
    <row r="9867">
      <c r="F9867" s="17"/>
    </row>
    <row r="9868">
      <c r="F9868" s="17"/>
    </row>
    <row r="9869">
      <c r="F9869" s="17"/>
    </row>
    <row r="9870">
      <c r="F9870" s="17"/>
    </row>
    <row r="9871">
      <c r="F9871" s="17"/>
    </row>
    <row r="9872">
      <c r="F9872" s="17"/>
    </row>
    <row r="9873">
      <c r="F9873" s="17"/>
    </row>
    <row r="9874">
      <c r="F9874" s="17"/>
    </row>
    <row r="9875">
      <c r="F9875" s="17"/>
    </row>
    <row r="9876">
      <c r="F9876" s="17"/>
    </row>
    <row r="9877">
      <c r="F9877" s="17"/>
    </row>
    <row r="9878">
      <c r="F9878" s="17"/>
    </row>
    <row r="9879">
      <c r="F9879" s="17"/>
    </row>
    <row r="9880">
      <c r="F9880" s="17"/>
    </row>
    <row r="9881">
      <c r="F9881" s="17"/>
    </row>
    <row r="9882">
      <c r="F9882" s="17"/>
    </row>
    <row r="9883">
      <c r="F9883" s="17"/>
    </row>
    <row r="9884">
      <c r="F9884" s="17"/>
    </row>
    <row r="9885">
      <c r="F9885" s="17"/>
    </row>
    <row r="9886">
      <c r="F9886" s="17"/>
    </row>
    <row r="9887">
      <c r="F9887" s="17"/>
    </row>
    <row r="9888">
      <c r="F9888" s="17"/>
    </row>
    <row r="9889">
      <c r="F9889" s="17"/>
    </row>
    <row r="9890">
      <c r="F9890" s="17"/>
    </row>
    <row r="9891">
      <c r="F9891" s="17"/>
    </row>
    <row r="9892">
      <c r="F9892" s="17"/>
    </row>
    <row r="9893">
      <c r="F9893" s="17"/>
    </row>
    <row r="9894">
      <c r="F9894" s="17"/>
    </row>
    <row r="9895">
      <c r="F9895" s="17"/>
    </row>
    <row r="9896">
      <c r="F9896" s="17"/>
    </row>
    <row r="9897">
      <c r="F9897" s="17"/>
    </row>
    <row r="9898">
      <c r="F9898" s="17"/>
    </row>
    <row r="9899">
      <c r="F9899" s="17"/>
    </row>
    <row r="9900">
      <c r="F9900" s="17"/>
    </row>
    <row r="9901">
      <c r="F9901" s="17"/>
    </row>
    <row r="9902">
      <c r="F9902" s="17"/>
    </row>
    <row r="9903">
      <c r="F9903" s="17"/>
    </row>
    <row r="9904">
      <c r="F9904" s="17"/>
    </row>
    <row r="9905">
      <c r="F9905" s="17"/>
    </row>
    <row r="9906">
      <c r="F9906" s="17"/>
    </row>
    <row r="9907">
      <c r="F9907" s="17"/>
    </row>
    <row r="9908">
      <c r="F9908" s="17"/>
    </row>
    <row r="9909">
      <c r="F9909" s="17"/>
    </row>
    <row r="9910">
      <c r="F9910" s="17"/>
    </row>
    <row r="9911">
      <c r="F9911" s="17"/>
    </row>
    <row r="9912">
      <c r="F9912" s="17"/>
    </row>
    <row r="9913">
      <c r="F9913" s="17"/>
    </row>
    <row r="9914">
      <c r="F9914" s="17"/>
    </row>
    <row r="9915">
      <c r="F9915" s="17"/>
    </row>
    <row r="9916">
      <c r="F9916" s="17"/>
    </row>
    <row r="9917">
      <c r="F9917" s="17"/>
    </row>
    <row r="9918">
      <c r="F9918" s="17"/>
    </row>
    <row r="9919">
      <c r="F9919" s="17"/>
    </row>
    <row r="9920">
      <c r="F9920" s="17"/>
    </row>
    <row r="9921">
      <c r="F9921" s="17"/>
    </row>
    <row r="9922">
      <c r="F9922" s="17"/>
    </row>
    <row r="9923">
      <c r="F9923" s="17"/>
    </row>
    <row r="9924">
      <c r="F9924" s="17"/>
    </row>
    <row r="9925">
      <c r="F9925" s="17"/>
    </row>
    <row r="9926">
      <c r="F9926" s="17"/>
    </row>
    <row r="9927">
      <c r="F9927" s="17"/>
    </row>
    <row r="9928">
      <c r="F9928" s="17"/>
    </row>
    <row r="9929">
      <c r="F9929" s="17"/>
    </row>
    <row r="9930">
      <c r="F9930" s="17"/>
    </row>
    <row r="9931">
      <c r="F9931" s="17"/>
    </row>
    <row r="9932">
      <c r="F9932" s="17"/>
    </row>
    <row r="9933">
      <c r="F9933" s="17"/>
    </row>
    <row r="9934">
      <c r="F9934" s="17"/>
    </row>
    <row r="9935">
      <c r="F9935" s="17"/>
    </row>
    <row r="9936">
      <c r="F9936" s="17"/>
    </row>
    <row r="9937">
      <c r="F9937" s="17"/>
    </row>
    <row r="9938">
      <c r="F9938" s="17"/>
    </row>
    <row r="9939">
      <c r="F9939" s="17"/>
    </row>
    <row r="9940">
      <c r="F9940" s="17"/>
    </row>
    <row r="9941">
      <c r="F9941" s="17"/>
    </row>
    <row r="9942">
      <c r="F9942" s="17"/>
    </row>
    <row r="9943">
      <c r="F9943" s="17"/>
    </row>
    <row r="9944">
      <c r="F9944" s="17"/>
    </row>
    <row r="9945">
      <c r="F9945" s="17"/>
    </row>
    <row r="9946">
      <c r="F9946" s="17"/>
    </row>
    <row r="9947">
      <c r="F9947" s="17"/>
    </row>
    <row r="9948">
      <c r="F9948" s="17"/>
    </row>
    <row r="9949">
      <c r="F9949" s="17"/>
    </row>
    <row r="9950">
      <c r="F9950" s="17"/>
    </row>
    <row r="9951">
      <c r="F9951" s="17"/>
    </row>
    <row r="9952">
      <c r="F9952" s="17"/>
    </row>
    <row r="9953">
      <c r="F9953" s="17"/>
    </row>
    <row r="9954">
      <c r="F9954" s="17"/>
    </row>
    <row r="9955">
      <c r="F9955" s="17"/>
    </row>
    <row r="9956">
      <c r="F9956" s="17"/>
    </row>
    <row r="9957">
      <c r="F9957" s="17"/>
    </row>
    <row r="9958">
      <c r="F9958" s="17"/>
    </row>
    <row r="9959">
      <c r="F9959" s="17"/>
    </row>
    <row r="9960">
      <c r="F9960" s="17"/>
    </row>
    <row r="9961">
      <c r="F9961" s="17"/>
    </row>
    <row r="9962">
      <c r="F9962" s="17"/>
    </row>
    <row r="9963">
      <c r="F9963" s="17"/>
    </row>
    <row r="9964">
      <c r="F9964" s="17"/>
    </row>
    <row r="9965">
      <c r="F9965" s="17"/>
    </row>
    <row r="9966">
      <c r="F9966" s="17"/>
    </row>
    <row r="9967">
      <c r="F9967" s="17"/>
    </row>
    <row r="9968">
      <c r="F9968" s="17"/>
    </row>
    <row r="9969">
      <c r="F9969" s="17"/>
    </row>
    <row r="9970">
      <c r="F9970" s="17"/>
    </row>
    <row r="9971">
      <c r="F9971" s="17"/>
    </row>
    <row r="9972">
      <c r="F9972" s="17"/>
    </row>
    <row r="9973">
      <c r="F9973" s="17"/>
    </row>
    <row r="9974">
      <c r="F9974" s="17"/>
    </row>
    <row r="9975">
      <c r="F9975" s="17"/>
    </row>
    <row r="9976">
      <c r="F9976" s="17"/>
    </row>
    <row r="9977">
      <c r="F9977" s="17"/>
    </row>
    <row r="9978">
      <c r="F9978" s="17"/>
    </row>
    <row r="9979">
      <c r="F9979" s="17"/>
    </row>
    <row r="9980">
      <c r="F9980" s="17"/>
    </row>
    <row r="9981">
      <c r="F9981" s="17"/>
    </row>
    <row r="9982">
      <c r="F9982" s="17"/>
    </row>
    <row r="9983">
      <c r="F9983" s="17"/>
    </row>
    <row r="9984">
      <c r="F9984" s="17"/>
    </row>
    <row r="9985">
      <c r="F9985" s="17"/>
    </row>
    <row r="9986">
      <c r="F9986" s="17"/>
    </row>
    <row r="9987">
      <c r="F9987" s="17"/>
    </row>
    <row r="9988">
      <c r="F9988" s="17"/>
    </row>
    <row r="9989">
      <c r="F9989" s="17"/>
    </row>
    <row r="9990">
      <c r="F9990" s="17"/>
    </row>
    <row r="9991">
      <c r="F9991" s="17"/>
    </row>
    <row r="9992">
      <c r="F9992" s="17"/>
    </row>
    <row r="9993">
      <c r="F9993" s="17"/>
    </row>
    <row r="9994">
      <c r="F9994" s="17"/>
    </row>
    <row r="9995">
      <c r="F9995" s="17"/>
    </row>
    <row r="9996">
      <c r="F9996" s="17"/>
    </row>
    <row r="9997">
      <c r="F9997" s="17"/>
    </row>
    <row r="9998">
      <c r="F9998" s="17"/>
    </row>
    <row r="9999">
      <c r="F9999" s="17"/>
    </row>
    <row r="10000">
      <c r="F10000" s="17"/>
    </row>
    <row r="10001">
      <c r="F10001" s="17"/>
    </row>
    <row r="10002">
      <c r="F10002" s="17"/>
    </row>
    <row r="10003">
      <c r="F10003" s="17"/>
    </row>
    <row r="10004">
      <c r="F10004" s="17"/>
    </row>
    <row r="10005">
      <c r="F10005" s="17"/>
    </row>
    <row r="10006">
      <c r="F10006" s="17"/>
    </row>
    <row r="10007">
      <c r="F10007" s="17"/>
    </row>
    <row r="10008">
      <c r="F10008" s="17"/>
    </row>
    <row r="10009">
      <c r="F10009" s="17"/>
    </row>
    <row r="10010">
      <c r="F10010" s="17"/>
    </row>
    <row r="10011">
      <c r="F10011" s="17"/>
    </row>
    <row r="10012">
      <c r="F10012" s="17"/>
    </row>
    <row r="10013">
      <c r="F10013" s="17"/>
    </row>
    <row r="10014">
      <c r="F10014" s="17"/>
    </row>
    <row r="10015">
      <c r="F10015" s="17"/>
    </row>
    <row r="10016">
      <c r="F10016" s="17"/>
    </row>
    <row r="10017">
      <c r="F10017" s="17"/>
    </row>
    <row r="10018">
      <c r="F10018" s="17"/>
    </row>
    <row r="10019">
      <c r="F10019" s="17"/>
    </row>
    <row r="10020">
      <c r="F10020" s="17"/>
    </row>
    <row r="10021">
      <c r="F10021" s="17"/>
    </row>
    <row r="10022">
      <c r="F10022" s="17"/>
    </row>
    <row r="10023">
      <c r="F10023" s="17"/>
    </row>
    <row r="10024">
      <c r="F10024" s="17"/>
    </row>
    <row r="10025">
      <c r="F10025" s="17"/>
    </row>
    <row r="10026">
      <c r="F10026" s="17"/>
    </row>
    <row r="10027">
      <c r="F10027" s="17"/>
    </row>
    <row r="10028">
      <c r="F10028" s="17"/>
    </row>
    <row r="10029">
      <c r="F10029" s="17"/>
    </row>
    <row r="10030">
      <c r="F10030" s="17"/>
    </row>
    <row r="10031">
      <c r="F10031" s="17"/>
    </row>
    <row r="10032">
      <c r="F10032" s="17"/>
    </row>
    <row r="10033">
      <c r="F10033" s="17"/>
    </row>
    <row r="10034">
      <c r="F10034" s="17"/>
    </row>
    <row r="10035">
      <c r="F10035" s="17"/>
    </row>
    <row r="10036">
      <c r="F10036" s="17"/>
    </row>
    <row r="10037">
      <c r="F10037" s="17"/>
    </row>
    <row r="10038">
      <c r="F10038" s="17"/>
    </row>
    <row r="10039">
      <c r="F10039" s="17"/>
    </row>
    <row r="10040">
      <c r="F10040" s="17"/>
    </row>
    <row r="10041">
      <c r="F10041" s="17"/>
    </row>
    <row r="10042">
      <c r="F10042" s="17"/>
    </row>
    <row r="10043">
      <c r="F10043" s="17"/>
    </row>
    <row r="10044">
      <c r="F10044" s="17"/>
    </row>
    <row r="10045">
      <c r="F10045" s="17"/>
    </row>
    <row r="10046">
      <c r="F10046" s="17"/>
    </row>
    <row r="10047">
      <c r="F10047" s="17"/>
    </row>
    <row r="10048">
      <c r="F10048" s="17"/>
    </row>
    <row r="10049">
      <c r="F10049" s="17"/>
    </row>
    <row r="10050">
      <c r="F10050" s="17"/>
    </row>
    <row r="10051">
      <c r="F10051" s="17"/>
    </row>
    <row r="10052">
      <c r="F10052" s="17"/>
    </row>
    <row r="10053">
      <c r="F10053" s="17"/>
    </row>
    <row r="10054">
      <c r="F10054" s="17"/>
    </row>
    <row r="10055">
      <c r="F10055" s="17"/>
    </row>
    <row r="10056">
      <c r="F10056" s="17"/>
    </row>
    <row r="10057">
      <c r="F10057" s="17"/>
    </row>
    <row r="10058">
      <c r="F10058" s="17"/>
    </row>
    <row r="10059">
      <c r="F10059" s="17"/>
    </row>
    <row r="10060">
      <c r="F10060" s="17"/>
    </row>
    <row r="10061">
      <c r="F10061" s="17"/>
    </row>
    <row r="10062">
      <c r="F10062" s="17"/>
    </row>
    <row r="10063">
      <c r="F10063" s="17"/>
    </row>
    <row r="10064">
      <c r="F10064" s="17"/>
    </row>
    <row r="10065">
      <c r="F10065" s="17"/>
    </row>
    <row r="10066">
      <c r="F10066" s="17"/>
    </row>
    <row r="10067">
      <c r="F10067" s="17"/>
    </row>
    <row r="10068">
      <c r="F10068" s="17"/>
    </row>
    <row r="10069">
      <c r="F10069" s="17"/>
    </row>
    <row r="10070">
      <c r="F10070" s="17"/>
    </row>
    <row r="10071">
      <c r="F10071" s="17"/>
    </row>
    <row r="10072">
      <c r="F10072" s="17"/>
    </row>
    <row r="10073">
      <c r="F10073" s="17"/>
    </row>
    <row r="10074">
      <c r="F10074" s="17"/>
    </row>
    <row r="10075">
      <c r="F10075" s="17"/>
    </row>
    <row r="10076">
      <c r="F10076" s="17"/>
    </row>
    <row r="10077">
      <c r="F10077" s="17"/>
    </row>
    <row r="10078">
      <c r="F10078" s="17"/>
    </row>
    <row r="10079">
      <c r="F10079" s="17"/>
    </row>
    <row r="10080">
      <c r="F10080" s="17"/>
    </row>
    <row r="10081">
      <c r="F10081" s="17"/>
    </row>
    <row r="10082">
      <c r="F10082" s="17"/>
    </row>
    <row r="10083">
      <c r="F10083" s="17"/>
    </row>
    <row r="10084">
      <c r="F10084" s="17"/>
    </row>
    <row r="10085">
      <c r="F10085" s="17"/>
    </row>
    <row r="10086">
      <c r="F10086" s="17"/>
    </row>
    <row r="10087">
      <c r="F10087" s="17"/>
    </row>
    <row r="10088">
      <c r="F10088" s="17"/>
    </row>
    <row r="10089">
      <c r="F10089" s="17"/>
    </row>
    <row r="10090">
      <c r="F10090" s="17"/>
    </row>
    <row r="10091">
      <c r="F10091" s="17"/>
    </row>
    <row r="10092">
      <c r="F10092" s="17"/>
    </row>
    <row r="10093">
      <c r="F10093" s="17"/>
    </row>
    <row r="10094">
      <c r="F10094" s="17"/>
    </row>
    <row r="10095">
      <c r="F10095" s="17"/>
    </row>
    <row r="10096">
      <c r="F10096" s="17"/>
    </row>
    <row r="10097">
      <c r="F10097" s="17"/>
    </row>
    <row r="10098">
      <c r="F10098" s="17"/>
    </row>
    <row r="10099">
      <c r="F10099" s="17"/>
    </row>
    <row r="10100">
      <c r="F10100" s="17"/>
    </row>
    <row r="10101">
      <c r="F10101" s="17"/>
    </row>
    <row r="10102">
      <c r="F10102" s="17"/>
    </row>
    <row r="10103">
      <c r="F10103" s="17"/>
    </row>
    <row r="10104">
      <c r="F10104" s="17"/>
    </row>
    <row r="10105">
      <c r="F10105" s="17"/>
    </row>
    <row r="10106">
      <c r="F10106" s="17"/>
    </row>
    <row r="10107">
      <c r="F10107" s="17"/>
    </row>
    <row r="10108">
      <c r="F10108" s="17"/>
    </row>
    <row r="10109">
      <c r="F10109" s="17"/>
    </row>
    <row r="10110">
      <c r="F10110" s="17"/>
    </row>
    <row r="10111">
      <c r="F10111" s="17"/>
    </row>
    <row r="10112">
      <c r="F10112" s="17"/>
    </row>
    <row r="10113">
      <c r="F10113" s="17"/>
    </row>
    <row r="10114">
      <c r="F10114" s="17"/>
    </row>
    <row r="10115">
      <c r="F10115" s="17"/>
    </row>
    <row r="10116">
      <c r="F10116" s="17"/>
    </row>
    <row r="10117">
      <c r="F10117" s="17"/>
    </row>
    <row r="10118">
      <c r="F10118" s="17"/>
    </row>
    <row r="10119">
      <c r="F10119" s="17"/>
    </row>
    <row r="10120">
      <c r="F10120" s="17"/>
    </row>
    <row r="10121">
      <c r="F10121" s="17"/>
    </row>
    <row r="10122">
      <c r="F10122" s="17"/>
    </row>
    <row r="10123">
      <c r="F10123" s="17"/>
    </row>
    <row r="10124">
      <c r="F10124" s="17"/>
    </row>
    <row r="10125">
      <c r="F10125" s="17"/>
    </row>
    <row r="10126">
      <c r="F10126" s="17"/>
    </row>
    <row r="10127">
      <c r="F10127" s="17"/>
    </row>
    <row r="10128">
      <c r="F10128" s="17"/>
    </row>
    <row r="10129">
      <c r="F10129" s="17"/>
    </row>
    <row r="10130">
      <c r="F10130" s="17"/>
    </row>
    <row r="10131">
      <c r="F10131" s="17"/>
    </row>
    <row r="10132">
      <c r="F10132" s="17"/>
    </row>
    <row r="10133">
      <c r="F10133" s="17"/>
    </row>
    <row r="10134">
      <c r="F10134" s="17"/>
    </row>
    <row r="10135">
      <c r="F10135" s="17"/>
    </row>
    <row r="10136">
      <c r="F10136" s="17"/>
    </row>
    <row r="10137">
      <c r="F10137" s="17"/>
    </row>
    <row r="10138">
      <c r="F10138" s="17"/>
    </row>
    <row r="10139">
      <c r="F10139" s="17"/>
    </row>
    <row r="10140">
      <c r="F10140" s="17"/>
    </row>
    <row r="10141">
      <c r="F10141" s="17"/>
    </row>
    <row r="10142">
      <c r="F10142" s="17"/>
    </row>
    <row r="10143">
      <c r="F10143" s="17"/>
    </row>
    <row r="10144">
      <c r="F10144" s="17"/>
    </row>
    <row r="10145">
      <c r="F10145" s="17"/>
    </row>
    <row r="10146">
      <c r="F10146" s="17"/>
    </row>
    <row r="10147">
      <c r="F10147" s="17"/>
    </row>
    <row r="10148">
      <c r="F10148" s="17"/>
    </row>
    <row r="10149">
      <c r="F10149" s="17"/>
    </row>
    <row r="10150">
      <c r="F10150" s="17"/>
    </row>
    <row r="10151">
      <c r="F10151" s="17"/>
    </row>
    <row r="10152">
      <c r="F10152" s="17"/>
    </row>
    <row r="10153">
      <c r="F10153" s="17"/>
    </row>
    <row r="10154">
      <c r="F10154" s="17"/>
    </row>
    <row r="10155">
      <c r="F10155" s="17"/>
    </row>
    <row r="10156">
      <c r="F10156" s="17"/>
    </row>
    <row r="10157">
      <c r="F10157" s="17"/>
    </row>
    <row r="10158">
      <c r="F10158" s="17"/>
    </row>
    <row r="10159">
      <c r="F10159" s="17"/>
    </row>
    <row r="10160">
      <c r="F10160" s="17"/>
    </row>
    <row r="10161">
      <c r="F10161" s="17"/>
    </row>
    <row r="10162">
      <c r="F10162" s="17"/>
    </row>
    <row r="10163">
      <c r="F10163" s="17"/>
    </row>
    <row r="10164">
      <c r="F10164" s="17"/>
    </row>
    <row r="10165">
      <c r="F10165" s="17"/>
    </row>
    <row r="10166">
      <c r="F10166" s="17"/>
    </row>
    <row r="10167">
      <c r="F10167" s="17"/>
    </row>
    <row r="10168">
      <c r="F10168" s="17"/>
    </row>
    <row r="10169">
      <c r="F10169" s="17"/>
    </row>
    <row r="10170">
      <c r="F10170" s="17"/>
    </row>
    <row r="10171">
      <c r="F10171" s="17"/>
    </row>
    <row r="10172">
      <c r="F10172" s="17"/>
    </row>
    <row r="10173">
      <c r="F10173" s="17"/>
    </row>
    <row r="10174">
      <c r="F10174" s="17"/>
    </row>
    <row r="10175">
      <c r="F10175" s="17"/>
    </row>
    <row r="10176">
      <c r="F10176" s="17"/>
    </row>
    <row r="10177">
      <c r="F10177" s="17"/>
    </row>
    <row r="10178">
      <c r="F10178" s="17"/>
    </row>
    <row r="10179">
      <c r="F10179" s="17"/>
    </row>
    <row r="10180">
      <c r="F10180" s="17"/>
    </row>
    <row r="10181">
      <c r="F10181" s="17"/>
    </row>
    <row r="10182">
      <c r="F10182" s="17"/>
    </row>
    <row r="10183">
      <c r="F10183" s="17"/>
    </row>
    <row r="10184">
      <c r="F10184" s="17"/>
    </row>
    <row r="10185">
      <c r="F10185" s="17"/>
    </row>
    <row r="10186">
      <c r="F10186" s="17"/>
    </row>
    <row r="10187">
      <c r="F10187" s="17"/>
    </row>
    <row r="10188">
      <c r="F10188" s="17"/>
    </row>
    <row r="10189">
      <c r="F10189" s="17"/>
    </row>
    <row r="10190">
      <c r="F10190" s="17"/>
    </row>
    <row r="10191">
      <c r="F10191" s="17"/>
    </row>
    <row r="10192">
      <c r="F10192" s="17"/>
    </row>
    <row r="10193">
      <c r="F10193" s="17"/>
    </row>
    <row r="10194">
      <c r="F10194" s="17"/>
    </row>
    <row r="10195">
      <c r="F10195" s="17"/>
    </row>
    <row r="10196">
      <c r="F10196" s="17"/>
    </row>
    <row r="10197">
      <c r="F10197" s="17"/>
    </row>
    <row r="10198">
      <c r="F10198" s="17"/>
    </row>
    <row r="10199">
      <c r="F10199" s="17"/>
    </row>
    <row r="10200">
      <c r="F10200" s="17"/>
    </row>
    <row r="10201">
      <c r="F10201" s="17"/>
    </row>
    <row r="10202">
      <c r="F10202" s="17"/>
    </row>
    <row r="10203">
      <c r="F10203" s="17"/>
    </row>
    <row r="10204">
      <c r="F10204" s="17"/>
    </row>
    <row r="10205">
      <c r="F10205" s="17"/>
    </row>
    <row r="10206">
      <c r="F10206" s="17"/>
    </row>
    <row r="10207">
      <c r="F10207" s="17"/>
    </row>
    <row r="10208">
      <c r="F10208" s="17"/>
    </row>
    <row r="10209">
      <c r="F10209" s="17"/>
    </row>
    <row r="10210">
      <c r="F10210" s="17"/>
    </row>
    <row r="10211">
      <c r="F10211" s="17"/>
    </row>
    <row r="10212">
      <c r="F10212" s="17"/>
    </row>
    <row r="10213">
      <c r="F10213" s="17"/>
    </row>
    <row r="10214">
      <c r="F10214" s="17"/>
    </row>
    <row r="10215">
      <c r="F10215" s="17"/>
    </row>
    <row r="10216">
      <c r="F10216" s="17"/>
    </row>
    <row r="10217">
      <c r="F10217" s="17"/>
    </row>
    <row r="10218">
      <c r="F10218" s="17"/>
    </row>
    <row r="10219">
      <c r="F10219" s="17"/>
    </row>
    <row r="10220">
      <c r="F10220" s="17"/>
    </row>
    <row r="10221">
      <c r="F10221" s="17"/>
    </row>
    <row r="10222">
      <c r="F10222" s="17"/>
    </row>
    <row r="10223">
      <c r="F10223" s="17"/>
    </row>
    <row r="10224">
      <c r="F10224" s="17"/>
    </row>
    <row r="10225">
      <c r="F10225" s="17"/>
    </row>
    <row r="10226">
      <c r="F10226" s="17"/>
    </row>
    <row r="10227">
      <c r="F10227" s="17"/>
    </row>
    <row r="10228">
      <c r="F10228" s="17"/>
    </row>
    <row r="10229">
      <c r="F10229" s="17"/>
    </row>
    <row r="10230">
      <c r="F10230" s="17"/>
    </row>
    <row r="10231">
      <c r="F10231" s="17"/>
    </row>
    <row r="10232">
      <c r="F10232" s="17"/>
    </row>
    <row r="10233">
      <c r="F10233" s="17"/>
    </row>
    <row r="10234">
      <c r="F10234" s="17"/>
    </row>
    <row r="10235">
      <c r="F10235" s="17"/>
    </row>
    <row r="10236">
      <c r="F10236" s="17"/>
    </row>
    <row r="10237">
      <c r="F10237" s="17"/>
    </row>
    <row r="10238">
      <c r="F10238" s="17"/>
    </row>
    <row r="10239">
      <c r="F10239" s="17"/>
    </row>
    <row r="10240">
      <c r="F10240" s="17"/>
    </row>
    <row r="10241">
      <c r="F10241" s="17"/>
    </row>
    <row r="10242">
      <c r="F10242" s="17"/>
    </row>
    <row r="10243">
      <c r="F10243" s="17"/>
    </row>
    <row r="10244">
      <c r="F10244" s="17"/>
    </row>
    <row r="10245">
      <c r="F10245" s="17"/>
    </row>
    <row r="10246">
      <c r="F10246" s="17"/>
    </row>
    <row r="10247">
      <c r="F10247" s="17"/>
    </row>
    <row r="10248">
      <c r="F10248" s="17"/>
    </row>
    <row r="10249">
      <c r="F10249" s="17"/>
    </row>
    <row r="10250">
      <c r="F10250" s="17"/>
    </row>
    <row r="10251">
      <c r="F10251" s="17"/>
    </row>
    <row r="10252">
      <c r="F10252" s="17"/>
    </row>
    <row r="10253">
      <c r="F10253" s="17"/>
    </row>
    <row r="10254">
      <c r="F10254" s="17"/>
    </row>
    <row r="10255">
      <c r="F10255" s="17"/>
    </row>
    <row r="10256">
      <c r="F10256" s="17"/>
    </row>
    <row r="10257">
      <c r="F10257" s="17"/>
    </row>
    <row r="10258">
      <c r="F10258" s="17"/>
    </row>
    <row r="10259">
      <c r="F10259" s="17"/>
    </row>
    <row r="10260">
      <c r="F10260" s="17"/>
    </row>
    <row r="10261">
      <c r="F10261" s="17"/>
    </row>
    <row r="10262">
      <c r="F10262" s="17"/>
    </row>
    <row r="10263">
      <c r="F10263" s="17"/>
    </row>
    <row r="10264">
      <c r="F10264" s="17"/>
    </row>
    <row r="10265">
      <c r="F10265" s="17"/>
    </row>
    <row r="10266">
      <c r="F10266" s="17"/>
    </row>
    <row r="10267">
      <c r="F10267" s="17"/>
    </row>
    <row r="10268">
      <c r="F10268" s="17"/>
    </row>
    <row r="10269">
      <c r="F10269" s="17"/>
    </row>
    <row r="10270">
      <c r="F10270" s="17"/>
    </row>
    <row r="10271">
      <c r="F10271" s="17"/>
    </row>
    <row r="10272">
      <c r="F10272" s="17"/>
    </row>
    <row r="10273">
      <c r="F10273" s="17"/>
    </row>
    <row r="10274">
      <c r="F10274" s="17"/>
    </row>
    <row r="10275">
      <c r="F10275" s="17"/>
    </row>
    <row r="10276">
      <c r="F10276" s="17"/>
    </row>
    <row r="10277">
      <c r="F10277" s="17"/>
    </row>
    <row r="10278">
      <c r="F10278" s="17"/>
    </row>
    <row r="10279">
      <c r="F10279" s="17"/>
    </row>
    <row r="10280">
      <c r="F10280" s="17"/>
    </row>
    <row r="10281">
      <c r="F10281" s="17"/>
    </row>
    <row r="10282">
      <c r="F10282" s="17"/>
    </row>
    <row r="10283">
      <c r="F10283" s="17"/>
    </row>
    <row r="10284">
      <c r="F10284" s="17"/>
    </row>
    <row r="10285">
      <c r="F10285" s="17"/>
    </row>
    <row r="10286">
      <c r="F10286" s="17"/>
    </row>
    <row r="10287">
      <c r="F10287" s="17"/>
    </row>
    <row r="10288">
      <c r="F10288" s="17"/>
    </row>
    <row r="10289">
      <c r="F10289" s="17"/>
    </row>
    <row r="10290">
      <c r="F10290" s="17"/>
    </row>
    <row r="10291">
      <c r="F10291" s="17"/>
    </row>
    <row r="10292">
      <c r="F10292" s="17"/>
    </row>
    <row r="10293">
      <c r="F10293" s="17"/>
    </row>
    <row r="10294">
      <c r="F10294" s="17"/>
    </row>
    <row r="10295">
      <c r="F10295" s="17"/>
    </row>
    <row r="10296">
      <c r="F10296" s="17"/>
    </row>
    <row r="10297">
      <c r="F10297" s="17"/>
    </row>
    <row r="10298">
      <c r="F10298" s="17"/>
    </row>
    <row r="10299">
      <c r="F10299" s="17"/>
    </row>
    <row r="10300">
      <c r="F10300" s="17"/>
    </row>
    <row r="10301">
      <c r="F10301" s="17"/>
    </row>
    <row r="10302">
      <c r="F10302" s="17"/>
    </row>
    <row r="10303">
      <c r="F10303" s="17"/>
    </row>
    <row r="10304">
      <c r="F10304" s="17"/>
    </row>
    <row r="10305">
      <c r="F10305" s="17"/>
    </row>
    <row r="10306">
      <c r="F10306" s="17"/>
    </row>
    <row r="10307">
      <c r="F10307" s="17"/>
    </row>
    <row r="10308">
      <c r="F10308" s="17"/>
    </row>
    <row r="10309">
      <c r="F10309" s="17"/>
    </row>
    <row r="10310">
      <c r="F10310" s="17"/>
    </row>
    <row r="10311">
      <c r="F10311" s="17"/>
    </row>
    <row r="10312">
      <c r="F10312" s="17"/>
    </row>
    <row r="10313">
      <c r="F10313" s="17"/>
    </row>
    <row r="10314">
      <c r="F10314" s="17"/>
    </row>
    <row r="10315">
      <c r="F10315" s="17"/>
    </row>
    <row r="10316">
      <c r="F10316" s="17"/>
    </row>
    <row r="10317">
      <c r="F10317" s="17"/>
    </row>
    <row r="10318">
      <c r="F10318" s="17"/>
    </row>
    <row r="10319">
      <c r="F10319" s="17"/>
    </row>
    <row r="10320">
      <c r="F10320" s="17"/>
    </row>
    <row r="10321">
      <c r="F10321" s="17"/>
    </row>
    <row r="10322">
      <c r="F10322" s="17"/>
    </row>
    <row r="10323">
      <c r="F10323" s="17"/>
    </row>
    <row r="10324">
      <c r="F10324" s="17"/>
    </row>
    <row r="10325">
      <c r="F10325" s="17"/>
    </row>
    <row r="10326">
      <c r="F10326" s="17"/>
    </row>
    <row r="10327">
      <c r="F10327" s="17"/>
    </row>
    <row r="10328">
      <c r="F10328" s="17"/>
    </row>
    <row r="10329">
      <c r="F10329" s="17"/>
    </row>
    <row r="10330">
      <c r="F10330" s="17"/>
    </row>
    <row r="10331">
      <c r="F10331" s="17"/>
    </row>
    <row r="10332">
      <c r="F10332" s="17"/>
    </row>
    <row r="10333">
      <c r="F10333" s="17"/>
    </row>
    <row r="10334">
      <c r="F10334" s="17"/>
    </row>
    <row r="10335">
      <c r="F10335" s="17"/>
    </row>
    <row r="10336">
      <c r="F10336" s="17"/>
    </row>
    <row r="10337">
      <c r="F10337" s="17"/>
    </row>
    <row r="10338">
      <c r="F10338" s="17"/>
    </row>
    <row r="10339">
      <c r="F10339" s="17"/>
    </row>
    <row r="10340">
      <c r="F10340" s="17"/>
    </row>
    <row r="10341">
      <c r="F10341" s="17"/>
    </row>
    <row r="10342">
      <c r="F10342" s="17"/>
    </row>
    <row r="10343">
      <c r="F10343" s="17"/>
    </row>
    <row r="10344">
      <c r="F10344" s="17"/>
    </row>
    <row r="10345">
      <c r="F10345" s="17"/>
    </row>
    <row r="10346">
      <c r="F10346" s="17"/>
    </row>
    <row r="10347">
      <c r="F10347" s="17"/>
    </row>
    <row r="10348">
      <c r="F10348" s="17"/>
    </row>
    <row r="10349">
      <c r="F10349" s="17"/>
    </row>
    <row r="10350">
      <c r="F10350" s="17"/>
    </row>
    <row r="10351">
      <c r="F10351" s="17"/>
    </row>
    <row r="10352">
      <c r="F10352" s="17"/>
    </row>
    <row r="10353">
      <c r="F10353" s="17"/>
    </row>
    <row r="10354">
      <c r="F10354" s="17"/>
    </row>
    <row r="10355">
      <c r="F10355" s="17"/>
    </row>
    <row r="10356">
      <c r="F10356" s="17"/>
    </row>
    <row r="10357">
      <c r="F10357" s="17"/>
    </row>
    <row r="10358">
      <c r="F10358" s="17"/>
    </row>
    <row r="10359">
      <c r="F10359" s="17"/>
    </row>
    <row r="10360">
      <c r="F10360" s="17"/>
    </row>
    <row r="10361">
      <c r="F10361" s="17"/>
    </row>
    <row r="10362">
      <c r="F10362" s="17"/>
    </row>
    <row r="10363">
      <c r="F10363" s="17"/>
    </row>
    <row r="10364">
      <c r="F10364" s="17"/>
    </row>
    <row r="10365">
      <c r="F10365" s="17"/>
    </row>
    <row r="10366">
      <c r="F10366" s="17"/>
    </row>
    <row r="10367">
      <c r="F10367" s="17"/>
    </row>
    <row r="10368">
      <c r="F10368" s="17"/>
    </row>
    <row r="10369">
      <c r="F10369" s="17"/>
    </row>
    <row r="10370">
      <c r="F10370" s="17"/>
    </row>
    <row r="10371">
      <c r="F10371" s="17"/>
    </row>
    <row r="10372">
      <c r="F10372" s="17"/>
    </row>
    <row r="10373">
      <c r="F10373" s="17"/>
    </row>
    <row r="10374">
      <c r="F10374" s="17"/>
    </row>
    <row r="10375">
      <c r="F10375" s="17"/>
    </row>
    <row r="10376">
      <c r="F10376" s="17"/>
    </row>
    <row r="10377">
      <c r="F10377" s="17"/>
    </row>
    <row r="10378">
      <c r="F10378" s="17"/>
    </row>
    <row r="10379">
      <c r="F10379" s="17"/>
    </row>
    <row r="10380">
      <c r="F10380" s="17"/>
    </row>
    <row r="10381">
      <c r="F10381" s="17"/>
    </row>
    <row r="10382">
      <c r="F10382" s="17"/>
    </row>
    <row r="10383">
      <c r="F10383" s="17"/>
    </row>
    <row r="10384">
      <c r="F10384" s="17"/>
    </row>
    <row r="10385">
      <c r="F10385" s="17"/>
    </row>
    <row r="10386">
      <c r="F10386" s="17"/>
    </row>
    <row r="10387">
      <c r="F10387" s="17"/>
    </row>
    <row r="10388">
      <c r="F10388" s="17"/>
    </row>
    <row r="10389">
      <c r="F10389" s="17"/>
    </row>
    <row r="10390">
      <c r="F10390" s="17"/>
    </row>
    <row r="10391">
      <c r="F10391" s="17"/>
    </row>
    <row r="10392">
      <c r="F10392" s="17"/>
    </row>
    <row r="10393">
      <c r="F10393" s="17"/>
    </row>
    <row r="10394">
      <c r="F10394" s="17"/>
    </row>
    <row r="10395">
      <c r="F10395" s="17"/>
    </row>
    <row r="10396">
      <c r="F10396" s="17"/>
    </row>
    <row r="10397">
      <c r="F10397" s="17"/>
    </row>
    <row r="10398">
      <c r="F10398" s="17"/>
    </row>
    <row r="10399">
      <c r="F10399" s="17"/>
    </row>
    <row r="10400">
      <c r="F10400" s="17"/>
    </row>
    <row r="10401">
      <c r="F10401" s="17"/>
    </row>
    <row r="10402">
      <c r="F10402" s="17"/>
    </row>
    <row r="10403">
      <c r="F10403" s="17"/>
    </row>
    <row r="10404">
      <c r="F10404" s="17"/>
    </row>
    <row r="10405">
      <c r="F10405" s="17"/>
    </row>
    <row r="10406">
      <c r="F10406" s="17"/>
    </row>
    <row r="10407">
      <c r="F10407" s="17"/>
    </row>
    <row r="10408">
      <c r="F10408" s="17"/>
    </row>
    <row r="10409">
      <c r="F10409" s="17"/>
    </row>
    <row r="10410">
      <c r="F10410" s="17"/>
    </row>
    <row r="10411">
      <c r="F10411" s="17"/>
    </row>
    <row r="10412">
      <c r="F10412" s="17"/>
    </row>
    <row r="10413">
      <c r="F10413" s="17"/>
    </row>
    <row r="10414">
      <c r="F10414" s="17"/>
    </row>
    <row r="10415">
      <c r="F10415" s="17"/>
    </row>
    <row r="10416">
      <c r="F10416" s="17"/>
    </row>
    <row r="10417">
      <c r="F10417" s="17"/>
    </row>
    <row r="10418">
      <c r="F10418" s="17"/>
    </row>
    <row r="10419">
      <c r="F10419" s="17"/>
    </row>
    <row r="10420">
      <c r="F10420" s="17"/>
    </row>
    <row r="10421">
      <c r="F10421" s="17"/>
    </row>
    <row r="10422">
      <c r="F10422" s="17"/>
    </row>
    <row r="10423">
      <c r="F10423" s="17"/>
    </row>
    <row r="10424">
      <c r="F10424" s="17"/>
    </row>
    <row r="10425">
      <c r="F10425" s="17"/>
    </row>
    <row r="10426">
      <c r="F10426" s="17"/>
    </row>
    <row r="10427">
      <c r="F10427" s="17"/>
    </row>
    <row r="10428">
      <c r="F10428" s="17"/>
    </row>
    <row r="10429">
      <c r="F10429" s="17"/>
    </row>
    <row r="10430">
      <c r="F10430" s="17"/>
    </row>
    <row r="10431">
      <c r="F10431" s="17"/>
    </row>
    <row r="10432">
      <c r="F10432" s="17"/>
    </row>
    <row r="10433">
      <c r="F10433" s="17"/>
    </row>
    <row r="10434">
      <c r="F10434" s="17"/>
    </row>
    <row r="10435">
      <c r="F10435" s="17"/>
    </row>
    <row r="10436">
      <c r="F10436" s="17"/>
    </row>
    <row r="10437">
      <c r="F10437" s="17"/>
    </row>
    <row r="10438">
      <c r="F10438" s="17"/>
    </row>
    <row r="10439">
      <c r="F10439" s="17"/>
    </row>
    <row r="10440">
      <c r="F10440" s="17"/>
    </row>
    <row r="10441">
      <c r="F10441" s="17"/>
    </row>
    <row r="10442">
      <c r="F10442" s="17"/>
    </row>
    <row r="10443">
      <c r="F10443" s="17"/>
    </row>
    <row r="10444">
      <c r="F10444" s="17"/>
    </row>
    <row r="10445">
      <c r="F10445" s="17"/>
    </row>
    <row r="10446">
      <c r="F10446" s="17"/>
    </row>
    <row r="10447">
      <c r="F10447" s="17"/>
    </row>
    <row r="10448">
      <c r="F10448" s="17"/>
    </row>
    <row r="10449">
      <c r="F10449" s="17"/>
    </row>
    <row r="10450">
      <c r="F10450" s="17"/>
    </row>
    <row r="10451">
      <c r="F10451" s="17"/>
    </row>
    <row r="10452">
      <c r="F10452" s="17"/>
    </row>
    <row r="10453">
      <c r="F10453" s="17"/>
    </row>
    <row r="10454">
      <c r="F10454" s="17"/>
    </row>
    <row r="10455">
      <c r="F10455" s="17"/>
    </row>
    <row r="10456">
      <c r="F10456" s="17"/>
    </row>
    <row r="10457">
      <c r="F10457" s="17"/>
    </row>
    <row r="10458">
      <c r="F10458" s="17"/>
    </row>
    <row r="10459">
      <c r="F10459" s="17"/>
    </row>
    <row r="10460">
      <c r="F10460" s="17"/>
    </row>
    <row r="10461">
      <c r="F10461" s="17"/>
    </row>
    <row r="10462">
      <c r="F10462" s="17"/>
    </row>
    <row r="10463">
      <c r="F10463" s="17"/>
    </row>
    <row r="10464">
      <c r="F10464" s="17"/>
    </row>
    <row r="10465">
      <c r="F10465" s="17"/>
    </row>
    <row r="10466">
      <c r="F10466" s="17"/>
    </row>
    <row r="10467">
      <c r="F10467" s="17"/>
    </row>
    <row r="10468">
      <c r="F10468" s="17"/>
    </row>
    <row r="10469">
      <c r="F10469" s="17"/>
    </row>
    <row r="10470">
      <c r="F10470" s="17"/>
    </row>
    <row r="10471">
      <c r="F10471" s="17"/>
    </row>
    <row r="10472">
      <c r="F10472" s="17"/>
    </row>
    <row r="10473">
      <c r="F10473" s="17"/>
    </row>
    <row r="10474">
      <c r="F10474" s="17"/>
    </row>
    <row r="10475">
      <c r="F10475" s="17"/>
    </row>
    <row r="10476">
      <c r="F10476" s="17"/>
    </row>
    <row r="10477">
      <c r="F10477" s="17"/>
    </row>
    <row r="10478">
      <c r="F10478" s="17"/>
    </row>
    <row r="10479">
      <c r="F10479" s="17"/>
    </row>
    <row r="10480">
      <c r="F10480" s="17"/>
    </row>
    <row r="10481">
      <c r="F10481" s="17"/>
    </row>
    <row r="10482">
      <c r="F10482" s="17"/>
    </row>
    <row r="10483">
      <c r="F10483" s="17"/>
    </row>
    <row r="10484">
      <c r="F10484" s="17"/>
    </row>
    <row r="10485">
      <c r="F10485" s="17"/>
    </row>
    <row r="10486">
      <c r="F10486" s="17"/>
    </row>
    <row r="10487">
      <c r="F10487" s="17"/>
    </row>
    <row r="10488">
      <c r="F10488" s="17"/>
    </row>
    <row r="10489">
      <c r="F10489" s="17"/>
    </row>
    <row r="10490">
      <c r="F10490" s="17"/>
    </row>
    <row r="10491">
      <c r="F10491" s="17"/>
    </row>
    <row r="10492">
      <c r="F10492" s="17"/>
    </row>
    <row r="10493">
      <c r="F10493" s="17"/>
    </row>
    <row r="10494">
      <c r="F10494" s="17"/>
    </row>
    <row r="10495">
      <c r="F10495" s="17"/>
    </row>
    <row r="10496">
      <c r="F10496" s="17"/>
    </row>
    <row r="10497">
      <c r="F10497" s="17"/>
    </row>
    <row r="10498">
      <c r="F10498" s="17"/>
    </row>
    <row r="10499">
      <c r="F10499" s="17"/>
    </row>
    <row r="10500">
      <c r="F10500" s="17"/>
    </row>
    <row r="10501">
      <c r="F10501" s="17"/>
    </row>
    <row r="10502">
      <c r="F10502" s="17"/>
    </row>
    <row r="10503">
      <c r="F10503" s="17"/>
    </row>
    <row r="10504">
      <c r="F10504" s="17"/>
    </row>
    <row r="10505">
      <c r="F10505" s="17"/>
    </row>
    <row r="10506">
      <c r="F10506" s="17"/>
    </row>
    <row r="10507">
      <c r="F10507" s="17"/>
    </row>
    <row r="10508">
      <c r="F10508" s="17"/>
    </row>
    <row r="10509">
      <c r="F10509" s="17"/>
    </row>
    <row r="10510">
      <c r="F10510" s="17"/>
    </row>
    <row r="10511">
      <c r="F10511" s="17"/>
    </row>
    <row r="10512">
      <c r="F10512" s="17"/>
    </row>
    <row r="10513">
      <c r="F10513" s="17"/>
    </row>
    <row r="10514">
      <c r="F10514" s="17"/>
    </row>
    <row r="10515">
      <c r="F10515" s="17"/>
    </row>
    <row r="10516">
      <c r="F10516" s="17"/>
    </row>
    <row r="10517">
      <c r="F10517" s="17"/>
    </row>
    <row r="10518">
      <c r="F10518" s="17"/>
    </row>
    <row r="10519">
      <c r="F10519" s="17"/>
    </row>
    <row r="10520">
      <c r="F10520" s="17"/>
    </row>
    <row r="10521">
      <c r="F10521" s="17"/>
    </row>
    <row r="10522">
      <c r="F10522" s="17"/>
    </row>
    <row r="10523">
      <c r="F10523" s="17"/>
    </row>
    <row r="10524">
      <c r="F10524" s="17"/>
    </row>
    <row r="10525">
      <c r="F10525" s="17"/>
    </row>
    <row r="10526">
      <c r="F10526" s="17"/>
    </row>
    <row r="10527">
      <c r="F10527" s="17"/>
    </row>
    <row r="10528">
      <c r="F10528" s="17"/>
    </row>
    <row r="10529">
      <c r="F10529" s="17"/>
    </row>
    <row r="10530">
      <c r="F10530" s="17"/>
    </row>
    <row r="10531">
      <c r="F10531" s="17"/>
    </row>
    <row r="10532">
      <c r="F10532" s="17"/>
    </row>
    <row r="10533">
      <c r="F10533" s="17"/>
    </row>
    <row r="10534">
      <c r="F10534" s="17"/>
    </row>
    <row r="10535">
      <c r="F10535" s="17"/>
    </row>
    <row r="10536">
      <c r="F10536" s="17"/>
    </row>
    <row r="10537">
      <c r="F10537" s="17"/>
    </row>
    <row r="10538">
      <c r="F10538" s="17"/>
    </row>
    <row r="10539">
      <c r="F10539" s="17"/>
    </row>
    <row r="10540">
      <c r="F10540" s="17"/>
    </row>
    <row r="10541">
      <c r="F10541" s="17"/>
    </row>
    <row r="10542">
      <c r="F10542" s="17"/>
    </row>
    <row r="10543">
      <c r="F10543" s="17"/>
    </row>
    <row r="10544">
      <c r="F10544" s="17"/>
    </row>
    <row r="10545">
      <c r="F10545" s="17"/>
    </row>
    <row r="10546">
      <c r="F10546" s="17"/>
    </row>
    <row r="10547">
      <c r="F10547" s="17"/>
    </row>
    <row r="10548">
      <c r="F10548" s="17"/>
    </row>
    <row r="10549">
      <c r="F10549" s="17"/>
    </row>
    <row r="10550">
      <c r="F10550" s="17"/>
    </row>
    <row r="10551">
      <c r="F10551" s="17"/>
    </row>
    <row r="10552">
      <c r="F10552" s="17"/>
    </row>
    <row r="10553">
      <c r="F10553" s="17"/>
    </row>
    <row r="10554">
      <c r="F10554" s="17"/>
    </row>
    <row r="10555">
      <c r="F10555" s="17"/>
    </row>
    <row r="10556">
      <c r="F10556" s="17"/>
    </row>
    <row r="10557">
      <c r="F10557" s="17"/>
    </row>
    <row r="10558">
      <c r="F10558" s="17"/>
    </row>
    <row r="10559">
      <c r="F10559" s="17"/>
    </row>
    <row r="10560">
      <c r="F10560" s="17"/>
    </row>
    <row r="10561">
      <c r="F10561" s="17"/>
    </row>
    <row r="10562">
      <c r="F10562" s="17"/>
    </row>
    <row r="10563">
      <c r="F10563" s="17"/>
    </row>
    <row r="10564">
      <c r="F10564" s="17"/>
    </row>
    <row r="10565">
      <c r="F10565" s="17"/>
    </row>
    <row r="10566">
      <c r="F10566" s="17"/>
    </row>
    <row r="10567">
      <c r="F10567" s="17"/>
    </row>
    <row r="10568">
      <c r="F10568" s="17"/>
    </row>
    <row r="10569">
      <c r="F10569" s="17"/>
    </row>
    <row r="10570">
      <c r="F10570" s="17"/>
    </row>
    <row r="10571">
      <c r="F10571" s="17"/>
    </row>
    <row r="10572">
      <c r="F10572" s="17"/>
    </row>
    <row r="10573">
      <c r="F10573" s="17"/>
    </row>
    <row r="10574">
      <c r="F10574" s="17"/>
    </row>
    <row r="10575">
      <c r="F10575" s="17"/>
    </row>
    <row r="10576">
      <c r="F10576" s="17"/>
    </row>
    <row r="10577">
      <c r="F10577" s="17"/>
    </row>
    <row r="10578">
      <c r="F10578" s="17"/>
    </row>
    <row r="10579">
      <c r="F10579" s="17"/>
    </row>
    <row r="10580">
      <c r="F10580" s="17"/>
    </row>
    <row r="10581">
      <c r="F10581" s="17"/>
    </row>
    <row r="10582">
      <c r="F10582" s="17"/>
    </row>
    <row r="10583">
      <c r="F10583" s="17"/>
    </row>
    <row r="10584">
      <c r="F10584" s="17"/>
    </row>
    <row r="10585">
      <c r="F10585" s="17"/>
    </row>
    <row r="10586">
      <c r="F10586" s="17"/>
    </row>
    <row r="10587">
      <c r="F10587" s="17"/>
    </row>
    <row r="10588">
      <c r="F10588" s="17"/>
    </row>
    <row r="10589">
      <c r="F10589" s="17"/>
    </row>
    <row r="10590">
      <c r="F10590" s="17"/>
    </row>
    <row r="10591">
      <c r="F10591" s="17"/>
    </row>
    <row r="10592">
      <c r="F10592" s="17"/>
    </row>
    <row r="10593">
      <c r="F10593" s="17"/>
    </row>
    <row r="10594">
      <c r="F10594" s="17"/>
    </row>
    <row r="10595">
      <c r="F10595" s="17"/>
    </row>
    <row r="10596">
      <c r="F10596" s="17"/>
    </row>
    <row r="10597">
      <c r="F10597" s="17"/>
    </row>
    <row r="10598">
      <c r="F10598" s="17"/>
    </row>
    <row r="10599">
      <c r="F10599" s="17"/>
    </row>
    <row r="10600">
      <c r="F10600" s="17"/>
    </row>
    <row r="10601">
      <c r="F10601" s="17"/>
    </row>
    <row r="10602">
      <c r="F10602" s="17"/>
    </row>
    <row r="10603">
      <c r="F10603" s="17"/>
    </row>
    <row r="10604">
      <c r="F10604" s="17"/>
    </row>
    <row r="10605">
      <c r="F10605" s="17"/>
    </row>
    <row r="10606">
      <c r="F10606" s="17"/>
    </row>
    <row r="10607">
      <c r="F10607" s="17"/>
    </row>
    <row r="10608">
      <c r="F10608" s="17"/>
    </row>
    <row r="10609">
      <c r="F10609" s="17"/>
    </row>
    <row r="10610">
      <c r="F10610" s="17"/>
    </row>
    <row r="10611">
      <c r="F10611" s="17"/>
    </row>
    <row r="10612">
      <c r="F10612" s="17"/>
    </row>
    <row r="10613">
      <c r="F10613" s="17"/>
    </row>
    <row r="10614">
      <c r="F10614" s="17"/>
    </row>
    <row r="10615">
      <c r="F10615" s="17"/>
    </row>
    <row r="10616">
      <c r="F10616" s="17"/>
    </row>
    <row r="10617">
      <c r="F10617" s="17"/>
    </row>
    <row r="10618">
      <c r="F10618" s="17"/>
    </row>
    <row r="10619">
      <c r="F10619" s="17"/>
    </row>
    <row r="10620">
      <c r="F10620" s="17"/>
    </row>
    <row r="10621">
      <c r="F10621" s="17"/>
    </row>
    <row r="10622">
      <c r="F10622" s="17"/>
    </row>
    <row r="10623">
      <c r="F10623" s="17"/>
    </row>
    <row r="10624">
      <c r="F10624" s="17"/>
    </row>
    <row r="10625">
      <c r="F10625" s="17"/>
    </row>
    <row r="10626">
      <c r="F10626" s="17"/>
    </row>
    <row r="10627">
      <c r="F10627" s="17"/>
    </row>
    <row r="10628">
      <c r="F10628" s="17"/>
    </row>
    <row r="10629">
      <c r="F10629" s="17"/>
    </row>
    <row r="10630">
      <c r="F10630" s="17"/>
    </row>
    <row r="10631">
      <c r="F10631" s="17"/>
    </row>
    <row r="10632">
      <c r="F10632" s="17"/>
    </row>
    <row r="10633">
      <c r="F10633" s="17"/>
    </row>
    <row r="10634">
      <c r="F10634" s="17"/>
    </row>
    <row r="10635">
      <c r="F10635" s="17"/>
    </row>
    <row r="10636">
      <c r="F10636" s="17"/>
    </row>
    <row r="10637">
      <c r="F10637" s="17"/>
    </row>
    <row r="10638">
      <c r="F10638" s="17"/>
    </row>
    <row r="10639">
      <c r="F10639" s="17"/>
    </row>
    <row r="10640">
      <c r="F10640" s="17"/>
    </row>
    <row r="10641">
      <c r="F10641" s="17"/>
    </row>
    <row r="10642">
      <c r="F10642" s="17"/>
    </row>
    <row r="10643">
      <c r="F10643" s="17"/>
    </row>
    <row r="10644">
      <c r="F10644" s="17"/>
    </row>
    <row r="10645">
      <c r="F10645" s="17"/>
    </row>
    <row r="10646">
      <c r="F10646" s="17"/>
    </row>
    <row r="10647">
      <c r="F10647" s="17"/>
    </row>
    <row r="10648">
      <c r="F10648" s="17"/>
    </row>
    <row r="10649">
      <c r="F10649" s="17"/>
    </row>
    <row r="10650">
      <c r="F10650" s="17"/>
    </row>
    <row r="10651">
      <c r="F10651" s="17"/>
    </row>
    <row r="10652">
      <c r="F10652" s="17"/>
    </row>
    <row r="10653">
      <c r="F10653" s="17"/>
    </row>
    <row r="10654">
      <c r="F10654" s="17"/>
    </row>
    <row r="10655">
      <c r="F10655" s="17"/>
    </row>
    <row r="10656">
      <c r="F10656" s="17"/>
    </row>
    <row r="10657">
      <c r="F10657" s="17"/>
    </row>
    <row r="10658">
      <c r="F10658" s="17"/>
    </row>
    <row r="10659">
      <c r="F10659" s="17"/>
    </row>
    <row r="10660">
      <c r="F10660" s="17"/>
    </row>
    <row r="10661">
      <c r="F10661" s="17"/>
    </row>
    <row r="10662">
      <c r="F10662" s="17"/>
    </row>
    <row r="10663">
      <c r="F10663" s="17"/>
    </row>
    <row r="10664">
      <c r="F10664" s="17"/>
    </row>
    <row r="10665">
      <c r="F10665" s="17"/>
    </row>
    <row r="10666">
      <c r="F10666" s="17"/>
    </row>
    <row r="10667">
      <c r="F10667" s="17"/>
    </row>
    <row r="10668">
      <c r="F10668" s="17"/>
    </row>
    <row r="10669">
      <c r="F10669" s="17"/>
    </row>
    <row r="10670">
      <c r="F10670" s="17"/>
    </row>
    <row r="10671">
      <c r="F10671" s="17"/>
    </row>
    <row r="10672">
      <c r="F10672" s="17"/>
    </row>
    <row r="10673">
      <c r="F10673" s="17"/>
    </row>
    <row r="10674">
      <c r="F10674" s="17"/>
    </row>
    <row r="10675">
      <c r="F10675" s="17"/>
    </row>
    <row r="10676">
      <c r="F10676" s="17"/>
    </row>
    <row r="10677">
      <c r="F10677" s="17"/>
    </row>
    <row r="10678">
      <c r="F10678" s="17"/>
    </row>
    <row r="10679">
      <c r="F10679" s="17"/>
    </row>
    <row r="10680">
      <c r="F10680" s="17"/>
    </row>
    <row r="10681">
      <c r="F10681" s="17"/>
    </row>
    <row r="10682">
      <c r="F10682" s="17"/>
    </row>
    <row r="10683">
      <c r="F10683" s="17"/>
    </row>
    <row r="10684">
      <c r="F10684" s="17"/>
    </row>
    <row r="10685">
      <c r="F10685" s="17"/>
    </row>
    <row r="10686">
      <c r="F10686" s="17"/>
    </row>
    <row r="10687">
      <c r="F10687" s="17"/>
    </row>
    <row r="10688">
      <c r="F10688" s="17"/>
    </row>
    <row r="10689">
      <c r="F10689" s="17"/>
    </row>
    <row r="10690">
      <c r="F10690" s="17"/>
    </row>
    <row r="10691">
      <c r="F10691" s="17"/>
    </row>
    <row r="10692">
      <c r="F10692" s="17"/>
    </row>
    <row r="10693">
      <c r="F10693" s="17"/>
    </row>
    <row r="10694">
      <c r="F10694" s="17"/>
    </row>
    <row r="10695">
      <c r="F10695" s="17"/>
    </row>
    <row r="10696">
      <c r="F10696" s="17"/>
    </row>
    <row r="10697">
      <c r="F10697" s="17"/>
    </row>
    <row r="10698">
      <c r="F10698" s="17"/>
    </row>
    <row r="10699">
      <c r="F10699" s="17"/>
    </row>
    <row r="10700">
      <c r="F10700" s="17"/>
    </row>
    <row r="10701">
      <c r="F10701" s="17"/>
    </row>
    <row r="10702">
      <c r="F10702" s="17"/>
    </row>
    <row r="10703">
      <c r="F10703" s="17"/>
    </row>
    <row r="10704">
      <c r="F10704" s="17"/>
    </row>
    <row r="10705">
      <c r="F10705" s="17"/>
    </row>
    <row r="10706">
      <c r="F10706" s="17"/>
    </row>
    <row r="10707">
      <c r="F10707" s="17"/>
    </row>
    <row r="10708">
      <c r="F10708" s="17"/>
    </row>
    <row r="10709">
      <c r="F10709" s="17"/>
    </row>
    <row r="10710">
      <c r="F10710" s="17"/>
    </row>
    <row r="10711">
      <c r="F10711" s="17"/>
    </row>
    <row r="10712">
      <c r="F10712" s="17"/>
    </row>
    <row r="10713">
      <c r="F10713" s="17"/>
    </row>
    <row r="10714">
      <c r="F10714" s="17"/>
    </row>
    <row r="10715">
      <c r="F10715" s="17"/>
    </row>
    <row r="10716">
      <c r="F10716" s="17"/>
    </row>
    <row r="10717">
      <c r="F10717" s="17"/>
    </row>
    <row r="10718">
      <c r="F10718" s="17"/>
    </row>
    <row r="10719">
      <c r="F10719" s="17"/>
    </row>
    <row r="10720">
      <c r="F10720" s="17"/>
    </row>
    <row r="10721">
      <c r="F10721" s="17"/>
    </row>
    <row r="10722">
      <c r="F10722" s="17"/>
    </row>
    <row r="10723">
      <c r="F10723" s="17"/>
    </row>
    <row r="10724">
      <c r="F10724" s="17"/>
    </row>
    <row r="10725">
      <c r="F10725" s="17"/>
    </row>
    <row r="10726">
      <c r="F10726" s="17"/>
    </row>
    <row r="10727">
      <c r="F10727" s="17"/>
    </row>
    <row r="10728">
      <c r="F10728" s="17"/>
    </row>
    <row r="10729">
      <c r="F10729" s="17"/>
    </row>
    <row r="10730">
      <c r="F10730" s="17"/>
    </row>
    <row r="10731">
      <c r="F10731" s="17"/>
    </row>
    <row r="10732">
      <c r="F10732" s="17"/>
    </row>
    <row r="10733">
      <c r="F10733" s="17"/>
    </row>
    <row r="10734">
      <c r="F10734" s="17"/>
    </row>
    <row r="10735">
      <c r="F10735" s="17"/>
    </row>
    <row r="10736">
      <c r="F10736" s="17"/>
    </row>
    <row r="10737">
      <c r="F10737" s="17"/>
    </row>
    <row r="10738">
      <c r="F10738" s="17"/>
    </row>
    <row r="10739">
      <c r="F10739" s="17"/>
    </row>
    <row r="10740">
      <c r="F10740" s="17"/>
    </row>
    <row r="10741">
      <c r="F10741" s="17"/>
    </row>
    <row r="10742">
      <c r="F10742" s="17"/>
    </row>
    <row r="10743">
      <c r="F10743" s="17"/>
    </row>
    <row r="10744">
      <c r="F10744" s="17"/>
    </row>
    <row r="10745">
      <c r="F10745" s="17"/>
    </row>
    <row r="10746">
      <c r="F10746" s="17"/>
    </row>
    <row r="10747">
      <c r="F10747" s="17"/>
    </row>
    <row r="10748">
      <c r="F10748" s="17"/>
    </row>
    <row r="10749">
      <c r="F10749" s="17"/>
    </row>
    <row r="10750">
      <c r="F10750" s="17"/>
    </row>
    <row r="10751">
      <c r="F10751" s="17"/>
    </row>
    <row r="10752">
      <c r="F10752" s="17"/>
    </row>
    <row r="10753">
      <c r="F10753" s="17"/>
    </row>
    <row r="10754">
      <c r="F10754" s="17"/>
    </row>
    <row r="10755">
      <c r="F10755" s="17"/>
    </row>
    <row r="10756">
      <c r="F10756" s="17"/>
    </row>
    <row r="10757">
      <c r="F10757" s="17"/>
    </row>
    <row r="10758">
      <c r="F10758" s="17"/>
    </row>
    <row r="10759">
      <c r="F10759" s="17"/>
    </row>
    <row r="10760">
      <c r="F10760" s="17"/>
    </row>
    <row r="10761">
      <c r="F10761" s="17"/>
    </row>
    <row r="10762">
      <c r="F10762" s="17"/>
    </row>
    <row r="10763">
      <c r="F10763" s="17"/>
    </row>
    <row r="10764">
      <c r="F10764" s="17"/>
    </row>
    <row r="10765">
      <c r="F10765" s="17"/>
    </row>
    <row r="10766">
      <c r="F10766" s="17"/>
    </row>
    <row r="10767">
      <c r="F10767" s="17"/>
    </row>
    <row r="10768">
      <c r="F10768" s="17"/>
    </row>
    <row r="10769">
      <c r="F10769" s="17"/>
    </row>
    <row r="10770">
      <c r="F10770" s="17"/>
    </row>
    <row r="10771">
      <c r="F10771" s="17"/>
    </row>
    <row r="10772">
      <c r="F10772" s="17"/>
    </row>
    <row r="10773">
      <c r="F10773" s="17"/>
    </row>
    <row r="10774">
      <c r="F10774" s="17"/>
    </row>
    <row r="10775">
      <c r="F10775" s="17"/>
    </row>
    <row r="10776">
      <c r="F10776" s="17"/>
    </row>
    <row r="10777">
      <c r="F10777" s="17"/>
    </row>
    <row r="10778">
      <c r="F10778" s="17"/>
    </row>
    <row r="10779">
      <c r="F10779" s="17"/>
    </row>
    <row r="10780">
      <c r="F10780" s="17"/>
    </row>
    <row r="10781">
      <c r="F10781" s="17"/>
    </row>
    <row r="10782">
      <c r="F10782" s="17"/>
    </row>
    <row r="10783">
      <c r="F10783" s="17"/>
    </row>
    <row r="10784">
      <c r="F10784" s="17"/>
    </row>
    <row r="10785">
      <c r="F10785" s="17"/>
    </row>
    <row r="10786">
      <c r="F10786" s="17"/>
    </row>
    <row r="10787">
      <c r="F10787" s="17"/>
    </row>
    <row r="10788">
      <c r="F10788" s="17"/>
    </row>
    <row r="10789">
      <c r="F10789" s="17"/>
    </row>
    <row r="10790">
      <c r="F10790" s="17"/>
    </row>
    <row r="10791">
      <c r="F10791" s="17"/>
    </row>
    <row r="10792">
      <c r="F10792" s="17"/>
    </row>
    <row r="10793">
      <c r="F10793" s="17"/>
    </row>
    <row r="10794">
      <c r="F10794" s="17"/>
    </row>
    <row r="10795">
      <c r="F10795" s="17"/>
    </row>
    <row r="10796">
      <c r="F10796" s="17"/>
    </row>
    <row r="10797">
      <c r="F10797" s="17"/>
    </row>
    <row r="10798">
      <c r="F10798" s="17"/>
    </row>
    <row r="10799">
      <c r="F10799" s="17"/>
    </row>
    <row r="10800">
      <c r="F10800" s="17"/>
    </row>
    <row r="10801">
      <c r="F10801" s="17"/>
    </row>
    <row r="10802">
      <c r="F10802" s="17"/>
    </row>
    <row r="10803">
      <c r="F10803" s="17"/>
    </row>
    <row r="10804">
      <c r="F10804" s="17"/>
    </row>
    <row r="10805">
      <c r="F10805" s="17"/>
    </row>
    <row r="10806">
      <c r="F10806" s="17"/>
    </row>
    <row r="10807">
      <c r="F10807" s="17"/>
    </row>
    <row r="10808">
      <c r="F10808" s="17"/>
    </row>
    <row r="10809">
      <c r="F10809" s="17"/>
    </row>
    <row r="10810">
      <c r="F10810" s="17"/>
    </row>
    <row r="10811">
      <c r="F10811" s="17"/>
    </row>
    <row r="10812">
      <c r="F10812" s="17"/>
    </row>
    <row r="10813">
      <c r="F10813" s="17"/>
    </row>
    <row r="10814">
      <c r="F10814" s="17"/>
    </row>
    <row r="10815">
      <c r="F10815" s="17"/>
    </row>
    <row r="10816">
      <c r="F10816" s="17"/>
    </row>
    <row r="10817">
      <c r="F10817" s="17"/>
    </row>
    <row r="10818">
      <c r="F10818" s="17"/>
    </row>
    <row r="10819">
      <c r="F10819" s="17"/>
    </row>
    <row r="10820">
      <c r="F10820" s="17"/>
    </row>
    <row r="10821">
      <c r="F10821" s="17"/>
    </row>
    <row r="10822">
      <c r="F10822" s="17"/>
    </row>
    <row r="10823">
      <c r="F10823" s="17"/>
    </row>
    <row r="10824">
      <c r="F10824" s="17"/>
    </row>
    <row r="10825">
      <c r="F10825" s="17"/>
    </row>
    <row r="10826">
      <c r="F10826" s="17"/>
    </row>
    <row r="10827">
      <c r="F10827" s="17"/>
    </row>
    <row r="10828">
      <c r="F10828" s="17"/>
    </row>
    <row r="10829">
      <c r="F10829" s="17"/>
    </row>
    <row r="10830">
      <c r="F10830" s="17"/>
    </row>
    <row r="10831">
      <c r="F10831" s="17"/>
    </row>
    <row r="10832">
      <c r="F10832" s="17"/>
    </row>
    <row r="10833">
      <c r="F10833" s="17"/>
    </row>
    <row r="10834">
      <c r="F10834" s="17"/>
    </row>
    <row r="10835">
      <c r="F10835" s="17"/>
    </row>
    <row r="10836">
      <c r="F10836" s="17"/>
    </row>
    <row r="10837">
      <c r="F10837" s="17"/>
    </row>
    <row r="10838">
      <c r="F10838" s="17"/>
    </row>
    <row r="10839">
      <c r="F10839" s="17"/>
    </row>
    <row r="10840">
      <c r="F10840" s="17"/>
    </row>
    <row r="10841">
      <c r="F10841" s="17"/>
    </row>
    <row r="10842">
      <c r="F10842" s="17"/>
    </row>
    <row r="10843">
      <c r="F10843" s="17"/>
    </row>
    <row r="10844">
      <c r="F10844" s="17"/>
    </row>
    <row r="10845">
      <c r="F10845" s="17"/>
    </row>
    <row r="10846">
      <c r="F10846" s="17"/>
    </row>
    <row r="10847">
      <c r="F10847" s="17"/>
    </row>
    <row r="10848">
      <c r="F10848" s="17"/>
    </row>
    <row r="10849">
      <c r="F10849" s="17"/>
    </row>
    <row r="10850">
      <c r="F10850" s="17"/>
    </row>
    <row r="10851">
      <c r="F10851" s="17"/>
    </row>
    <row r="10852">
      <c r="F10852" s="17"/>
    </row>
    <row r="10853">
      <c r="F10853" s="17"/>
    </row>
    <row r="10854">
      <c r="F10854" s="17"/>
    </row>
    <row r="10855">
      <c r="F10855" s="17"/>
    </row>
    <row r="10856">
      <c r="F10856" s="17"/>
    </row>
    <row r="10857">
      <c r="F10857" s="17"/>
    </row>
    <row r="10858">
      <c r="F10858" s="17"/>
    </row>
    <row r="10859">
      <c r="F10859" s="17"/>
    </row>
    <row r="10860">
      <c r="F10860" s="17"/>
    </row>
    <row r="10861">
      <c r="F10861" s="17"/>
    </row>
    <row r="10862">
      <c r="F10862" s="17"/>
    </row>
    <row r="10863">
      <c r="F10863" s="17"/>
    </row>
    <row r="10864">
      <c r="F10864" s="17"/>
    </row>
    <row r="10865">
      <c r="F10865" s="17"/>
    </row>
    <row r="10866">
      <c r="F10866" s="17"/>
    </row>
    <row r="10867">
      <c r="F10867" s="17"/>
    </row>
    <row r="10868">
      <c r="F10868" s="17"/>
    </row>
    <row r="10869">
      <c r="F10869" s="17"/>
    </row>
    <row r="10870">
      <c r="F10870" s="17"/>
    </row>
    <row r="10871">
      <c r="F10871" s="17"/>
    </row>
    <row r="10872">
      <c r="F10872" s="17"/>
    </row>
    <row r="10873">
      <c r="F10873" s="17"/>
    </row>
    <row r="10874">
      <c r="F10874" s="17"/>
    </row>
    <row r="10875">
      <c r="F10875" s="17"/>
    </row>
    <row r="10876">
      <c r="F10876" s="17"/>
    </row>
    <row r="10877">
      <c r="F10877" s="17"/>
    </row>
    <row r="10878">
      <c r="F10878" s="17"/>
    </row>
    <row r="10879">
      <c r="F10879" s="17"/>
    </row>
    <row r="10880">
      <c r="F10880" s="17"/>
    </row>
    <row r="10881">
      <c r="F10881" s="17"/>
    </row>
    <row r="10882">
      <c r="F10882" s="17"/>
    </row>
    <row r="10883">
      <c r="F10883" s="17"/>
    </row>
    <row r="10884">
      <c r="F10884" s="17"/>
    </row>
    <row r="10885">
      <c r="F10885" s="17"/>
    </row>
    <row r="10886">
      <c r="F10886" s="17"/>
    </row>
    <row r="10887">
      <c r="F10887" s="17"/>
    </row>
    <row r="10888">
      <c r="F10888" s="17"/>
    </row>
    <row r="10889">
      <c r="F10889" s="17"/>
    </row>
    <row r="10890">
      <c r="F10890" s="17"/>
    </row>
    <row r="10891">
      <c r="F10891" s="17"/>
    </row>
    <row r="10892">
      <c r="F10892" s="17"/>
    </row>
    <row r="10893">
      <c r="F10893" s="17"/>
    </row>
    <row r="10894">
      <c r="F10894" s="17"/>
    </row>
    <row r="10895">
      <c r="F10895" s="17"/>
    </row>
    <row r="10896">
      <c r="F10896" s="17"/>
    </row>
    <row r="10897">
      <c r="F10897" s="17"/>
    </row>
    <row r="10898">
      <c r="F10898" s="17"/>
    </row>
    <row r="10899">
      <c r="F10899" s="17"/>
    </row>
    <row r="10900">
      <c r="F10900" s="17"/>
    </row>
    <row r="10901">
      <c r="F10901" s="17"/>
    </row>
    <row r="10902">
      <c r="F10902" s="17"/>
    </row>
    <row r="10903">
      <c r="F10903" s="17"/>
    </row>
    <row r="10904">
      <c r="F10904" s="17"/>
    </row>
    <row r="10905">
      <c r="F10905" s="17"/>
    </row>
    <row r="10906">
      <c r="F10906" s="17"/>
    </row>
    <row r="10907">
      <c r="F10907" s="17"/>
    </row>
    <row r="10908">
      <c r="F10908" s="17"/>
    </row>
    <row r="10909">
      <c r="F10909" s="17"/>
    </row>
    <row r="10910">
      <c r="F10910" s="17"/>
    </row>
    <row r="10911">
      <c r="F10911" s="17"/>
    </row>
    <row r="10912">
      <c r="F10912" s="17"/>
    </row>
    <row r="10913">
      <c r="F10913" s="17"/>
    </row>
    <row r="10914">
      <c r="F10914" s="17"/>
    </row>
    <row r="10915">
      <c r="F10915" s="17"/>
    </row>
    <row r="10916">
      <c r="F10916" s="17"/>
    </row>
    <row r="10917">
      <c r="F10917" s="17"/>
    </row>
    <row r="10918">
      <c r="F10918" s="17"/>
    </row>
    <row r="10919">
      <c r="F10919" s="17"/>
    </row>
    <row r="10920">
      <c r="F10920" s="17"/>
    </row>
    <row r="10921">
      <c r="F10921" s="17"/>
    </row>
    <row r="10922">
      <c r="F10922" s="17"/>
    </row>
    <row r="10923">
      <c r="F10923" s="17"/>
    </row>
    <row r="10924">
      <c r="F10924" s="17"/>
    </row>
    <row r="10925">
      <c r="F10925" s="17"/>
    </row>
    <row r="10926">
      <c r="F10926" s="17"/>
    </row>
    <row r="10927">
      <c r="F10927" s="17"/>
    </row>
    <row r="10928">
      <c r="F10928" s="17"/>
    </row>
    <row r="10929">
      <c r="F10929" s="17"/>
    </row>
    <row r="10930">
      <c r="F10930" s="17"/>
    </row>
    <row r="10931">
      <c r="F10931" s="17"/>
    </row>
    <row r="10932">
      <c r="F10932" s="17"/>
    </row>
    <row r="10933">
      <c r="F10933" s="17"/>
    </row>
    <row r="10934">
      <c r="F10934" s="17"/>
    </row>
    <row r="10935">
      <c r="F10935" s="17"/>
    </row>
    <row r="10936">
      <c r="F10936" s="17"/>
    </row>
    <row r="10937">
      <c r="F10937" s="17"/>
    </row>
    <row r="10938">
      <c r="F10938" s="17"/>
    </row>
    <row r="10939">
      <c r="F10939" s="17"/>
    </row>
    <row r="10940">
      <c r="F10940" s="17"/>
    </row>
    <row r="10941">
      <c r="F10941" s="17"/>
    </row>
    <row r="10942">
      <c r="F10942" s="17"/>
    </row>
    <row r="10943">
      <c r="F10943" s="17"/>
    </row>
    <row r="10944">
      <c r="F10944" s="17"/>
    </row>
    <row r="10945">
      <c r="F10945" s="17"/>
    </row>
    <row r="10946">
      <c r="F10946" s="17"/>
    </row>
    <row r="10947">
      <c r="F10947" s="17"/>
    </row>
    <row r="10948">
      <c r="F10948" s="17"/>
    </row>
    <row r="10949">
      <c r="F10949" s="17"/>
    </row>
    <row r="10950">
      <c r="F10950" s="17"/>
    </row>
    <row r="10951">
      <c r="F10951" s="17"/>
    </row>
    <row r="10952">
      <c r="F10952" s="17"/>
    </row>
    <row r="10953">
      <c r="F10953" s="17"/>
    </row>
    <row r="10954">
      <c r="F10954" s="17"/>
    </row>
    <row r="10955">
      <c r="F10955" s="17"/>
    </row>
    <row r="10956">
      <c r="F10956" s="17"/>
    </row>
    <row r="10957">
      <c r="F10957" s="17"/>
    </row>
    <row r="10958">
      <c r="F10958" s="17"/>
    </row>
    <row r="10959">
      <c r="F10959" s="17"/>
    </row>
    <row r="10960">
      <c r="F10960" s="17"/>
    </row>
    <row r="10961">
      <c r="F10961" s="17"/>
    </row>
    <row r="10962">
      <c r="F10962" s="17"/>
    </row>
    <row r="10963">
      <c r="F10963" s="17"/>
    </row>
    <row r="10964">
      <c r="F10964" s="17"/>
    </row>
    <row r="10965">
      <c r="F10965" s="17"/>
    </row>
    <row r="10966">
      <c r="F10966" s="17"/>
    </row>
    <row r="10967">
      <c r="F10967" s="17"/>
    </row>
    <row r="10968">
      <c r="F10968" s="17"/>
    </row>
    <row r="10969">
      <c r="F10969" s="17"/>
    </row>
    <row r="10970">
      <c r="F10970" s="17"/>
    </row>
    <row r="10971">
      <c r="F10971" s="17"/>
    </row>
    <row r="10972">
      <c r="F10972" s="17"/>
    </row>
    <row r="10973">
      <c r="F10973" s="17"/>
    </row>
    <row r="10974">
      <c r="F10974" s="17"/>
    </row>
    <row r="10975">
      <c r="F10975" s="17"/>
    </row>
    <row r="10976">
      <c r="F10976" s="17"/>
    </row>
    <row r="10977">
      <c r="F10977" s="17"/>
    </row>
    <row r="10978">
      <c r="F10978" s="17"/>
    </row>
    <row r="10979">
      <c r="F10979" s="17"/>
    </row>
    <row r="10980">
      <c r="F10980" s="17"/>
    </row>
    <row r="10981">
      <c r="F10981" s="17"/>
    </row>
    <row r="10982">
      <c r="F10982" s="17"/>
    </row>
    <row r="10983">
      <c r="F10983" s="17"/>
    </row>
    <row r="10984">
      <c r="F10984" s="17"/>
    </row>
    <row r="10985">
      <c r="F10985" s="17"/>
    </row>
    <row r="10986">
      <c r="F10986" s="17"/>
    </row>
    <row r="10987">
      <c r="F10987" s="17"/>
    </row>
    <row r="10988">
      <c r="F10988" s="17"/>
    </row>
    <row r="10989">
      <c r="F10989" s="17"/>
    </row>
    <row r="10990">
      <c r="F10990" s="17"/>
    </row>
    <row r="10991">
      <c r="F10991" s="17"/>
    </row>
    <row r="10992">
      <c r="F10992" s="17"/>
    </row>
    <row r="10993">
      <c r="F10993" s="17"/>
    </row>
    <row r="10994">
      <c r="F10994" s="17"/>
    </row>
    <row r="10995">
      <c r="F10995" s="17"/>
    </row>
    <row r="10996">
      <c r="F10996" s="17"/>
    </row>
    <row r="10997">
      <c r="F10997" s="17"/>
    </row>
    <row r="10998">
      <c r="F10998" s="17"/>
    </row>
    <row r="10999">
      <c r="F10999" s="17"/>
    </row>
    <row r="11000">
      <c r="F11000" s="17"/>
    </row>
    <row r="11001">
      <c r="F11001" s="17"/>
    </row>
    <row r="11002">
      <c r="F11002" s="17"/>
    </row>
    <row r="11003">
      <c r="F11003" s="17"/>
    </row>
    <row r="11004">
      <c r="F11004" s="17"/>
    </row>
    <row r="11005">
      <c r="F11005" s="17"/>
    </row>
    <row r="11006">
      <c r="F11006" s="17"/>
    </row>
    <row r="11007">
      <c r="F11007" s="17"/>
    </row>
    <row r="11008">
      <c r="F11008" s="17"/>
    </row>
    <row r="11009">
      <c r="F11009" s="17"/>
    </row>
    <row r="11010">
      <c r="F11010" s="17"/>
    </row>
    <row r="11011">
      <c r="F11011" s="17"/>
    </row>
    <row r="11012">
      <c r="F11012" s="17"/>
    </row>
    <row r="11013">
      <c r="F11013" s="17"/>
    </row>
    <row r="11014">
      <c r="F11014" s="17"/>
    </row>
    <row r="11015">
      <c r="F11015" s="17"/>
    </row>
    <row r="11016">
      <c r="F11016" s="17"/>
    </row>
    <row r="11017">
      <c r="F11017" s="17"/>
    </row>
    <row r="11018">
      <c r="F11018" s="17"/>
    </row>
    <row r="11019">
      <c r="F11019" s="17"/>
    </row>
    <row r="11020">
      <c r="F11020" s="17"/>
    </row>
    <row r="11021">
      <c r="F11021" s="17"/>
    </row>
    <row r="11022">
      <c r="F11022" s="17"/>
    </row>
    <row r="11023">
      <c r="F11023" s="17"/>
    </row>
    <row r="11024">
      <c r="F11024" s="17"/>
    </row>
    <row r="11025">
      <c r="F11025" s="17"/>
    </row>
    <row r="11026">
      <c r="F11026" s="17"/>
    </row>
    <row r="11027">
      <c r="F11027" s="17"/>
    </row>
    <row r="11028">
      <c r="F11028" s="17"/>
    </row>
    <row r="11029">
      <c r="F11029" s="17"/>
    </row>
    <row r="11030">
      <c r="F11030" s="17"/>
    </row>
    <row r="11031">
      <c r="F11031" s="17"/>
    </row>
    <row r="11032">
      <c r="F11032" s="17"/>
    </row>
    <row r="11033">
      <c r="F11033" s="17"/>
    </row>
    <row r="11034">
      <c r="F11034" s="17"/>
    </row>
    <row r="11035">
      <c r="F11035" s="17"/>
    </row>
    <row r="11036">
      <c r="F11036" s="17"/>
    </row>
    <row r="11037">
      <c r="F11037" s="17"/>
    </row>
    <row r="11038">
      <c r="F11038" s="17"/>
    </row>
    <row r="11039">
      <c r="F11039" s="17"/>
    </row>
    <row r="11040">
      <c r="F11040" s="17"/>
    </row>
    <row r="11041">
      <c r="F11041" s="17"/>
    </row>
    <row r="11042">
      <c r="F11042" s="17"/>
    </row>
    <row r="11043">
      <c r="F11043" s="17"/>
    </row>
    <row r="11044">
      <c r="F11044" s="17"/>
    </row>
    <row r="11045">
      <c r="F11045" s="17"/>
    </row>
    <row r="11046">
      <c r="F11046" s="17"/>
    </row>
    <row r="11047">
      <c r="F11047" s="17"/>
    </row>
    <row r="11048">
      <c r="F11048" s="17"/>
    </row>
    <row r="11049">
      <c r="F11049" s="17"/>
    </row>
    <row r="11050">
      <c r="F11050" s="17"/>
    </row>
    <row r="11051">
      <c r="F11051" s="17"/>
    </row>
    <row r="11052">
      <c r="F11052" s="17"/>
    </row>
    <row r="11053">
      <c r="F11053" s="17"/>
    </row>
    <row r="11054">
      <c r="F11054" s="17"/>
    </row>
    <row r="11055">
      <c r="F11055" s="17"/>
    </row>
    <row r="11056">
      <c r="F11056" s="17"/>
    </row>
    <row r="11057">
      <c r="F11057" s="17"/>
    </row>
    <row r="11058">
      <c r="F11058" s="17"/>
    </row>
    <row r="11059">
      <c r="F11059" s="17"/>
    </row>
    <row r="11060">
      <c r="F11060" s="17"/>
    </row>
    <row r="11061">
      <c r="F11061" s="17"/>
    </row>
    <row r="11062">
      <c r="F11062" s="17"/>
    </row>
    <row r="11063">
      <c r="F11063" s="17"/>
    </row>
    <row r="11064">
      <c r="F11064" s="17"/>
    </row>
    <row r="11065">
      <c r="F11065" s="17"/>
    </row>
    <row r="11066">
      <c r="F11066" s="17"/>
    </row>
    <row r="11067">
      <c r="F11067" s="17"/>
    </row>
    <row r="11068">
      <c r="F11068" s="17"/>
    </row>
    <row r="11069">
      <c r="F11069" s="17"/>
    </row>
    <row r="11070">
      <c r="F11070" s="17"/>
    </row>
    <row r="11071">
      <c r="F11071" s="17"/>
    </row>
    <row r="11072">
      <c r="F11072" s="17"/>
    </row>
    <row r="11073">
      <c r="F11073" s="17"/>
    </row>
    <row r="11074">
      <c r="F11074" s="17"/>
    </row>
    <row r="11075">
      <c r="F11075" s="17"/>
    </row>
    <row r="11076">
      <c r="F11076" s="17"/>
    </row>
    <row r="11077">
      <c r="F11077" s="17"/>
    </row>
    <row r="11078">
      <c r="F11078" s="17"/>
    </row>
    <row r="11079">
      <c r="F11079" s="17"/>
    </row>
    <row r="11080">
      <c r="F11080" s="17"/>
    </row>
    <row r="11081">
      <c r="F11081" s="17"/>
    </row>
    <row r="11082">
      <c r="F11082" s="17"/>
    </row>
    <row r="11083">
      <c r="F11083" s="17"/>
    </row>
    <row r="11084">
      <c r="F11084" s="17"/>
    </row>
    <row r="11085">
      <c r="F11085" s="17"/>
    </row>
    <row r="11086">
      <c r="F11086" s="17"/>
    </row>
    <row r="11087">
      <c r="F11087" s="17"/>
    </row>
    <row r="11088">
      <c r="F11088" s="17"/>
    </row>
    <row r="11089">
      <c r="F11089" s="17"/>
    </row>
    <row r="11090">
      <c r="F11090" s="17"/>
    </row>
    <row r="11091">
      <c r="F11091" s="17"/>
    </row>
    <row r="11092">
      <c r="F11092" s="17"/>
    </row>
    <row r="11093">
      <c r="F11093" s="17"/>
    </row>
    <row r="11094">
      <c r="F11094" s="17"/>
    </row>
    <row r="11095">
      <c r="F11095" s="17"/>
    </row>
    <row r="11096">
      <c r="F11096" s="17"/>
    </row>
    <row r="11097">
      <c r="F11097" s="17"/>
    </row>
    <row r="11098">
      <c r="F11098" s="17"/>
    </row>
    <row r="11099">
      <c r="F11099" s="17"/>
    </row>
    <row r="11100">
      <c r="F11100" s="17"/>
    </row>
    <row r="11101">
      <c r="F11101" s="17"/>
    </row>
    <row r="11102">
      <c r="F11102" s="17"/>
    </row>
    <row r="11103">
      <c r="F11103" s="17"/>
    </row>
    <row r="11104">
      <c r="F11104" s="17"/>
    </row>
    <row r="11105">
      <c r="F11105" s="17"/>
    </row>
    <row r="11106">
      <c r="F11106" s="17"/>
    </row>
    <row r="11107">
      <c r="F11107" s="17"/>
    </row>
    <row r="11108">
      <c r="F11108" s="17"/>
    </row>
    <row r="11109">
      <c r="F11109" s="17"/>
    </row>
    <row r="11110">
      <c r="F11110" s="17"/>
    </row>
    <row r="11111">
      <c r="F11111" s="17"/>
    </row>
    <row r="11112">
      <c r="F11112" s="17"/>
    </row>
    <row r="11113">
      <c r="F11113" s="17"/>
    </row>
    <row r="11114">
      <c r="F11114" s="17"/>
    </row>
    <row r="11115">
      <c r="F11115" s="17"/>
    </row>
    <row r="11116">
      <c r="F11116" s="17"/>
    </row>
    <row r="11117">
      <c r="F11117" s="17"/>
    </row>
    <row r="11118">
      <c r="F11118" s="17"/>
    </row>
    <row r="11119">
      <c r="F11119" s="17"/>
    </row>
    <row r="11120">
      <c r="F11120" s="17"/>
    </row>
    <row r="11121">
      <c r="F11121" s="17"/>
    </row>
    <row r="11122">
      <c r="F11122" s="17"/>
    </row>
    <row r="11123">
      <c r="F11123" s="17"/>
    </row>
    <row r="11124">
      <c r="F11124" s="17"/>
    </row>
    <row r="11125">
      <c r="F11125" s="17"/>
    </row>
    <row r="11126">
      <c r="F11126" s="17"/>
    </row>
    <row r="11127">
      <c r="F11127" s="17"/>
    </row>
    <row r="11128">
      <c r="F11128" s="17"/>
    </row>
    <row r="11129">
      <c r="F11129" s="17"/>
    </row>
    <row r="11130">
      <c r="F11130" s="17"/>
    </row>
    <row r="11131">
      <c r="F11131" s="17"/>
    </row>
    <row r="11132">
      <c r="F11132" s="17"/>
    </row>
    <row r="11133">
      <c r="F11133" s="17"/>
    </row>
    <row r="11134">
      <c r="F11134" s="17"/>
    </row>
    <row r="11135">
      <c r="F11135" s="17"/>
    </row>
    <row r="11136">
      <c r="F11136" s="17"/>
    </row>
    <row r="11137">
      <c r="F11137" s="17"/>
    </row>
    <row r="11138">
      <c r="F11138" s="17"/>
    </row>
    <row r="11139">
      <c r="F11139" s="17"/>
    </row>
    <row r="11140">
      <c r="F11140" s="17"/>
    </row>
    <row r="11141">
      <c r="F11141" s="17"/>
    </row>
    <row r="11142">
      <c r="F11142" s="17"/>
    </row>
    <row r="11143">
      <c r="F11143" s="17"/>
    </row>
    <row r="11144">
      <c r="F11144" s="17"/>
    </row>
    <row r="11145">
      <c r="F11145" s="17"/>
    </row>
    <row r="11146">
      <c r="F11146" s="17"/>
    </row>
    <row r="11147">
      <c r="F11147" s="17"/>
    </row>
    <row r="11148">
      <c r="F11148" s="17"/>
    </row>
    <row r="11149">
      <c r="F11149" s="17"/>
    </row>
    <row r="11150">
      <c r="F11150" s="17"/>
    </row>
    <row r="11151">
      <c r="F11151" s="17"/>
    </row>
    <row r="11152">
      <c r="F11152" s="17"/>
    </row>
    <row r="11153">
      <c r="F11153" s="17"/>
    </row>
    <row r="11154">
      <c r="F11154" s="17"/>
    </row>
    <row r="11155">
      <c r="F11155" s="17"/>
    </row>
    <row r="11156">
      <c r="F11156" s="17"/>
    </row>
    <row r="11157">
      <c r="F11157" s="17"/>
    </row>
    <row r="11158">
      <c r="F11158" s="17"/>
    </row>
    <row r="11159">
      <c r="F11159" s="17"/>
    </row>
    <row r="11160">
      <c r="F11160" s="17"/>
    </row>
    <row r="11161">
      <c r="F11161" s="17"/>
    </row>
    <row r="11162">
      <c r="F11162" s="17"/>
    </row>
    <row r="11163">
      <c r="F11163" s="17"/>
    </row>
    <row r="11164">
      <c r="F11164" s="17"/>
    </row>
    <row r="11165">
      <c r="F11165" s="17"/>
    </row>
    <row r="11166">
      <c r="F11166" s="17"/>
    </row>
    <row r="11167">
      <c r="F11167" s="17"/>
    </row>
    <row r="11168">
      <c r="F11168" s="17"/>
    </row>
    <row r="11169">
      <c r="F11169" s="17"/>
    </row>
    <row r="11170">
      <c r="F11170" s="17"/>
    </row>
    <row r="11171">
      <c r="F11171" s="17"/>
    </row>
    <row r="11172">
      <c r="F11172" s="17"/>
    </row>
    <row r="11173">
      <c r="F11173" s="17"/>
    </row>
    <row r="11174">
      <c r="F11174" s="17"/>
    </row>
    <row r="11175">
      <c r="F11175" s="17"/>
    </row>
    <row r="11176">
      <c r="F11176" s="17"/>
    </row>
    <row r="11177">
      <c r="F11177" s="17"/>
    </row>
    <row r="11178">
      <c r="F11178" s="17"/>
    </row>
    <row r="11179">
      <c r="F11179" s="17"/>
    </row>
    <row r="11180">
      <c r="F11180" s="17"/>
    </row>
    <row r="11181">
      <c r="F11181" s="17"/>
    </row>
    <row r="11182">
      <c r="F11182" s="17"/>
    </row>
    <row r="11183">
      <c r="F11183" s="17"/>
    </row>
    <row r="11184">
      <c r="F11184" s="17"/>
    </row>
    <row r="11185">
      <c r="F11185" s="17"/>
    </row>
    <row r="11186">
      <c r="F11186" s="17"/>
    </row>
    <row r="11187">
      <c r="F11187" s="17"/>
    </row>
    <row r="11188">
      <c r="F11188" s="17"/>
    </row>
    <row r="11189">
      <c r="F11189" s="17"/>
    </row>
    <row r="11190">
      <c r="F11190" s="17"/>
    </row>
    <row r="11191">
      <c r="F11191" s="17"/>
    </row>
    <row r="11192">
      <c r="F11192" s="17"/>
    </row>
    <row r="11193">
      <c r="F11193" s="17"/>
    </row>
    <row r="11194">
      <c r="F11194" s="17"/>
    </row>
    <row r="11195">
      <c r="F11195" s="17"/>
    </row>
    <row r="11196">
      <c r="F11196" s="17"/>
    </row>
    <row r="11197">
      <c r="F11197" s="17"/>
    </row>
    <row r="11198">
      <c r="F11198" s="17"/>
    </row>
    <row r="11199">
      <c r="F11199" s="17"/>
    </row>
    <row r="11200">
      <c r="F11200" s="17"/>
    </row>
    <row r="11201">
      <c r="F11201" s="17"/>
    </row>
    <row r="11202">
      <c r="F11202" s="17"/>
    </row>
    <row r="11203">
      <c r="F11203" s="17"/>
    </row>
    <row r="11204">
      <c r="F11204" s="17"/>
    </row>
    <row r="11205">
      <c r="F11205" s="17"/>
    </row>
    <row r="11206">
      <c r="F11206" s="17"/>
    </row>
    <row r="11207">
      <c r="F11207" s="17"/>
    </row>
    <row r="11208">
      <c r="F11208" s="17"/>
    </row>
    <row r="11209">
      <c r="F11209" s="17"/>
    </row>
    <row r="11210">
      <c r="F11210" s="17"/>
    </row>
    <row r="11211">
      <c r="F11211" s="17"/>
    </row>
    <row r="11212">
      <c r="F11212" s="17"/>
    </row>
    <row r="11213">
      <c r="F11213" s="17"/>
    </row>
    <row r="11214">
      <c r="F11214" s="17"/>
    </row>
    <row r="11215">
      <c r="F11215" s="17"/>
    </row>
    <row r="11216">
      <c r="F11216" s="17"/>
    </row>
    <row r="11217">
      <c r="F11217" s="17"/>
    </row>
    <row r="11218">
      <c r="F11218" s="17"/>
    </row>
    <row r="11219">
      <c r="F11219" s="17"/>
    </row>
    <row r="11220">
      <c r="F11220" s="17"/>
    </row>
    <row r="11221">
      <c r="F11221" s="17"/>
    </row>
    <row r="11222">
      <c r="F11222" s="17"/>
    </row>
    <row r="11223">
      <c r="F11223" s="17"/>
    </row>
    <row r="11224">
      <c r="F11224" s="17"/>
    </row>
    <row r="11225">
      <c r="F11225" s="17"/>
    </row>
    <row r="11226">
      <c r="F11226" s="17"/>
    </row>
    <row r="11227">
      <c r="F11227" s="17"/>
    </row>
    <row r="11228">
      <c r="F11228" s="17"/>
    </row>
    <row r="11229">
      <c r="F11229" s="17"/>
    </row>
    <row r="11230">
      <c r="F11230" s="17"/>
    </row>
    <row r="11231">
      <c r="F11231" s="17"/>
    </row>
    <row r="11232">
      <c r="F11232" s="17"/>
    </row>
    <row r="11233">
      <c r="F11233" s="17"/>
    </row>
    <row r="11234">
      <c r="F11234" s="17"/>
    </row>
    <row r="11235">
      <c r="F11235" s="17"/>
    </row>
    <row r="11236">
      <c r="F11236" s="17"/>
    </row>
    <row r="11237">
      <c r="F11237" s="17"/>
    </row>
    <row r="11238">
      <c r="F11238" s="17"/>
    </row>
    <row r="11239">
      <c r="F11239" s="17"/>
    </row>
    <row r="11240">
      <c r="F11240" s="17"/>
    </row>
    <row r="11241">
      <c r="F11241" s="17"/>
    </row>
    <row r="11242">
      <c r="F11242" s="17"/>
    </row>
    <row r="11243">
      <c r="F11243" s="17"/>
    </row>
    <row r="11244">
      <c r="F11244" s="17"/>
    </row>
    <row r="11245">
      <c r="F11245" s="17"/>
    </row>
    <row r="11246">
      <c r="F11246" s="17"/>
    </row>
    <row r="11247">
      <c r="F11247" s="17"/>
    </row>
    <row r="11248">
      <c r="F11248" s="17"/>
    </row>
    <row r="11249">
      <c r="F11249" s="17"/>
    </row>
    <row r="11250">
      <c r="F11250" s="17"/>
    </row>
    <row r="11251">
      <c r="F11251" s="17"/>
    </row>
    <row r="11252">
      <c r="F11252" s="17"/>
    </row>
    <row r="11253">
      <c r="F11253" s="17"/>
    </row>
    <row r="11254">
      <c r="F11254" s="17"/>
    </row>
    <row r="11255">
      <c r="F11255" s="17"/>
    </row>
    <row r="11256">
      <c r="F11256" s="17"/>
    </row>
    <row r="11257">
      <c r="F11257" s="17"/>
    </row>
    <row r="11258">
      <c r="F11258" s="17"/>
    </row>
    <row r="11259">
      <c r="F11259" s="17"/>
    </row>
    <row r="11260">
      <c r="F11260" s="17"/>
    </row>
    <row r="11261">
      <c r="F11261" s="17"/>
    </row>
    <row r="11262">
      <c r="F11262" s="17"/>
    </row>
    <row r="11263">
      <c r="F11263" s="17"/>
    </row>
    <row r="11264">
      <c r="F11264" s="17"/>
    </row>
    <row r="11265">
      <c r="F11265" s="17"/>
    </row>
    <row r="11266">
      <c r="F11266" s="17"/>
    </row>
    <row r="11267">
      <c r="F11267" s="17"/>
    </row>
    <row r="11268">
      <c r="F11268" s="17"/>
    </row>
    <row r="11269">
      <c r="F11269" s="17"/>
    </row>
    <row r="11270">
      <c r="F11270" s="17"/>
    </row>
    <row r="11271">
      <c r="F11271" s="17"/>
    </row>
    <row r="11272">
      <c r="F11272" s="17"/>
    </row>
    <row r="11273">
      <c r="F11273" s="17"/>
    </row>
    <row r="11274">
      <c r="F11274" s="17"/>
    </row>
    <row r="11275">
      <c r="F11275" s="17"/>
    </row>
    <row r="11276">
      <c r="F11276" s="17"/>
    </row>
    <row r="11277">
      <c r="F11277" s="17"/>
    </row>
    <row r="11278">
      <c r="F11278" s="17"/>
    </row>
    <row r="11279">
      <c r="F11279" s="17"/>
    </row>
    <row r="11280">
      <c r="F11280" s="17"/>
    </row>
    <row r="11281">
      <c r="F11281" s="17"/>
    </row>
    <row r="11282">
      <c r="F11282" s="17"/>
    </row>
    <row r="11283">
      <c r="F11283" s="17"/>
    </row>
    <row r="11284">
      <c r="F11284" s="17"/>
    </row>
    <row r="11285">
      <c r="F11285" s="17"/>
    </row>
    <row r="11286">
      <c r="F11286" s="17"/>
    </row>
    <row r="11287">
      <c r="F11287" s="17"/>
    </row>
    <row r="11288">
      <c r="F11288" s="17"/>
    </row>
    <row r="11289">
      <c r="F11289" s="17"/>
    </row>
    <row r="11290">
      <c r="F11290" s="17"/>
    </row>
    <row r="11291">
      <c r="F11291" s="17"/>
    </row>
    <row r="11292">
      <c r="F11292" s="17"/>
    </row>
    <row r="11293">
      <c r="F11293" s="17"/>
    </row>
    <row r="11294">
      <c r="F11294" s="17"/>
    </row>
    <row r="11295">
      <c r="F11295" s="17"/>
    </row>
    <row r="11296">
      <c r="F11296" s="17"/>
    </row>
    <row r="11297">
      <c r="F11297" s="17"/>
    </row>
    <row r="11298">
      <c r="F11298" s="17"/>
    </row>
    <row r="11299">
      <c r="F11299" s="17"/>
    </row>
    <row r="11300">
      <c r="F11300" s="17"/>
    </row>
    <row r="11301">
      <c r="F11301" s="17"/>
    </row>
    <row r="11302">
      <c r="F11302" s="17"/>
    </row>
    <row r="11303">
      <c r="F11303" s="17"/>
    </row>
    <row r="11304">
      <c r="F11304" s="17"/>
    </row>
    <row r="11305">
      <c r="F11305" s="17"/>
    </row>
    <row r="11306">
      <c r="F11306" s="17"/>
    </row>
    <row r="11307">
      <c r="F11307" s="17"/>
    </row>
    <row r="11308">
      <c r="F11308" s="17"/>
    </row>
    <row r="11309">
      <c r="F11309" s="17"/>
    </row>
    <row r="11310">
      <c r="F11310" s="17"/>
    </row>
    <row r="11311">
      <c r="F11311" s="17"/>
    </row>
    <row r="11312">
      <c r="F11312" s="17"/>
    </row>
    <row r="11313">
      <c r="F11313" s="17"/>
    </row>
    <row r="11314">
      <c r="F11314" s="17"/>
    </row>
    <row r="11315">
      <c r="F11315" s="17"/>
    </row>
    <row r="11316">
      <c r="F11316" s="17"/>
    </row>
    <row r="11317">
      <c r="F11317" s="17"/>
    </row>
    <row r="11318">
      <c r="F11318" s="17"/>
    </row>
    <row r="11319">
      <c r="F11319" s="17"/>
    </row>
    <row r="11320">
      <c r="F11320" s="17"/>
    </row>
    <row r="11321">
      <c r="F11321" s="17"/>
    </row>
    <row r="11322">
      <c r="F11322" s="17"/>
    </row>
    <row r="11323">
      <c r="F11323" s="17"/>
    </row>
    <row r="11324">
      <c r="F11324" s="17"/>
    </row>
    <row r="11325">
      <c r="F11325" s="17"/>
    </row>
    <row r="11326">
      <c r="F11326" s="17"/>
    </row>
    <row r="11327">
      <c r="F11327" s="17"/>
    </row>
    <row r="11328">
      <c r="F11328" s="17"/>
    </row>
    <row r="11329">
      <c r="F11329" s="17"/>
    </row>
    <row r="11330">
      <c r="F11330" s="17"/>
    </row>
    <row r="11331">
      <c r="F11331" s="17"/>
    </row>
    <row r="11332">
      <c r="F11332" s="17"/>
    </row>
    <row r="11333">
      <c r="F11333" s="17"/>
    </row>
    <row r="11334">
      <c r="F11334" s="17"/>
    </row>
    <row r="11335">
      <c r="F11335" s="17"/>
    </row>
    <row r="11336">
      <c r="F11336" s="17"/>
    </row>
    <row r="11337">
      <c r="F11337" s="17"/>
    </row>
    <row r="11338">
      <c r="F11338" s="17"/>
    </row>
    <row r="11339">
      <c r="F11339" s="17"/>
    </row>
    <row r="11340">
      <c r="F11340" s="17"/>
    </row>
    <row r="11341">
      <c r="F11341" s="17"/>
    </row>
    <row r="11342">
      <c r="F11342" s="17"/>
    </row>
    <row r="11343">
      <c r="F11343" s="17"/>
    </row>
    <row r="11344">
      <c r="F11344" s="17"/>
    </row>
    <row r="11345">
      <c r="F11345" s="17"/>
    </row>
    <row r="11346">
      <c r="F11346" s="17"/>
    </row>
    <row r="11347">
      <c r="F11347" s="17"/>
    </row>
    <row r="11348">
      <c r="F11348" s="17"/>
    </row>
    <row r="11349">
      <c r="F11349" s="17"/>
    </row>
    <row r="11350">
      <c r="F11350" s="17"/>
    </row>
    <row r="11351">
      <c r="F11351" s="17"/>
    </row>
    <row r="11352">
      <c r="F11352" s="17"/>
    </row>
    <row r="11353">
      <c r="F11353" s="17"/>
    </row>
    <row r="11354">
      <c r="F11354" s="17"/>
    </row>
    <row r="11355">
      <c r="F11355" s="17"/>
    </row>
    <row r="11356">
      <c r="F11356" s="17"/>
    </row>
    <row r="11357">
      <c r="F11357" s="17"/>
    </row>
    <row r="11358">
      <c r="F11358" s="17"/>
    </row>
    <row r="11359">
      <c r="F11359" s="17"/>
    </row>
    <row r="11360">
      <c r="F11360" s="17"/>
    </row>
    <row r="11361">
      <c r="F11361" s="17"/>
    </row>
    <row r="11362">
      <c r="F11362" s="17"/>
    </row>
    <row r="11363">
      <c r="F11363" s="17"/>
    </row>
    <row r="11364">
      <c r="F11364" s="17"/>
    </row>
    <row r="11365">
      <c r="F11365" s="17"/>
    </row>
    <row r="11366">
      <c r="F11366" s="17"/>
    </row>
    <row r="11367">
      <c r="F11367" s="17"/>
    </row>
    <row r="11368">
      <c r="F11368" s="17"/>
    </row>
    <row r="11369">
      <c r="F11369" s="17"/>
    </row>
    <row r="11370">
      <c r="F11370" s="17"/>
    </row>
    <row r="11371">
      <c r="F11371" s="17"/>
    </row>
    <row r="11372">
      <c r="F11372" s="17"/>
    </row>
    <row r="11373">
      <c r="F11373" s="17"/>
    </row>
    <row r="11374">
      <c r="F11374" s="17"/>
    </row>
    <row r="11375">
      <c r="F11375" s="17"/>
    </row>
    <row r="11376">
      <c r="F11376" s="17"/>
    </row>
    <row r="11377">
      <c r="F11377" s="17"/>
    </row>
    <row r="11378">
      <c r="F11378" s="17"/>
    </row>
    <row r="11379">
      <c r="F11379" s="17"/>
    </row>
    <row r="11380">
      <c r="F11380" s="17"/>
    </row>
    <row r="11381">
      <c r="F11381" s="17"/>
    </row>
    <row r="11382">
      <c r="F11382" s="17"/>
    </row>
    <row r="11383">
      <c r="F11383" s="17"/>
    </row>
    <row r="11384">
      <c r="F11384" s="17"/>
    </row>
    <row r="11385">
      <c r="F11385" s="17"/>
    </row>
    <row r="11386">
      <c r="F11386" s="17"/>
    </row>
    <row r="11387">
      <c r="F11387" s="17"/>
    </row>
    <row r="11388">
      <c r="F11388" s="17"/>
    </row>
    <row r="11389">
      <c r="F11389" s="17"/>
    </row>
    <row r="11390">
      <c r="F11390" s="17"/>
    </row>
    <row r="11391">
      <c r="F11391" s="17"/>
    </row>
    <row r="11392">
      <c r="F11392" s="17"/>
    </row>
    <row r="11393">
      <c r="F11393" s="17"/>
    </row>
    <row r="11394">
      <c r="F11394" s="17"/>
    </row>
    <row r="11395">
      <c r="F11395" s="17"/>
    </row>
    <row r="11396">
      <c r="F11396" s="17"/>
    </row>
    <row r="11397">
      <c r="F11397" s="17"/>
    </row>
    <row r="11398">
      <c r="F11398" s="17"/>
    </row>
    <row r="11399">
      <c r="F11399" s="17"/>
    </row>
    <row r="11400">
      <c r="F11400" s="17"/>
    </row>
    <row r="11401">
      <c r="F11401" s="17"/>
    </row>
    <row r="11402">
      <c r="F11402" s="17"/>
    </row>
    <row r="11403">
      <c r="F11403" s="17"/>
    </row>
    <row r="11404">
      <c r="F11404" s="17"/>
    </row>
    <row r="11405">
      <c r="F11405" s="17"/>
    </row>
    <row r="11406">
      <c r="F11406" s="17"/>
    </row>
    <row r="11407">
      <c r="F11407" s="17"/>
    </row>
    <row r="11408">
      <c r="F11408" s="17"/>
    </row>
    <row r="11409">
      <c r="F11409" s="17"/>
    </row>
    <row r="11410">
      <c r="F11410" s="17"/>
    </row>
    <row r="11411">
      <c r="F11411" s="17"/>
    </row>
    <row r="11412">
      <c r="F11412" s="17"/>
    </row>
    <row r="11413">
      <c r="F11413" s="17"/>
    </row>
    <row r="11414">
      <c r="F11414" s="17"/>
    </row>
    <row r="11415">
      <c r="F11415" s="17"/>
    </row>
    <row r="11416">
      <c r="F11416" s="17"/>
    </row>
    <row r="11417">
      <c r="F11417" s="17"/>
    </row>
    <row r="11418">
      <c r="F11418" s="17"/>
    </row>
    <row r="11419">
      <c r="F11419" s="17"/>
    </row>
    <row r="11420">
      <c r="F11420" s="17"/>
    </row>
    <row r="11421">
      <c r="F11421" s="17"/>
    </row>
    <row r="11422">
      <c r="F11422" s="17"/>
    </row>
    <row r="11423">
      <c r="F11423" s="17"/>
    </row>
    <row r="11424">
      <c r="F11424" s="17"/>
    </row>
    <row r="11425">
      <c r="F11425" s="17"/>
    </row>
    <row r="11426">
      <c r="F11426" s="17"/>
    </row>
    <row r="11427">
      <c r="F11427" s="17"/>
    </row>
    <row r="11428">
      <c r="F11428" s="17"/>
    </row>
    <row r="11429">
      <c r="F11429" s="17"/>
    </row>
    <row r="11430">
      <c r="F11430" s="17"/>
    </row>
    <row r="11431">
      <c r="F11431" s="17"/>
    </row>
    <row r="11432">
      <c r="F11432" s="17"/>
    </row>
    <row r="11433">
      <c r="F11433" s="17"/>
    </row>
    <row r="11434">
      <c r="F11434" s="17"/>
    </row>
    <row r="11435">
      <c r="F11435" s="17"/>
    </row>
    <row r="11436">
      <c r="F11436" s="17"/>
    </row>
    <row r="11437">
      <c r="F11437" s="17"/>
    </row>
    <row r="11438">
      <c r="F11438" s="17"/>
    </row>
    <row r="11439">
      <c r="F11439" s="17"/>
    </row>
    <row r="11440">
      <c r="F11440" s="17"/>
    </row>
    <row r="11441">
      <c r="F11441" s="17"/>
    </row>
    <row r="11442">
      <c r="F11442" s="17"/>
    </row>
    <row r="11443">
      <c r="F11443" s="17"/>
    </row>
    <row r="11444">
      <c r="F11444" s="17"/>
    </row>
    <row r="11445">
      <c r="F11445" s="17"/>
    </row>
    <row r="11446">
      <c r="F11446" s="17"/>
    </row>
    <row r="11447">
      <c r="F11447" s="17"/>
    </row>
    <row r="11448">
      <c r="F11448" s="17"/>
    </row>
    <row r="11449">
      <c r="F11449" s="17"/>
    </row>
    <row r="11450">
      <c r="F11450" s="17"/>
    </row>
    <row r="11451">
      <c r="F11451" s="17"/>
    </row>
    <row r="11452">
      <c r="F11452" s="17"/>
    </row>
    <row r="11453">
      <c r="F11453" s="17"/>
    </row>
    <row r="11454">
      <c r="F11454" s="17"/>
    </row>
    <row r="11455">
      <c r="F11455" s="17"/>
    </row>
    <row r="11456">
      <c r="F11456" s="17"/>
    </row>
    <row r="11457">
      <c r="F11457" s="17"/>
    </row>
    <row r="11458">
      <c r="F11458" s="17"/>
    </row>
    <row r="11459">
      <c r="F11459" s="17"/>
    </row>
    <row r="11460">
      <c r="F11460" s="17"/>
    </row>
    <row r="11461">
      <c r="F11461" s="17"/>
    </row>
    <row r="11462">
      <c r="F11462" s="17"/>
    </row>
    <row r="11463">
      <c r="F11463" s="17"/>
    </row>
    <row r="11464">
      <c r="F11464" s="17"/>
    </row>
    <row r="11465">
      <c r="F11465" s="17"/>
    </row>
    <row r="11466">
      <c r="F11466" s="17"/>
    </row>
    <row r="11467">
      <c r="F11467" s="17"/>
    </row>
    <row r="11468">
      <c r="F11468" s="17"/>
    </row>
    <row r="11469">
      <c r="F11469" s="17"/>
    </row>
    <row r="11470">
      <c r="F11470" s="17"/>
    </row>
    <row r="11471">
      <c r="F11471" s="17"/>
    </row>
    <row r="11472">
      <c r="F11472" s="17"/>
    </row>
    <row r="11473">
      <c r="F11473" s="17"/>
    </row>
    <row r="11474">
      <c r="F11474" s="17"/>
    </row>
    <row r="11475">
      <c r="F11475" s="17"/>
    </row>
    <row r="11476">
      <c r="F11476" s="17"/>
    </row>
    <row r="11477">
      <c r="F11477" s="17"/>
    </row>
    <row r="11478">
      <c r="F11478" s="17"/>
    </row>
    <row r="11479">
      <c r="F11479" s="17"/>
    </row>
    <row r="11480">
      <c r="F11480" s="17"/>
    </row>
    <row r="11481">
      <c r="F11481" s="17"/>
    </row>
    <row r="11482">
      <c r="F11482" s="17"/>
    </row>
    <row r="11483">
      <c r="F11483" s="17"/>
    </row>
    <row r="11484">
      <c r="F11484" s="17"/>
    </row>
    <row r="11485">
      <c r="F11485" s="17"/>
    </row>
    <row r="11486">
      <c r="F11486" s="17"/>
    </row>
    <row r="11487">
      <c r="F11487" s="17"/>
    </row>
    <row r="11488">
      <c r="F11488" s="17"/>
    </row>
    <row r="11489">
      <c r="F11489" s="17"/>
    </row>
    <row r="11490">
      <c r="F11490" s="17"/>
    </row>
    <row r="11491">
      <c r="F11491" s="17"/>
    </row>
    <row r="11492">
      <c r="F11492" s="17"/>
    </row>
    <row r="11493">
      <c r="F11493" s="17"/>
    </row>
    <row r="11494">
      <c r="F11494" s="17"/>
    </row>
    <row r="11495">
      <c r="F11495" s="17"/>
    </row>
    <row r="11496">
      <c r="F11496" s="17"/>
    </row>
    <row r="11497">
      <c r="F11497" s="17"/>
    </row>
    <row r="11498">
      <c r="F11498" s="17"/>
    </row>
    <row r="11499">
      <c r="F11499" s="17"/>
    </row>
    <row r="11500">
      <c r="F11500" s="17"/>
    </row>
    <row r="11501">
      <c r="F11501" s="17"/>
    </row>
    <row r="11502">
      <c r="F11502" s="17"/>
    </row>
    <row r="11503">
      <c r="F11503" s="17"/>
    </row>
    <row r="11504">
      <c r="F11504" s="17"/>
    </row>
    <row r="11505">
      <c r="F11505" s="17"/>
    </row>
    <row r="11506">
      <c r="F11506" s="17"/>
    </row>
    <row r="11507">
      <c r="F11507" s="17"/>
    </row>
    <row r="11508">
      <c r="F11508" s="17"/>
    </row>
    <row r="11509">
      <c r="F11509" s="17"/>
    </row>
    <row r="11510">
      <c r="F11510" s="17"/>
    </row>
    <row r="11511">
      <c r="F11511" s="17"/>
    </row>
    <row r="11512">
      <c r="F11512" s="17"/>
    </row>
    <row r="11513">
      <c r="F11513" s="17"/>
    </row>
    <row r="11514">
      <c r="F11514" s="17"/>
    </row>
    <row r="11515">
      <c r="F11515" s="17"/>
    </row>
    <row r="11516">
      <c r="F11516" s="17"/>
    </row>
    <row r="11517">
      <c r="F11517" s="17"/>
    </row>
    <row r="11518">
      <c r="F11518" s="17"/>
    </row>
    <row r="11519">
      <c r="F11519" s="17"/>
    </row>
    <row r="11520">
      <c r="F11520" s="17"/>
    </row>
    <row r="11521">
      <c r="F11521" s="17"/>
    </row>
    <row r="11522">
      <c r="F11522" s="17"/>
    </row>
    <row r="11523">
      <c r="F11523" s="17"/>
    </row>
    <row r="11524">
      <c r="F11524" s="17"/>
    </row>
    <row r="11525">
      <c r="F11525" s="17"/>
    </row>
    <row r="11526">
      <c r="F11526" s="17"/>
    </row>
    <row r="11527">
      <c r="F11527" s="17"/>
    </row>
    <row r="11528">
      <c r="F11528" s="17"/>
    </row>
    <row r="11529">
      <c r="F11529" s="17"/>
    </row>
    <row r="11530">
      <c r="F11530" s="17"/>
    </row>
    <row r="11531">
      <c r="F11531" s="17"/>
    </row>
    <row r="11532">
      <c r="F11532" s="17"/>
    </row>
    <row r="11533">
      <c r="F11533" s="17"/>
    </row>
    <row r="11534">
      <c r="F11534" s="17"/>
    </row>
    <row r="11535">
      <c r="F11535" s="17"/>
    </row>
    <row r="11536">
      <c r="F11536" s="17"/>
    </row>
    <row r="11537">
      <c r="F11537" s="17"/>
    </row>
    <row r="11538">
      <c r="F11538" s="17"/>
    </row>
    <row r="11539">
      <c r="F11539" s="17"/>
    </row>
    <row r="11540">
      <c r="F11540" s="17"/>
    </row>
    <row r="11541">
      <c r="F11541" s="17"/>
    </row>
    <row r="11542">
      <c r="F11542" s="17"/>
    </row>
    <row r="11543">
      <c r="F11543" s="17"/>
    </row>
    <row r="11544">
      <c r="F11544" s="17"/>
    </row>
    <row r="11545">
      <c r="F11545" s="17"/>
    </row>
    <row r="11546">
      <c r="F11546" s="17"/>
    </row>
    <row r="11547">
      <c r="F11547" s="17"/>
    </row>
    <row r="11548">
      <c r="F11548" s="17"/>
    </row>
    <row r="11549">
      <c r="F11549" s="17"/>
    </row>
    <row r="11550">
      <c r="F11550" s="17"/>
    </row>
    <row r="11551">
      <c r="F11551" s="17"/>
    </row>
    <row r="11552">
      <c r="F11552" s="17"/>
    </row>
    <row r="11553">
      <c r="F11553" s="17"/>
    </row>
    <row r="11554">
      <c r="F11554" s="17"/>
    </row>
    <row r="11555">
      <c r="F11555" s="17"/>
    </row>
    <row r="11556">
      <c r="F11556" s="17"/>
    </row>
    <row r="11557">
      <c r="F11557" s="17"/>
    </row>
    <row r="11558">
      <c r="F11558" s="17"/>
    </row>
    <row r="11559">
      <c r="F11559" s="17"/>
    </row>
    <row r="11560">
      <c r="F11560" s="17"/>
    </row>
    <row r="11561">
      <c r="F11561" s="17"/>
    </row>
    <row r="11562">
      <c r="F11562" s="17"/>
    </row>
    <row r="11563">
      <c r="F11563" s="17"/>
    </row>
    <row r="11564">
      <c r="F11564" s="17"/>
    </row>
    <row r="11565">
      <c r="F11565" s="17"/>
    </row>
    <row r="11566">
      <c r="F11566" s="17"/>
    </row>
    <row r="11567">
      <c r="F11567" s="17"/>
    </row>
    <row r="11568">
      <c r="F11568" s="17"/>
    </row>
    <row r="11569">
      <c r="F11569" s="17"/>
    </row>
    <row r="11570">
      <c r="F11570" s="17"/>
    </row>
    <row r="11571">
      <c r="F11571" s="17"/>
    </row>
    <row r="11572">
      <c r="F11572" s="17"/>
    </row>
    <row r="11573">
      <c r="F11573" s="17"/>
    </row>
    <row r="11574">
      <c r="F11574" s="17"/>
    </row>
    <row r="11575">
      <c r="F11575" s="17"/>
    </row>
    <row r="11576">
      <c r="F11576" s="17"/>
    </row>
    <row r="11577">
      <c r="F11577" s="17"/>
    </row>
    <row r="11578">
      <c r="F11578" s="17"/>
    </row>
    <row r="11579">
      <c r="F11579" s="17"/>
    </row>
    <row r="11580">
      <c r="F11580" s="17"/>
    </row>
    <row r="11581">
      <c r="F11581" s="17"/>
    </row>
    <row r="11582">
      <c r="F11582" s="17"/>
    </row>
    <row r="11583">
      <c r="F11583" s="17"/>
    </row>
    <row r="11584">
      <c r="F11584" s="17"/>
    </row>
    <row r="11585">
      <c r="F11585" s="17"/>
    </row>
    <row r="11586">
      <c r="F11586" s="17"/>
    </row>
    <row r="11587">
      <c r="F11587" s="17"/>
    </row>
    <row r="11588">
      <c r="F11588" s="17"/>
    </row>
    <row r="11589">
      <c r="F11589" s="17"/>
    </row>
    <row r="11590">
      <c r="F11590" s="17"/>
    </row>
    <row r="11591">
      <c r="F11591" s="17"/>
    </row>
    <row r="11592">
      <c r="F11592" s="17"/>
    </row>
    <row r="11593">
      <c r="F11593" s="17"/>
    </row>
    <row r="11594">
      <c r="F11594" s="17"/>
    </row>
    <row r="11595">
      <c r="F11595" s="17"/>
    </row>
    <row r="11596">
      <c r="F11596" s="17"/>
    </row>
    <row r="11597">
      <c r="F11597" s="17"/>
    </row>
    <row r="11598">
      <c r="F11598" s="17"/>
    </row>
    <row r="11599">
      <c r="F11599" s="17"/>
    </row>
    <row r="11600">
      <c r="F11600" s="17"/>
    </row>
    <row r="11601">
      <c r="F11601" s="17"/>
    </row>
    <row r="11602">
      <c r="F11602" s="17"/>
    </row>
    <row r="11603">
      <c r="F11603" s="17"/>
    </row>
    <row r="11604">
      <c r="F11604" s="17"/>
    </row>
    <row r="11605">
      <c r="F11605" s="17"/>
    </row>
    <row r="11606">
      <c r="F11606" s="17"/>
    </row>
    <row r="11607">
      <c r="F11607" s="17"/>
    </row>
    <row r="11608">
      <c r="F11608" s="17"/>
    </row>
    <row r="11609">
      <c r="F11609" s="17"/>
    </row>
    <row r="11610">
      <c r="F11610" s="17"/>
    </row>
    <row r="11611">
      <c r="F11611" s="17"/>
    </row>
    <row r="11612">
      <c r="F11612" s="17"/>
    </row>
    <row r="11613">
      <c r="F11613" s="17"/>
    </row>
    <row r="11614">
      <c r="F11614" s="17"/>
    </row>
    <row r="11615">
      <c r="F11615" s="17"/>
    </row>
    <row r="11616">
      <c r="F11616" s="17"/>
    </row>
    <row r="11617">
      <c r="F11617" s="17"/>
    </row>
    <row r="11618">
      <c r="F11618" s="17"/>
    </row>
    <row r="11619">
      <c r="F11619" s="17"/>
    </row>
    <row r="11620">
      <c r="F11620" s="17"/>
    </row>
    <row r="11621">
      <c r="F11621" s="17"/>
    </row>
    <row r="11622">
      <c r="F11622" s="17"/>
    </row>
    <row r="11623">
      <c r="F11623" s="17"/>
    </row>
    <row r="11624">
      <c r="F11624" s="17"/>
    </row>
    <row r="11625">
      <c r="F11625" s="17"/>
    </row>
    <row r="11626">
      <c r="F11626" s="17"/>
    </row>
    <row r="11627">
      <c r="F11627" s="17"/>
    </row>
    <row r="11628">
      <c r="F11628" s="17"/>
    </row>
    <row r="11629">
      <c r="F11629" s="17"/>
    </row>
    <row r="11630">
      <c r="F11630" s="17"/>
    </row>
    <row r="11631">
      <c r="F11631" s="17"/>
    </row>
    <row r="11632">
      <c r="F11632" s="17"/>
    </row>
    <row r="11633">
      <c r="F11633" s="17"/>
    </row>
    <row r="11634">
      <c r="F11634" s="17"/>
    </row>
    <row r="11635">
      <c r="F11635" s="17"/>
    </row>
    <row r="11636">
      <c r="F11636" s="17"/>
    </row>
    <row r="11637">
      <c r="F11637" s="17"/>
    </row>
    <row r="11638">
      <c r="F11638" s="17"/>
    </row>
    <row r="11639">
      <c r="F11639" s="17"/>
    </row>
    <row r="11640">
      <c r="F11640" s="17"/>
    </row>
    <row r="11641">
      <c r="F11641" s="17"/>
    </row>
    <row r="11642">
      <c r="F11642" s="17"/>
    </row>
    <row r="11643">
      <c r="F11643" s="17"/>
    </row>
    <row r="11644">
      <c r="F11644" s="17"/>
    </row>
    <row r="11645">
      <c r="F11645" s="17"/>
    </row>
    <row r="11646">
      <c r="F11646" s="17"/>
    </row>
    <row r="11647">
      <c r="F11647" s="17"/>
    </row>
    <row r="11648">
      <c r="F11648" s="17"/>
    </row>
    <row r="11649">
      <c r="F11649" s="17"/>
    </row>
    <row r="11650">
      <c r="F11650" s="17"/>
    </row>
    <row r="11651">
      <c r="F11651" s="17"/>
    </row>
    <row r="11652">
      <c r="F11652" s="17"/>
    </row>
    <row r="11653">
      <c r="F11653" s="17"/>
    </row>
    <row r="11654">
      <c r="F11654" s="17"/>
    </row>
    <row r="11655">
      <c r="F11655" s="17"/>
    </row>
    <row r="11656">
      <c r="F11656" s="17"/>
    </row>
    <row r="11657">
      <c r="F11657" s="17"/>
    </row>
    <row r="11658">
      <c r="F11658" s="17"/>
    </row>
    <row r="11659">
      <c r="F11659" s="17"/>
    </row>
    <row r="11660">
      <c r="F11660" s="17"/>
    </row>
    <row r="11661">
      <c r="F11661" s="17"/>
    </row>
    <row r="11662">
      <c r="F11662" s="17"/>
    </row>
    <row r="11663">
      <c r="F11663" s="17"/>
    </row>
    <row r="11664">
      <c r="F11664" s="17"/>
    </row>
    <row r="11665">
      <c r="F11665" s="17"/>
    </row>
    <row r="11666">
      <c r="F11666" s="17"/>
    </row>
    <row r="11667">
      <c r="F11667" s="17"/>
    </row>
    <row r="11668">
      <c r="F11668" s="17"/>
    </row>
    <row r="11669">
      <c r="F11669" s="17"/>
    </row>
    <row r="11670">
      <c r="F11670" s="17"/>
    </row>
    <row r="11671">
      <c r="F11671" s="17"/>
    </row>
    <row r="11672">
      <c r="F11672" s="17"/>
    </row>
    <row r="11673">
      <c r="F11673" s="17"/>
    </row>
    <row r="11674">
      <c r="F11674" s="17"/>
    </row>
    <row r="11675">
      <c r="F11675" s="17"/>
    </row>
    <row r="11676">
      <c r="F11676" s="17"/>
    </row>
    <row r="11677">
      <c r="F11677" s="17"/>
    </row>
    <row r="11678">
      <c r="F11678" s="17"/>
    </row>
    <row r="11679">
      <c r="F11679" s="17"/>
    </row>
    <row r="11680">
      <c r="F11680" s="17"/>
    </row>
    <row r="11681">
      <c r="F11681" s="17"/>
    </row>
    <row r="11682">
      <c r="F11682" s="17"/>
    </row>
    <row r="11683">
      <c r="F11683" s="17"/>
    </row>
    <row r="11684">
      <c r="F11684" s="17"/>
    </row>
    <row r="11685">
      <c r="F11685" s="17"/>
    </row>
    <row r="11686">
      <c r="F11686" s="17"/>
    </row>
    <row r="11687">
      <c r="F11687" s="17"/>
    </row>
    <row r="11688">
      <c r="F11688" s="17"/>
    </row>
    <row r="11689">
      <c r="F11689" s="17"/>
    </row>
    <row r="11690">
      <c r="F11690" s="17"/>
    </row>
    <row r="11691">
      <c r="F11691" s="17"/>
    </row>
    <row r="11692">
      <c r="F11692" s="17"/>
    </row>
    <row r="11693">
      <c r="F11693" s="17"/>
    </row>
    <row r="11694">
      <c r="F11694" s="17"/>
    </row>
    <row r="11695">
      <c r="F11695" s="17"/>
    </row>
    <row r="11696">
      <c r="F11696" s="17"/>
    </row>
    <row r="11697">
      <c r="F11697" s="17"/>
    </row>
    <row r="11698">
      <c r="F11698" s="17"/>
    </row>
    <row r="11699">
      <c r="F11699" s="17"/>
    </row>
    <row r="11700">
      <c r="F11700" s="17"/>
    </row>
    <row r="11701">
      <c r="F11701" s="17"/>
    </row>
    <row r="11702">
      <c r="F11702" s="17"/>
    </row>
    <row r="11703">
      <c r="F11703" s="17"/>
    </row>
    <row r="11704">
      <c r="F11704" s="17"/>
    </row>
    <row r="11705">
      <c r="F11705" s="17"/>
    </row>
    <row r="11706">
      <c r="F11706" s="17"/>
    </row>
    <row r="11707">
      <c r="F11707" s="17"/>
    </row>
    <row r="11708">
      <c r="F11708" s="17"/>
    </row>
    <row r="11709">
      <c r="F11709" s="17"/>
    </row>
    <row r="11710">
      <c r="F11710" s="17"/>
    </row>
    <row r="11711">
      <c r="F11711" s="17"/>
    </row>
    <row r="11712">
      <c r="F11712" s="17"/>
    </row>
    <row r="11713">
      <c r="F11713" s="17"/>
    </row>
    <row r="11714">
      <c r="F11714" s="17"/>
    </row>
    <row r="11715">
      <c r="F11715" s="17"/>
    </row>
    <row r="11716">
      <c r="F11716" s="17"/>
    </row>
    <row r="11717">
      <c r="F11717" s="17"/>
    </row>
    <row r="11718">
      <c r="F11718" s="17"/>
    </row>
    <row r="11719">
      <c r="F11719" s="17"/>
    </row>
    <row r="11720">
      <c r="F11720" s="17"/>
    </row>
    <row r="11721">
      <c r="F11721" s="17"/>
    </row>
    <row r="11722">
      <c r="F11722" s="17"/>
    </row>
    <row r="11723">
      <c r="F11723" s="17"/>
    </row>
    <row r="11724">
      <c r="F11724" s="17"/>
    </row>
    <row r="11725">
      <c r="F11725" s="17"/>
    </row>
    <row r="11726">
      <c r="F11726" s="17"/>
    </row>
    <row r="11727">
      <c r="F11727" s="17"/>
    </row>
    <row r="11728">
      <c r="F11728" s="17"/>
    </row>
    <row r="11729">
      <c r="F11729" s="17"/>
    </row>
    <row r="11730">
      <c r="F11730" s="17"/>
    </row>
    <row r="11731">
      <c r="F11731" s="17"/>
    </row>
    <row r="11732">
      <c r="F11732" s="17"/>
    </row>
    <row r="11733">
      <c r="F11733" s="17"/>
    </row>
    <row r="11734">
      <c r="F11734" s="17"/>
    </row>
    <row r="11735">
      <c r="F11735" s="17"/>
    </row>
    <row r="11736">
      <c r="F11736" s="17"/>
    </row>
    <row r="11737">
      <c r="F11737" s="17"/>
    </row>
    <row r="11738">
      <c r="F11738" s="17"/>
    </row>
    <row r="11739">
      <c r="F11739" s="17"/>
    </row>
    <row r="11740">
      <c r="F11740" s="17"/>
    </row>
    <row r="11741">
      <c r="F11741" s="17"/>
    </row>
    <row r="11742">
      <c r="F11742" s="17"/>
    </row>
    <row r="11743">
      <c r="F11743" s="17"/>
    </row>
    <row r="11744">
      <c r="F11744" s="17"/>
    </row>
    <row r="11745">
      <c r="F11745" s="17"/>
    </row>
    <row r="11746">
      <c r="F11746" s="17"/>
    </row>
    <row r="11747">
      <c r="F11747" s="17"/>
    </row>
    <row r="11748">
      <c r="F11748" s="17"/>
    </row>
    <row r="11749">
      <c r="F11749" s="17"/>
    </row>
    <row r="11750">
      <c r="F11750" s="17"/>
    </row>
    <row r="11751">
      <c r="F11751" s="17"/>
    </row>
    <row r="11752">
      <c r="F11752" s="17"/>
    </row>
    <row r="11753">
      <c r="F11753" s="17"/>
    </row>
    <row r="11754">
      <c r="F11754" s="17"/>
    </row>
    <row r="11755">
      <c r="F11755" s="17"/>
    </row>
    <row r="11756">
      <c r="F11756" s="17"/>
    </row>
    <row r="11757">
      <c r="F11757" s="17"/>
    </row>
    <row r="11758">
      <c r="F11758" s="17"/>
    </row>
    <row r="11759">
      <c r="F11759" s="17"/>
    </row>
    <row r="11760">
      <c r="F11760" s="17"/>
    </row>
    <row r="11761">
      <c r="F11761" s="17"/>
    </row>
    <row r="11762">
      <c r="F11762" s="17"/>
    </row>
    <row r="11763">
      <c r="F11763" s="17"/>
    </row>
    <row r="11764">
      <c r="F11764" s="17"/>
    </row>
    <row r="11765">
      <c r="F11765" s="17"/>
    </row>
    <row r="11766">
      <c r="F11766" s="17"/>
    </row>
    <row r="11767">
      <c r="F11767" s="17"/>
    </row>
    <row r="11768">
      <c r="F11768" s="17"/>
    </row>
    <row r="11769">
      <c r="F11769" s="17"/>
    </row>
    <row r="11770">
      <c r="F11770" s="17"/>
    </row>
    <row r="11771">
      <c r="F11771" s="17"/>
    </row>
    <row r="11772">
      <c r="F11772" s="17"/>
    </row>
    <row r="11773">
      <c r="F11773" s="17"/>
    </row>
    <row r="11774">
      <c r="F11774" s="17"/>
    </row>
    <row r="11775">
      <c r="F11775" s="17"/>
    </row>
    <row r="11776">
      <c r="F11776" s="17"/>
    </row>
    <row r="11777">
      <c r="F11777" s="17"/>
    </row>
    <row r="11778">
      <c r="F11778" s="17"/>
    </row>
    <row r="11779">
      <c r="F11779" s="17"/>
    </row>
    <row r="11780">
      <c r="F11780" s="17"/>
    </row>
    <row r="11781">
      <c r="F11781" s="17"/>
    </row>
    <row r="11782">
      <c r="F11782" s="17"/>
    </row>
    <row r="11783">
      <c r="F11783" s="17"/>
    </row>
    <row r="11784">
      <c r="F11784" s="17"/>
    </row>
    <row r="11785">
      <c r="F11785" s="17"/>
    </row>
    <row r="11786">
      <c r="F11786" s="17"/>
    </row>
    <row r="11787">
      <c r="F11787" s="17"/>
    </row>
    <row r="11788">
      <c r="F11788" s="17"/>
    </row>
    <row r="11789">
      <c r="F11789" s="17"/>
    </row>
    <row r="11790">
      <c r="F11790" s="17"/>
    </row>
    <row r="11791">
      <c r="F11791" s="17"/>
    </row>
    <row r="11792">
      <c r="F11792" s="17"/>
    </row>
    <row r="11793">
      <c r="F11793" s="17"/>
    </row>
    <row r="11794">
      <c r="F11794" s="17"/>
    </row>
    <row r="11795">
      <c r="F11795" s="17"/>
    </row>
    <row r="11796">
      <c r="F11796" s="17"/>
    </row>
    <row r="11797">
      <c r="F11797" s="17"/>
    </row>
    <row r="11798">
      <c r="F11798" s="17"/>
    </row>
    <row r="11799">
      <c r="F11799" s="17"/>
    </row>
    <row r="11800">
      <c r="F11800" s="17"/>
    </row>
    <row r="11801">
      <c r="F11801" s="17"/>
    </row>
    <row r="11802">
      <c r="F11802" s="17"/>
    </row>
    <row r="11803">
      <c r="F11803" s="17"/>
    </row>
    <row r="11804">
      <c r="F11804" s="17"/>
    </row>
    <row r="11805">
      <c r="F11805" s="17"/>
    </row>
    <row r="11806">
      <c r="F11806" s="17"/>
    </row>
    <row r="11807">
      <c r="F11807" s="17"/>
    </row>
    <row r="11808">
      <c r="F11808" s="17"/>
    </row>
    <row r="11809">
      <c r="F11809" s="17"/>
    </row>
    <row r="11810">
      <c r="F11810" s="17"/>
    </row>
    <row r="11811">
      <c r="F11811" s="17"/>
    </row>
    <row r="11812">
      <c r="F11812" s="17"/>
    </row>
    <row r="11813">
      <c r="F11813" s="17"/>
    </row>
    <row r="11814">
      <c r="F11814" s="17"/>
    </row>
    <row r="11815">
      <c r="F11815" s="17"/>
    </row>
    <row r="11816">
      <c r="F11816" s="17"/>
    </row>
    <row r="11817">
      <c r="F11817" s="17"/>
    </row>
    <row r="11818">
      <c r="F11818" s="17"/>
    </row>
    <row r="11819">
      <c r="F11819" s="17"/>
    </row>
    <row r="11820">
      <c r="F11820" s="17"/>
    </row>
    <row r="11821">
      <c r="F11821" s="17"/>
    </row>
    <row r="11822">
      <c r="F11822" s="17"/>
    </row>
    <row r="11823">
      <c r="F11823" s="17"/>
    </row>
    <row r="11824">
      <c r="F11824" s="17"/>
    </row>
    <row r="11825">
      <c r="F11825" s="17"/>
    </row>
    <row r="11826">
      <c r="F11826" s="17"/>
    </row>
    <row r="11827">
      <c r="F11827" s="17"/>
    </row>
    <row r="11828">
      <c r="F11828" s="17"/>
    </row>
    <row r="11829">
      <c r="F11829" s="17"/>
    </row>
    <row r="11830">
      <c r="F11830" s="17"/>
    </row>
    <row r="11831">
      <c r="F11831" s="17"/>
    </row>
    <row r="11832">
      <c r="F11832" s="17"/>
    </row>
    <row r="11833">
      <c r="F11833" s="17"/>
    </row>
    <row r="11834">
      <c r="F11834" s="17"/>
    </row>
    <row r="11835">
      <c r="F11835" s="17"/>
    </row>
    <row r="11836">
      <c r="F11836" s="17"/>
    </row>
    <row r="11837">
      <c r="F11837" s="17"/>
    </row>
    <row r="11838">
      <c r="F11838" s="17"/>
    </row>
    <row r="11839">
      <c r="F11839" s="17"/>
    </row>
    <row r="11840">
      <c r="F11840" s="17"/>
    </row>
    <row r="11841">
      <c r="F11841" s="17"/>
    </row>
    <row r="11842">
      <c r="F11842" s="17"/>
    </row>
    <row r="11843">
      <c r="F11843" s="17"/>
    </row>
    <row r="11844">
      <c r="F11844" s="17"/>
    </row>
    <row r="11845">
      <c r="F11845" s="17"/>
    </row>
    <row r="11846">
      <c r="F11846" s="17"/>
    </row>
    <row r="11847">
      <c r="F11847" s="17"/>
    </row>
    <row r="11848">
      <c r="F11848" s="17"/>
    </row>
    <row r="11849">
      <c r="F11849" s="17"/>
    </row>
    <row r="11850">
      <c r="F11850" s="17"/>
    </row>
    <row r="11851">
      <c r="F11851" s="17"/>
    </row>
    <row r="11852">
      <c r="F11852" s="17"/>
    </row>
    <row r="11853">
      <c r="F11853" s="17"/>
    </row>
    <row r="11854">
      <c r="F11854" s="17"/>
    </row>
    <row r="11855">
      <c r="F11855" s="17"/>
    </row>
    <row r="11856">
      <c r="F11856" s="17"/>
    </row>
    <row r="11857">
      <c r="F11857" s="17"/>
    </row>
    <row r="11858">
      <c r="F11858" s="17"/>
    </row>
    <row r="11859">
      <c r="F11859" s="17"/>
    </row>
    <row r="11860">
      <c r="F11860" s="17"/>
    </row>
    <row r="11861">
      <c r="F11861" s="17"/>
    </row>
    <row r="11862">
      <c r="F11862" s="17"/>
    </row>
    <row r="11863">
      <c r="F11863" s="17"/>
    </row>
    <row r="11864">
      <c r="F11864" s="17"/>
    </row>
    <row r="11865">
      <c r="F11865" s="17"/>
    </row>
    <row r="11866">
      <c r="F11866" s="17"/>
    </row>
    <row r="11867">
      <c r="F11867" s="17"/>
    </row>
    <row r="11868">
      <c r="F11868" s="17"/>
    </row>
    <row r="11869">
      <c r="F11869" s="17"/>
    </row>
    <row r="11870">
      <c r="F11870" s="17"/>
    </row>
    <row r="11871">
      <c r="F11871" s="17"/>
    </row>
    <row r="11872">
      <c r="F11872" s="17"/>
    </row>
    <row r="11873">
      <c r="F11873" s="17"/>
    </row>
    <row r="11874">
      <c r="F11874" s="17"/>
    </row>
    <row r="11875">
      <c r="F11875" s="17"/>
    </row>
    <row r="11876">
      <c r="F11876" s="17"/>
    </row>
    <row r="11877">
      <c r="F11877" s="17"/>
    </row>
    <row r="11878">
      <c r="F11878" s="17"/>
    </row>
    <row r="11879">
      <c r="F11879" s="17"/>
    </row>
    <row r="11880">
      <c r="F11880" s="17"/>
    </row>
    <row r="11881">
      <c r="F11881" s="17"/>
    </row>
    <row r="11882">
      <c r="F11882" s="17"/>
    </row>
    <row r="11883">
      <c r="F11883" s="17"/>
    </row>
    <row r="11884">
      <c r="F11884" s="17"/>
    </row>
    <row r="11885">
      <c r="F11885" s="17"/>
    </row>
    <row r="11886">
      <c r="F11886" s="17"/>
    </row>
    <row r="11887">
      <c r="F11887" s="17"/>
    </row>
    <row r="11888">
      <c r="F11888" s="17"/>
    </row>
    <row r="11889">
      <c r="F11889" s="17"/>
    </row>
    <row r="11890">
      <c r="F11890" s="17"/>
    </row>
    <row r="11891">
      <c r="F11891" s="17"/>
    </row>
    <row r="11892">
      <c r="F11892" s="17"/>
    </row>
    <row r="11893">
      <c r="F11893" s="17"/>
    </row>
    <row r="11894">
      <c r="F11894" s="17"/>
    </row>
    <row r="11895">
      <c r="F11895" s="17"/>
    </row>
    <row r="11896">
      <c r="F11896" s="17"/>
    </row>
    <row r="11897">
      <c r="F11897" s="17"/>
    </row>
    <row r="11898">
      <c r="F11898" s="17"/>
    </row>
    <row r="11899">
      <c r="F11899" s="17"/>
    </row>
    <row r="11900">
      <c r="F11900" s="17"/>
    </row>
    <row r="11901">
      <c r="F11901" s="17"/>
    </row>
    <row r="11902">
      <c r="F11902" s="17"/>
    </row>
    <row r="11903">
      <c r="F11903" s="17"/>
    </row>
    <row r="11904">
      <c r="F11904" s="17"/>
    </row>
    <row r="11905">
      <c r="F11905" s="17"/>
    </row>
    <row r="11906">
      <c r="F11906" s="17"/>
    </row>
    <row r="11907">
      <c r="F11907" s="17"/>
    </row>
    <row r="11908">
      <c r="F11908" s="17"/>
    </row>
    <row r="11909">
      <c r="F11909" s="17"/>
    </row>
    <row r="11910">
      <c r="F11910" s="17"/>
    </row>
    <row r="11911">
      <c r="F11911" s="17"/>
    </row>
    <row r="11912">
      <c r="F11912" s="17"/>
    </row>
    <row r="11913">
      <c r="F11913" s="17"/>
    </row>
    <row r="11914">
      <c r="F11914" s="17"/>
    </row>
    <row r="11915">
      <c r="F11915" s="17"/>
    </row>
    <row r="11916">
      <c r="F11916" s="17"/>
    </row>
    <row r="11917">
      <c r="F11917" s="17"/>
    </row>
    <row r="11918">
      <c r="F11918" s="17"/>
    </row>
    <row r="11919">
      <c r="F11919" s="17"/>
    </row>
    <row r="11920">
      <c r="F11920" s="17"/>
    </row>
    <row r="11921">
      <c r="F11921" s="17"/>
    </row>
    <row r="11922">
      <c r="F11922" s="17"/>
    </row>
    <row r="11923">
      <c r="F11923" s="17"/>
    </row>
    <row r="11924">
      <c r="F11924" s="17"/>
    </row>
    <row r="11925">
      <c r="F11925" s="17"/>
    </row>
    <row r="11926">
      <c r="F11926" s="17"/>
    </row>
    <row r="11927">
      <c r="F11927" s="17"/>
    </row>
    <row r="11928">
      <c r="F11928" s="17"/>
    </row>
    <row r="11929">
      <c r="F11929" s="17"/>
    </row>
    <row r="11930">
      <c r="F11930" s="17"/>
    </row>
    <row r="11931">
      <c r="F11931" s="17"/>
    </row>
    <row r="11932">
      <c r="F11932" s="17"/>
    </row>
    <row r="11933">
      <c r="F11933" s="17"/>
    </row>
    <row r="11934">
      <c r="F11934" s="17"/>
    </row>
    <row r="11935">
      <c r="F11935" s="17"/>
    </row>
    <row r="11936">
      <c r="F11936" s="17"/>
    </row>
    <row r="11937">
      <c r="F11937" s="17"/>
    </row>
    <row r="11938">
      <c r="F11938" s="17"/>
    </row>
    <row r="11939">
      <c r="F11939" s="17"/>
    </row>
    <row r="11940">
      <c r="F11940" s="17"/>
    </row>
    <row r="11941">
      <c r="F11941" s="17"/>
    </row>
    <row r="11942">
      <c r="F11942" s="17"/>
    </row>
    <row r="11943">
      <c r="F11943" s="17"/>
    </row>
    <row r="11944">
      <c r="F11944" s="17"/>
    </row>
    <row r="11945">
      <c r="F11945" s="17"/>
    </row>
    <row r="11946">
      <c r="F11946" s="17"/>
    </row>
    <row r="11947">
      <c r="F11947" s="17"/>
    </row>
    <row r="11948">
      <c r="F11948" s="17"/>
    </row>
    <row r="11949">
      <c r="F11949" s="17"/>
    </row>
    <row r="11950">
      <c r="F11950" s="17"/>
    </row>
    <row r="11951">
      <c r="F11951" s="17"/>
    </row>
    <row r="11952">
      <c r="F11952" s="17"/>
    </row>
    <row r="11953">
      <c r="F11953" s="17"/>
    </row>
    <row r="11954">
      <c r="F11954" s="17"/>
    </row>
    <row r="11955">
      <c r="F11955" s="17"/>
    </row>
    <row r="11956">
      <c r="F11956" s="17"/>
    </row>
    <row r="11957">
      <c r="F11957" s="17"/>
    </row>
    <row r="11958">
      <c r="F11958" s="17"/>
    </row>
    <row r="11959">
      <c r="F11959" s="17"/>
    </row>
    <row r="11960">
      <c r="F11960" s="17"/>
    </row>
    <row r="11961">
      <c r="F11961" s="17"/>
    </row>
    <row r="11962">
      <c r="F11962" s="17"/>
    </row>
    <row r="11963">
      <c r="F11963" s="17"/>
    </row>
    <row r="11964">
      <c r="F11964" s="17"/>
    </row>
    <row r="11965">
      <c r="F11965" s="17"/>
    </row>
    <row r="11966">
      <c r="F11966" s="17"/>
    </row>
    <row r="11967">
      <c r="F11967" s="17"/>
    </row>
    <row r="11968">
      <c r="F11968" s="17"/>
    </row>
    <row r="11969">
      <c r="F11969" s="17"/>
    </row>
    <row r="11970">
      <c r="F11970" s="17"/>
    </row>
    <row r="11971">
      <c r="F11971" s="17"/>
    </row>
    <row r="11972">
      <c r="F11972" s="17"/>
    </row>
    <row r="11973">
      <c r="F11973" s="17"/>
    </row>
    <row r="11974">
      <c r="F11974" s="17"/>
    </row>
    <row r="11975">
      <c r="F11975" s="17"/>
    </row>
    <row r="11976">
      <c r="F11976" s="17"/>
    </row>
    <row r="11977">
      <c r="F11977" s="17"/>
    </row>
    <row r="11978">
      <c r="F11978" s="17"/>
    </row>
    <row r="11979">
      <c r="F11979" s="17"/>
    </row>
    <row r="11980">
      <c r="F11980" s="17"/>
    </row>
    <row r="11981">
      <c r="F11981" s="17"/>
    </row>
    <row r="11982">
      <c r="F11982" s="17"/>
    </row>
    <row r="11983">
      <c r="F11983" s="17"/>
    </row>
    <row r="11984">
      <c r="F11984" s="17"/>
    </row>
    <row r="11985">
      <c r="F11985" s="17"/>
    </row>
    <row r="11986">
      <c r="F11986" s="17"/>
    </row>
    <row r="11987">
      <c r="F11987" s="17"/>
    </row>
    <row r="11988">
      <c r="F11988" s="17"/>
    </row>
    <row r="11989">
      <c r="F11989" s="17"/>
    </row>
    <row r="11990">
      <c r="F11990" s="17"/>
    </row>
    <row r="11991">
      <c r="F11991" s="17"/>
    </row>
    <row r="11992">
      <c r="F11992" s="17"/>
    </row>
    <row r="11993">
      <c r="F11993" s="17"/>
    </row>
    <row r="11994">
      <c r="F11994" s="17"/>
    </row>
    <row r="11995">
      <c r="F11995" s="17"/>
    </row>
    <row r="11996">
      <c r="F11996" s="17"/>
    </row>
    <row r="11997">
      <c r="F11997" s="17"/>
    </row>
    <row r="11998">
      <c r="F11998" s="17"/>
    </row>
    <row r="11999">
      <c r="F11999" s="17"/>
    </row>
    <row r="12000">
      <c r="F12000" s="17"/>
    </row>
    <row r="12001">
      <c r="F12001" s="17"/>
    </row>
    <row r="12002">
      <c r="F12002" s="17"/>
    </row>
    <row r="12003">
      <c r="F12003" s="17"/>
    </row>
    <row r="12004">
      <c r="F12004" s="17"/>
    </row>
    <row r="12005">
      <c r="F12005" s="17"/>
    </row>
    <row r="12006">
      <c r="F12006" s="17"/>
    </row>
    <row r="12007">
      <c r="F12007" s="17"/>
    </row>
    <row r="12008">
      <c r="F12008" s="17"/>
    </row>
    <row r="12009">
      <c r="F12009" s="17"/>
    </row>
    <row r="12010">
      <c r="F12010" s="17"/>
    </row>
    <row r="12011">
      <c r="F12011" s="17"/>
    </row>
    <row r="12012">
      <c r="F12012" s="17"/>
    </row>
    <row r="12013">
      <c r="F12013" s="17"/>
    </row>
    <row r="12014">
      <c r="F12014" s="17"/>
    </row>
    <row r="12015">
      <c r="F12015" s="17"/>
    </row>
    <row r="12016">
      <c r="F12016" s="17"/>
    </row>
    <row r="12017">
      <c r="F12017" s="17"/>
    </row>
    <row r="12018">
      <c r="F12018" s="17"/>
    </row>
    <row r="12019">
      <c r="F12019" s="17"/>
    </row>
    <row r="12020">
      <c r="F12020" s="17"/>
    </row>
    <row r="12021">
      <c r="F12021" s="17"/>
    </row>
    <row r="12022">
      <c r="F12022" s="17"/>
    </row>
    <row r="12023">
      <c r="F12023" s="17"/>
    </row>
    <row r="12024">
      <c r="F12024" s="17"/>
    </row>
    <row r="12025">
      <c r="F12025" s="17"/>
    </row>
    <row r="12026">
      <c r="F12026" s="17"/>
    </row>
    <row r="12027">
      <c r="F12027" s="17"/>
    </row>
    <row r="12028">
      <c r="F12028" s="17"/>
    </row>
    <row r="12029">
      <c r="F12029" s="17"/>
    </row>
    <row r="12030">
      <c r="F12030" s="17"/>
    </row>
    <row r="12031">
      <c r="F12031" s="17"/>
    </row>
    <row r="12032">
      <c r="F12032" s="17"/>
    </row>
    <row r="12033">
      <c r="F12033" s="17"/>
    </row>
    <row r="12034">
      <c r="F12034" s="17"/>
    </row>
    <row r="12035">
      <c r="F12035" s="17"/>
    </row>
    <row r="12036">
      <c r="F12036" s="17"/>
    </row>
    <row r="12037">
      <c r="F12037" s="17"/>
    </row>
    <row r="12038">
      <c r="F12038" s="17"/>
    </row>
    <row r="12039">
      <c r="F12039" s="17"/>
    </row>
    <row r="12040">
      <c r="F12040" s="17"/>
    </row>
    <row r="12041">
      <c r="F12041" s="17"/>
    </row>
    <row r="12042">
      <c r="F12042" s="17"/>
    </row>
    <row r="12043">
      <c r="F12043" s="17"/>
    </row>
    <row r="12044">
      <c r="F12044" s="17"/>
    </row>
    <row r="12045">
      <c r="F12045" s="17"/>
    </row>
    <row r="12046">
      <c r="F12046" s="17"/>
    </row>
    <row r="12047">
      <c r="F12047" s="17"/>
    </row>
    <row r="12048">
      <c r="F12048" s="17"/>
    </row>
    <row r="12049">
      <c r="F12049" s="17"/>
    </row>
    <row r="12050">
      <c r="F12050" s="17"/>
    </row>
    <row r="12051">
      <c r="F12051" s="17"/>
    </row>
    <row r="12052">
      <c r="F12052" s="17"/>
    </row>
    <row r="12053">
      <c r="F12053" s="17"/>
    </row>
    <row r="12054">
      <c r="F12054" s="17"/>
    </row>
    <row r="12055">
      <c r="F12055" s="17"/>
    </row>
    <row r="12056">
      <c r="F12056" s="17"/>
    </row>
    <row r="12057">
      <c r="F12057" s="17"/>
    </row>
    <row r="12058">
      <c r="F12058" s="17"/>
    </row>
    <row r="12059">
      <c r="F12059" s="17"/>
    </row>
    <row r="12060">
      <c r="F12060" s="17"/>
    </row>
    <row r="12061">
      <c r="F12061" s="17"/>
    </row>
    <row r="12062">
      <c r="F12062" s="17"/>
    </row>
    <row r="12063">
      <c r="F12063" s="17"/>
    </row>
    <row r="12064">
      <c r="F12064" s="17"/>
    </row>
    <row r="12065">
      <c r="F12065" s="17"/>
    </row>
    <row r="12066">
      <c r="F12066" s="17"/>
    </row>
    <row r="12067">
      <c r="F12067" s="17"/>
    </row>
    <row r="12068">
      <c r="F12068" s="17"/>
    </row>
    <row r="12069">
      <c r="F12069" s="17"/>
    </row>
    <row r="12070">
      <c r="F12070" s="17"/>
    </row>
    <row r="12071">
      <c r="F12071" s="17"/>
    </row>
    <row r="12072">
      <c r="F12072" s="17"/>
    </row>
    <row r="12073">
      <c r="F12073" s="17"/>
    </row>
    <row r="12074">
      <c r="F12074" s="17"/>
    </row>
    <row r="12075">
      <c r="F12075" s="17"/>
    </row>
    <row r="12076">
      <c r="F12076" s="17"/>
    </row>
    <row r="12077">
      <c r="F12077" s="17"/>
    </row>
    <row r="12078">
      <c r="F12078" s="17"/>
    </row>
    <row r="12079">
      <c r="F12079" s="17"/>
    </row>
    <row r="12080">
      <c r="F12080" s="17"/>
    </row>
    <row r="12081">
      <c r="F12081" s="17"/>
    </row>
    <row r="12082">
      <c r="F12082" s="17"/>
    </row>
    <row r="12083">
      <c r="F12083" s="17"/>
    </row>
    <row r="12084">
      <c r="F12084" s="17"/>
    </row>
    <row r="12085">
      <c r="F12085" s="17"/>
    </row>
    <row r="12086">
      <c r="F12086" s="17"/>
    </row>
    <row r="12087">
      <c r="F12087" s="17"/>
    </row>
    <row r="12088">
      <c r="F12088" s="17"/>
    </row>
    <row r="12089">
      <c r="F12089" s="17"/>
    </row>
    <row r="12090">
      <c r="F12090" s="17"/>
    </row>
    <row r="12091">
      <c r="F12091" s="17"/>
    </row>
    <row r="12092">
      <c r="F12092" s="17"/>
    </row>
    <row r="12093">
      <c r="F12093" s="17"/>
    </row>
    <row r="12094">
      <c r="F12094" s="17"/>
    </row>
    <row r="12095">
      <c r="F12095" s="17"/>
    </row>
    <row r="12096">
      <c r="F12096" s="17"/>
    </row>
    <row r="12097">
      <c r="F12097" s="17"/>
    </row>
    <row r="12098">
      <c r="F12098" s="17"/>
    </row>
    <row r="12099">
      <c r="F12099" s="17"/>
    </row>
    <row r="12100">
      <c r="F12100" s="17"/>
    </row>
    <row r="12101">
      <c r="F12101" s="17"/>
    </row>
    <row r="12102">
      <c r="F12102" s="17"/>
    </row>
    <row r="12103">
      <c r="F12103" s="17"/>
    </row>
    <row r="12104">
      <c r="F12104" s="17"/>
    </row>
    <row r="12105">
      <c r="F12105" s="17"/>
    </row>
    <row r="12106">
      <c r="F12106" s="17"/>
    </row>
    <row r="12107">
      <c r="F12107" s="17"/>
    </row>
    <row r="12108">
      <c r="F12108" s="17"/>
    </row>
    <row r="12109">
      <c r="F12109" s="17"/>
    </row>
    <row r="12110">
      <c r="F12110" s="17"/>
    </row>
    <row r="12111">
      <c r="F12111" s="17"/>
    </row>
    <row r="12112">
      <c r="F12112" s="17"/>
    </row>
    <row r="12113">
      <c r="F12113" s="17"/>
    </row>
    <row r="12114">
      <c r="F12114" s="17"/>
    </row>
    <row r="12115">
      <c r="F12115" s="17"/>
    </row>
    <row r="12116">
      <c r="F12116" s="17"/>
    </row>
    <row r="12117">
      <c r="F12117" s="17"/>
    </row>
    <row r="12118">
      <c r="F12118" s="17"/>
    </row>
    <row r="12119">
      <c r="F12119" s="17"/>
    </row>
    <row r="12120">
      <c r="F12120" s="17"/>
    </row>
    <row r="12121">
      <c r="F12121" s="17"/>
    </row>
    <row r="12122">
      <c r="F12122" s="17"/>
    </row>
    <row r="12123">
      <c r="F12123" s="17"/>
    </row>
    <row r="12124">
      <c r="F12124" s="17"/>
    </row>
    <row r="12125">
      <c r="F12125" s="17"/>
    </row>
    <row r="12126">
      <c r="F12126" s="17"/>
    </row>
    <row r="12127">
      <c r="F12127" s="17"/>
    </row>
    <row r="12128">
      <c r="F12128" s="17"/>
    </row>
    <row r="12129">
      <c r="F12129" s="17"/>
    </row>
    <row r="12130">
      <c r="F12130" s="17"/>
    </row>
    <row r="12131">
      <c r="F12131" s="17"/>
    </row>
    <row r="12132">
      <c r="F12132" s="17"/>
    </row>
    <row r="12133">
      <c r="F12133" s="17"/>
    </row>
    <row r="12134">
      <c r="F12134" s="17"/>
    </row>
    <row r="12135">
      <c r="F12135" s="17"/>
    </row>
    <row r="12136">
      <c r="F12136" s="17"/>
    </row>
    <row r="12137">
      <c r="F12137" s="17"/>
    </row>
    <row r="12138">
      <c r="F12138" s="17"/>
    </row>
    <row r="12139">
      <c r="F12139" s="17"/>
    </row>
    <row r="12140">
      <c r="F12140" s="17"/>
    </row>
    <row r="12141">
      <c r="F12141" s="17"/>
    </row>
    <row r="12142">
      <c r="F12142" s="17"/>
    </row>
    <row r="12143">
      <c r="F12143" s="17"/>
    </row>
    <row r="12144">
      <c r="F12144" s="17"/>
    </row>
    <row r="12145">
      <c r="F12145" s="17"/>
    </row>
    <row r="12146">
      <c r="F12146" s="17"/>
    </row>
    <row r="12147">
      <c r="F12147" s="17"/>
    </row>
    <row r="12148">
      <c r="F12148" s="17"/>
    </row>
    <row r="12149">
      <c r="F12149" s="17"/>
    </row>
    <row r="12150">
      <c r="F12150" s="17"/>
    </row>
    <row r="12151">
      <c r="F12151" s="17"/>
    </row>
    <row r="12152">
      <c r="F12152" s="17"/>
    </row>
    <row r="12153">
      <c r="F12153" s="17"/>
    </row>
    <row r="12154">
      <c r="F12154" s="17"/>
    </row>
    <row r="12155">
      <c r="F12155" s="17"/>
    </row>
    <row r="12156">
      <c r="F12156" s="17"/>
    </row>
    <row r="12157">
      <c r="F12157" s="17"/>
    </row>
    <row r="12158">
      <c r="F12158" s="17"/>
    </row>
    <row r="12159">
      <c r="F12159" s="17"/>
    </row>
    <row r="12160">
      <c r="F12160" s="17"/>
    </row>
    <row r="12161">
      <c r="F12161" s="17"/>
    </row>
    <row r="12162">
      <c r="F12162" s="17"/>
    </row>
    <row r="12163">
      <c r="F12163" s="17"/>
    </row>
    <row r="12164">
      <c r="F12164" s="17"/>
    </row>
    <row r="12165">
      <c r="F12165" s="17"/>
    </row>
    <row r="12166">
      <c r="F12166" s="17"/>
    </row>
    <row r="12167">
      <c r="F12167" s="17"/>
    </row>
    <row r="12168">
      <c r="F12168" s="17"/>
    </row>
    <row r="12169">
      <c r="F12169" s="17"/>
    </row>
    <row r="12170">
      <c r="F12170" s="17"/>
    </row>
    <row r="12171">
      <c r="F12171" s="17"/>
    </row>
    <row r="12172">
      <c r="F12172" s="17"/>
    </row>
    <row r="12173">
      <c r="F12173" s="17"/>
    </row>
    <row r="12174">
      <c r="F12174" s="17"/>
    </row>
    <row r="12175">
      <c r="F12175" s="17"/>
    </row>
    <row r="12176">
      <c r="F12176" s="17"/>
    </row>
    <row r="12177">
      <c r="F12177" s="17"/>
    </row>
    <row r="12178">
      <c r="F12178" s="17"/>
    </row>
    <row r="12179">
      <c r="F12179" s="17"/>
    </row>
    <row r="12180">
      <c r="F12180" s="17"/>
    </row>
    <row r="12181">
      <c r="F12181" s="17"/>
    </row>
    <row r="12182">
      <c r="F12182" s="17"/>
    </row>
    <row r="12183">
      <c r="F12183" s="17"/>
    </row>
    <row r="12184">
      <c r="F12184" s="17"/>
    </row>
    <row r="12185">
      <c r="F12185" s="17"/>
    </row>
    <row r="12186">
      <c r="F12186" s="17"/>
    </row>
    <row r="12187">
      <c r="F12187" s="17"/>
    </row>
    <row r="12188">
      <c r="F12188" s="17"/>
    </row>
    <row r="12189">
      <c r="F12189" s="17"/>
    </row>
    <row r="12190">
      <c r="F12190" s="17"/>
    </row>
    <row r="12191">
      <c r="F12191" s="17"/>
    </row>
    <row r="12192">
      <c r="F12192" s="17"/>
    </row>
    <row r="12193">
      <c r="F12193" s="17"/>
    </row>
    <row r="12194">
      <c r="F12194" s="17"/>
    </row>
    <row r="12195">
      <c r="F12195" s="17"/>
    </row>
    <row r="12196">
      <c r="F12196" s="17"/>
    </row>
    <row r="12197">
      <c r="F12197" s="17"/>
    </row>
    <row r="12198">
      <c r="F12198" s="17"/>
    </row>
    <row r="12199">
      <c r="F12199" s="17"/>
    </row>
    <row r="12200">
      <c r="F12200" s="17"/>
    </row>
    <row r="12201">
      <c r="F12201" s="17"/>
    </row>
    <row r="12202">
      <c r="F12202" s="17"/>
    </row>
    <row r="12203">
      <c r="F12203" s="17"/>
    </row>
    <row r="12204">
      <c r="F12204" s="17"/>
    </row>
    <row r="12205">
      <c r="F12205" s="17"/>
    </row>
    <row r="12206">
      <c r="F12206" s="17"/>
    </row>
    <row r="12207">
      <c r="F12207" s="17"/>
    </row>
    <row r="12208">
      <c r="F12208" s="17"/>
    </row>
    <row r="12209">
      <c r="F12209" s="17"/>
    </row>
    <row r="12210">
      <c r="F12210" s="17"/>
    </row>
    <row r="12211">
      <c r="F12211" s="17"/>
    </row>
    <row r="12212">
      <c r="F12212" s="17"/>
    </row>
    <row r="12213">
      <c r="F12213" s="17"/>
    </row>
    <row r="12214">
      <c r="F12214" s="17"/>
    </row>
    <row r="12215">
      <c r="F12215" s="17"/>
    </row>
    <row r="12216">
      <c r="F12216" s="17"/>
    </row>
    <row r="12217">
      <c r="F12217" s="17"/>
    </row>
    <row r="12218">
      <c r="F12218" s="17"/>
    </row>
    <row r="12219">
      <c r="F12219" s="17"/>
    </row>
    <row r="12220">
      <c r="F12220" s="17"/>
    </row>
    <row r="12221">
      <c r="F12221" s="17"/>
    </row>
    <row r="12222">
      <c r="F12222" s="17"/>
    </row>
    <row r="12223">
      <c r="F12223" s="17"/>
    </row>
    <row r="12224">
      <c r="F12224" s="17"/>
    </row>
    <row r="12225">
      <c r="F12225" s="17"/>
    </row>
    <row r="12226">
      <c r="F12226" s="17"/>
    </row>
    <row r="12227">
      <c r="F12227" s="17"/>
    </row>
    <row r="12228">
      <c r="F12228" s="17"/>
    </row>
    <row r="12229">
      <c r="F12229" s="17"/>
    </row>
    <row r="12230">
      <c r="F12230" s="17"/>
    </row>
    <row r="12231">
      <c r="F12231" s="17"/>
    </row>
    <row r="12232">
      <c r="F12232" s="17"/>
    </row>
    <row r="12233">
      <c r="F12233" s="17"/>
    </row>
    <row r="12234">
      <c r="F12234" s="17"/>
    </row>
    <row r="12235">
      <c r="F12235" s="17"/>
    </row>
    <row r="12236">
      <c r="F12236" s="17"/>
    </row>
    <row r="12237">
      <c r="F12237" s="17"/>
    </row>
    <row r="12238">
      <c r="F12238" s="17"/>
    </row>
    <row r="12239">
      <c r="F12239" s="17"/>
    </row>
    <row r="12240">
      <c r="F12240" s="17"/>
    </row>
    <row r="12241">
      <c r="F12241" s="17"/>
    </row>
    <row r="12242">
      <c r="F12242" s="17"/>
    </row>
    <row r="12243">
      <c r="F12243" s="17"/>
    </row>
    <row r="12244">
      <c r="F12244" s="17"/>
    </row>
    <row r="12245">
      <c r="F12245" s="17"/>
    </row>
    <row r="12246">
      <c r="F12246" s="17"/>
    </row>
    <row r="12247">
      <c r="F12247" s="17"/>
    </row>
    <row r="12248">
      <c r="F12248" s="17"/>
    </row>
    <row r="12249">
      <c r="F12249" s="17"/>
    </row>
    <row r="12250">
      <c r="F12250" s="17"/>
    </row>
    <row r="12251">
      <c r="F12251" s="17"/>
    </row>
    <row r="12252">
      <c r="F12252" s="17"/>
    </row>
    <row r="12253">
      <c r="F12253" s="17"/>
    </row>
    <row r="12254">
      <c r="F12254" s="17"/>
    </row>
    <row r="12255">
      <c r="F12255" s="17"/>
    </row>
    <row r="12256">
      <c r="F12256" s="17"/>
    </row>
    <row r="12257">
      <c r="F12257" s="17"/>
    </row>
    <row r="12258">
      <c r="F12258" s="17"/>
    </row>
    <row r="12259">
      <c r="F12259" s="17"/>
    </row>
    <row r="12260">
      <c r="F12260" s="17"/>
    </row>
    <row r="12261">
      <c r="F12261" s="17"/>
    </row>
    <row r="12262">
      <c r="F12262" s="17"/>
    </row>
    <row r="12263">
      <c r="F12263" s="17"/>
    </row>
    <row r="12264">
      <c r="F12264" s="17"/>
    </row>
    <row r="12265">
      <c r="F12265" s="17"/>
    </row>
    <row r="12266">
      <c r="F12266" s="17"/>
    </row>
    <row r="12267">
      <c r="F12267" s="17"/>
    </row>
    <row r="12268">
      <c r="F12268" s="17"/>
    </row>
    <row r="12269">
      <c r="F12269" s="17"/>
    </row>
    <row r="12270">
      <c r="F12270" s="17"/>
    </row>
    <row r="12271">
      <c r="F12271" s="17"/>
    </row>
    <row r="12272">
      <c r="F12272" s="17"/>
    </row>
    <row r="12273">
      <c r="F12273" s="17"/>
    </row>
    <row r="12274">
      <c r="F12274" s="17"/>
    </row>
    <row r="12275">
      <c r="F12275" s="17"/>
    </row>
    <row r="12276">
      <c r="F12276" s="17"/>
    </row>
    <row r="12277">
      <c r="F12277" s="17"/>
    </row>
    <row r="12278">
      <c r="F12278" s="17"/>
    </row>
    <row r="12279">
      <c r="F12279" s="17"/>
    </row>
    <row r="12280">
      <c r="F12280" s="17"/>
    </row>
    <row r="12281">
      <c r="F12281" s="17"/>
    </row>
    <row r="12282">
      <c r="F12282" s="17"/>
    </row>
    <row r="12283">
      <c r="F12283" s="17"/>
    </row>
    <row r="12284">
      <c r="F12284" s="17"/>
    </row>
    <row r="12285">
      <c r="F12285" s="17"/>
    </row>
    <row r="12286">
      <c r="F12286" s="17"/>
    </row>
    <row r="12287">
      <c r="F12287" s="17"/>
    </row>
    <row r="12288">
      <c r="F12288" s="17"/>
    </row>
    <row r="12289">
      <c r="F12289" s="17"/>
    </row>
    <row r="12290">
      <c r="F12290" s="17"/>
    </row>
    <row r="12291">
      <c r="F12291" s="17"/>
    </row>
    <row r="12292">
      <c r="F12292" s="17"/>
    </row>
    <row r="12293">
      <c r="F12293" s="17"/>
    </row>
    <row r="12294">
      <c r="F12294" s="17"/>
    </row>
    <row r="12295">
      <c r="F12295" s="17"/>
    </row>
    <row r="12296">
      <c r="F12296" s="17"/>
    </row>
    <row r="12297">
      <c r="F12297" s="17"/>
    </row>
    <row r="12298">
      <c r="F12298" s="17"/>
    </row>
    <row r="12299">
      <c r="F12299" s="17"/>
    </row>
    <row r="12300">
      <c r="F12300" s="17"/>
    </row>
    <row r="12301">
      <c r="F12301" s="17"/>
    </row>
    <row r="12302">
      <c r="F12302" s="17"/>
    </row>
    <row r="12303">
      <c r="F12303" s="17"/>
    </row>
    <row r="12304">
      <c r="F12304" s="17"/>
    </row>
    <row r="12305">
      <c r="F12305" s="17"/>
    </row>
    <row r="12306">
      <c r="F12306" s="17"/>
    </row>
    <row r="12307">
      <c r="F12307" s="17"/>
    </row>
    <row r="12308">
      <c r="F12308" s="17"/>
    </row>
    <row r="12309">
      <c r="F12309" s="17"/>
    </row>
    <row r="12310">
      <c r="F12310" s="17"/>
    </row>
    <row r="12311">
      <c r="F12311" s="17"/>
    </row>
    <row r="12312">
      <c r="F12312" s="17"/>
    </row>
    <row r="12313">
      <c r="F12313" s="17"/>
    </row>
    <row r="12314">
      <c r="F12314" s="17"/>
    </row>
    <row r="12315">
      <c r="F12315" s="17"/>
    </row>
    <row r="12316">
      <c r="F12316" s="17"/>
    </row>
    <row r="12317">
      <c r="F12317" s="17"/>
    </row>
    <row r="12318">
      <c r="F12318" s="17"/>
    </row>
    <row r="12319">
      <c r="F12319" s="17"/>
    </row>
    <row r="12320">
      <c r="F12320" s="17"/>
    </row>
    <row r="12321">
      <c r="F12321" s="17"/>
    </row>
    <row r="12322">
      <c r="F12322" s="17"/>
    </row>
    <row r="12323">
      <c r="F12323" s="17"/>
    </row>
    <row r="12324">
      <c r="F12324" s="17"/>
    </row>
    <row r="12325">
      <c r="F12325" s="17"/>
    </row>
    <row r="12326">
      <c r="F12326" s="17"/>
    </row>
    <row r="12327">
      <c r="F12327" s="17"/>
    </row>
    <row r="12328">
      <c r="F12328" s="17"/>
    </row>
    <row r="12329">
      <c r="F12329" s="17"/>
    </row>
    <row r="12330">
      <c r="F12330" s="17"/>
    </row>
    <row r="12331">
      <c r="F12331" s="17"/>
    </row>
    <row r="12332">
      <c r="F12332" s="17"/>
    </row>
    <row r="12333">
      <c r="F12333" s="17"/>
    </row>
    <row r="12334">
      <c r="F12334" s="17"/>
    </row>
    <row r="12335">
      <c r="F12335" s="17"/>
    </row>
    <row r="12336">
      <c r="F12336" s="17"/>
    </row>
    <row r="12337">
      <c r="F12337" s="17"/>
    </row>
    <row r="12338">
      <c r="F12338" s="17"/>
    </row>
    <row r="12339">
      <c r="F12339" s="17"/>
    </row>
    <row r="12340">
      <c r="F12340" s="17"/>
    </row>
    <row r="12341">
      <c r="F12341" s="17"/>
    </row>
    <row r="12342">
      <c r="F12342" s="17"/>
    </row>
    <row r="12343">
      <c r="F12343" s="17"/>
    </row>
    <row r="12344">
      <c r="F12344" s="17"/>
    </row>
    <row r="12345">
      <c r="F12345" s="17"/>
    </row>
    <row r="12346">
      <c r="F12346" s="17"/>
    </row>
    <row r="12347">
      <c r="F12347" s="17"/>
    </row>
    <row r="12348">
      <c r="F12348" s="17"/>
    </row>
    <row r="12349">
      <c r="F12349" s="17"/>
    </row>
    <row r="12350">
      <c r="F12350" s="17"/>
    </row>
    <row r="12351">
      <c r="F12351" s="17"/>
    </row>
    <row r="12352">
      <c r="F12352" s="17"/>
    </row>
    <row r="12353">
      <c r="F12353" s="17"/>
    </row>
    <row r="12354">
      <c r="F12354" s="17"/>
    </row>
    <row r="12355">
      <c r="F12355" s="17"/>
    </row>
    <row r="12356">
      <c r="F12356" s="17"/>
    </row>
    <row r="12357">
      <c r="F12357" s="17"/>
    </row>
    <row r="12358">
      <c r="F12358" s="17"/>
    </row>
    <row r="12359">
      <c r="F12359" s="17"/>
    </row>
    <row r="12360">
      <c r="F12360" s="17"/>
    </row>
    <row r="12361">
      <c r="F12361" s="17"/>
    </row>
    <row r="12362">
      <c r="F12362" s="17"/>
    </row>
    <row r="12363">
      <c r="F12363" s="17"/>
    </row>
    <row r="12364">
      <c r="F12364" s="17"/>
    </row>
    <row r="12365">
      <c r="F12365" s="17"/>
    </row>
    <row r="12366">
      <c r="F12366" s="17"/>
    </row>
    <row r="12367">
      <c r="F12367" s="17"/>
    </row>
    <row r="12368">
      <c r="F12368" s="17"/>
    </row>
    <row r="12369">
      <c r="F12369" s="17"/>
    </row>
    <row r="12370">
      <c r="F12370" s="17"/>
    </row>
    <row r="12371">
      <c r="F12371" s="17"/>
    </row>
    <row r="12372">
      <c r="F12372" s="17"/>
    </row>
    <row r="12373">
      <c r="F12373" s="17"/>
    </row>
    <row r="12374">
      <c r="F12374" s="17"/>
    </row>
    <row r="12375">
      <c r="F12375" s="17"/>
    </row>
    <row r="12376">
      <c r="F12376" s="17"/>
    </row>
    <row r="12377">
      <c r="F12377" s="17"/>
    </row>
    <row r="12378">
      <c r="F12378" s="17"/>
    </row>
    <row r="12379">
      <c r="F12379" s="17"/>
    </row>
    <row r="12380">
      <c r="F12380" s="17"/>
    </row>
    <row r="12381">
      <c r="F12381" s="17"/>
    </row>
    <row r="12382">
      <c r="F12382" s="17"/>
    </row>
    <row r="12383">
      <c r="F12383" s="17"/>
    </row>
    <row r="12384">
      <c r="F12384" s="17"/>
    </row>
    <row r="12385">
      <c r="F12385" s="17"/>
    </row>
    <row r="12386">
      <c r="F12386" s="17"/>
    </row>
    <row r="12387">
      <c r="F12387" s="17"/>
    </row>
    <row r="12388">
      <c r="F12388" s="17"/>
    </row>
    <row r="12389">
      <c r="F12389" s="17"/>
    </row>
    <row r="12390">
      <c r="F12390" s="17"/>
    </row>
    <row r="12391">
      <c r="F12391" s="17"/>
    </row>
    <row r="12392">
      <c r="F12392" s="17"/>
    </row>
    <row r="12393">
      <c r="F12393" s="17"/>
    </row>
    <row r="12394">
      <c r="F12394" s="17"/>
    </row>
    <row r="12395">
      <c r="F12395" s="17"/>
    </row>
    <row r="12396">
      <c r="F12396" s="17"/>
    </row>
    <row r="12397">
      <c r="F12397" s="17"/>
    </row>
    <row r="12398">
      <c r="F12398" s="17"/>
    </row>
    <row r="12399">
      <c r="F12399" s="17"/>
    </row>
    <row r="12400">
      <c r="F12400" s="17"/>
    </row>
    <row r="12401">
      <c r="F12401" s="17"/>
    </row>
    <row r="12402">
      <c r="F12402" s="17"/>
    </row>
    <row r="12403">
      <c r="F12403" s="17"/>
    </row>
    <row r="12404">
      <c r="F12404" s="17"/>
    </row>
    <row r="12405">
      <c r="F12405" s="17"/>
    </row>
    <row r="12406">
      <c r="F12406" s="17"/>
    </row>
    <row r="12407">
      <c r="F12407" s="17"/>
    </row>
    <row r="12408">
      <c r="F12408" s="17"/>
    </row>
    <row r="12409">
      <c r="F12409" s="17"/>
    </row>
    <row r="12410">
      <c r="F12410" s="17"/>
    </row>
    <row r="12411">
      <c r="F12411" s="17"/>
    </row>
    <row r="12412">
      <c r="F12412" s="17"/>
    </row>
    <row r="12413">
      <c r="F12413" s="17"/>
    </row>
    <row r="12414">
      <c r="F12414" s="17"/>
    </row>
    <row r="12415">
      <c r="F12415" s="17"/>
    </row>
    <row r="12416">
      <c r="F12416" s="17"/>
    </row>
    <row r="12417">
      <c r="F12417" s="17"/>
    </row>
    <row r="12418">
      <c r="F12418" s="17"/>
    </row>
    <row r="12419">
      <c r="F12419" s="17"/>
    </row>
    <row r="12420">
      <c r="F12420" s="17"/>
    </row>
    <row r="12421">
      <c r="F12421" s="17"/>
    </row>
    <row r="12422">
      <c r="F12422" s="17"/>
    </row>
    <row r="12423">
      <c r="F12423" s="17"/>
    </row>
    <row r="12424">
      <c r="F12424" s="17"/>
    </row>
    <row r="12425">
      <c r="F12425" s="17"/>
    </row>
    <row r="12426">
      <c r="F12426" s="17"/>
    </row>
    <row r="12427">
      <c r="F12427" s="17"/>
    </row>
    <row r="12428">
      <c r="F12428" s="17"/>
    </row>
    <row r="12429">
      <c r="F12429" s="17"/>
    </row>
    <row r="12430">
      <c r="F12430" s="17"/>
    </row>
    <row r="12431">
      <c r="F12431" s="17"/>
    </row>
    <row r="12432">
      <c r="F12432" s="17"/>
    </row>
    <row r="12433">
      <c r="F12433" s="17"/>
    </row>
    <row r="12434">
      <c r="F12434" s="17"/>
    </row>
    <row r="12435">
      <c r="F12435" s="17"/>
    </row>
    <row r="12436">
      <c r="F12436" s="17"/>
    </row>
    <row r="12437">
      <c r="F12437" s="17"/>
    </row>
    <row r="12438">
      <c r="F12438" s="17"/>
    </row>
    <row r="12439">
      <c r="F12439" s="17"/>
    </row>
    <row r="12440">
      <c r="F12440" s="17"/>
    </row>
    <row r="12441">
      <c r="F12441" s="17"/>
    </row>
    <row r="12442">
      <c r="F12442" s="17"/>
    </row>
    <row r="12443">
      <c r="F12443" s="17"/>
    </row>
    <row r="12444">
      <c r="F12444" s="17"/>
    </row>
    <row r="12445">
      <c r="F12445" s="17"/>
    </row>
    <row r="12446">
      <c r="F12446" s="17"/>
    </row>
    <row r="12447">
      <c r="F12447" s="17"/>
    </row>
    <row r="12448">
      <c r="F12448" s="17"/>
    </row>
    <row r="12449">
      <c r="F12449" s="17"/>
    </row>
    <row r="12450">
      <c r="F12450" s="17"/>
    </row>
    <row r="12451">
      <c r="F12451" s="17"/>
    </row>
    <row r="12452">
      <c r="F12452" s="17"/>
    </row>
    <row r="12453">
      <c r="F12453" s="17"/>
    </row>
    <row r="12454">
      <c r="F12454" s="17"/>
    </row>
    <row r="12455">
      <c r="F12455" s="17"/>
    </row>
    <row r="12456">
      <c r="F12456" s="17"/>
    </row>
    <row r="12457">
      <c r="F12457" s="17"/>
    </row>
    <row r="12458">
      <c r="F12458" s="17"/>
    </row>
    <row r="12459">
      <c r="F12459" s="17"/>
    </row>
    <row r="12460">
      <c r="F12460" s="17"/>
    </row>
    <row r="12461">
      <c r="F12461" s="17"/>
    </row>
    <row r="12462">
      <c r="F12462" s="17"/>
    </row>
    <row r="12463">
      <c r="F12463" s="17"/>
    </row>
    <row r="12464">
      <c r="F12464" s="17"/>
    </row>
    <row r="12465">
      <c r="F12465" s="17"/>
    </row>
    <row r="12466">
      <c r="F12466" s="17"/>
    </row>
    <row r="12467">
      <c r="F12467" s="17"/>
    </row>
    <row r="12468">
      <c r="F12468" s="17"/>
    </row>
    <row r="12469">
      <c r="F12469" s="17"/>
    </row>
    <row r="12470">
      <c r="F12470" s="17"/>
    </row>
    <row r="12471">
      <c r="F12471" s="17"/>
    </row>
    <row r="12472">
      <c r="F12472" s="17"/>
    </row>
    <row r="12473">
      <c r="F12473" s="17"/>
    </row>
    <row r="12474">
      <c r="F12474" s="17"/>
    </row>
    <row r="12475">
      <c r="F12475" s="17"/>
    </row>
    <row r="12476">
      <c r="F12476" s="17"/>
    </row>
    <row r="12477">
      <c r="F12477" s="17"/>
    </row>
    <row r="12478">
      <c r="F12478" s="17"/>
    </row>
    <row r="12479">
      <c r="F12479" s="17"/>
    </row>
    <row r="12480">
      <c r="F12480" s="17"/>
    </row>
    <row r="12481">
      <c r="F12481" s="17"/>
    </row>
    <row r="12482">
      <c r="F12482" s="17"/>
    </row>
    <row r="12483">
      <c r="F12483" s="17"/>
    </row>
    <row r="12484">
      <c r="F12484" s="17"/>
    </row>
    <row r="12485">
      <c r="F12485" s="17"/>
    </row>
    <row r="12486">
      <c r="F12486" s="17"/>
    </row>
    <row r="12487">
      <c r="F12487" s="17"/>
    </row>
    <row r="12488">
      <c r="F12488" s="17"/>
    </row>
    <row r="12489">
      <c r="F12489" s="17"/>
    </row>
    <row r="12490">
      <c r="F12490" s="17"/>
    </row>
    <row r="12491">
      <c r="F12491" s="17"/>
    </row>
    <row r="12492">
      <c r="F12492" s="17"/>
    </row>
    <row r="12493">
      <c r="F12493" s="17"/>
    </row>
    <row r="12494">
      <c r="F12494" s="17"/>
    </row>
    <row r="12495">
      <c r="F12495" s="17"/>
    </row>
    <row r="12496">
      <c r="F12496" s="17"/>
    </row>
    <row r="12497">
      <c r="F12497" s="17"/>
    </row>
    <row r="12498">
      <c r="F12498" s="17"/>
    </row>
    <row r="12499">
      <c r="F12499" s="17"/>
    </row>
    <row r="12500">
      <c r="F12500" s="17"/>
    </row>
    <row r="12501">
      <c r="F12501" s="17"/>
    </row>
    <row r="12502">
      <c r="F12502" s="17"/>
    </row>
    <row r="12503">
      <c r="F12503" s="17"/>
    </row>
    <row r="12504">
      <c r="F12504" s="17"/>
    </row>
    <row r="12505">
      <c r="F12505" s="17"/>
    </row>
    <row r="12506">
      <c r="F12506" s="17"/>
    </row>
    <row r="12507">
      <c r="F12507" s="17"/>
    </row>
    <row r="12508">
      <c r="F12508" s="17"/>
    </row>
    <row r="12509">
      <c r="F12509" s="17"/>
    </row>
    <row r="12510">
      <c r="F12510" s="17"/>
    </row>
    <row r="12511">
      <c r="F12511" s="17"/>
    </row>
    <row r="12512">
      <c r="F12512" s="17"/>
    </row>
    <row r="12513">
      <c r="F12513" s="17"/>
    </row>
    <row r="12514">
      <c r="F12514" s="17"/>
    </row>
    <row r="12515">
      <c r="F12515" s="17"/>
    </row>
    <row r="12516">
      <c r="F12516" s="17"/>
    </row>
    <row r="12517">
      <c r="F12517" s="17"/>
    </row>
    <row r="12518">
      <c r="F12518" s="17"/>
    </row>
    <row r="12519">
      <c r="F12519" s="17"/>
    </row>
    <row r="12520">
      <c r="F12520" s="17"/>
    </row>
    <row r="12521">
      <c r="F12521" s="17"/>
    </row>
    <row r="12522">
      <c r="F12522" s="17"/>
    </row>
    <row r="12523">
      <c r="F12523" s="17"/>
    </row>
    <row r="12524">
      <c r="F12524" s="17"/>
    </row>
    <row r="12525">
      <c r="F12525" s="17"/>
    </row>
    <row r="12526">
      <c r="F12526" s="17"/>
    </row>
    <row r="12527">
      <c r="F12527" s="17"/>
    </row>
    <row r="12528">
      <c r="F12528" s="17"/>
    </row>
    <row r="12529">
      <c r="F12529" s="17"/>
    </row>
    <row r="12530">
      <c r="F12530" s="17"/>
    </row>
    <row r="12531">
      <c r="F12531" s="17"/>
    </row>
    <row r="12532">
      <c r="F12532" s="17"/>
    </row>
    <row r="12533">
      <c r="F12533" s="17"/>
    </row>
    <row r="12534">
      <c r="F12534" s="17"/>
    </row>
    <row r="12535">
      <c r="F12535" s="17"/>
    </row>
    <row r="12536">
      <c r="F12536" s="17"/>
    </row>
    <row r="12537">
      <c r="F12537" s="17"/>
    </row>
    <row r="12538">
      <c r="F12538" s="17"/>
    </row>
    <row r="12539">
      <c r="F12539" s="17"/>
    </row>
    <row r="12540">
      <c r="F12540" s="17"/>
    </row>
    <row r="12541">
      <c r="F12541" s="17"/>
    </row>
    <row r="12542">
      <c r="F12542" s="17"/>
    </row>
    <row r="12543">
      <c r="F12543" s="17"/>
    </row>
    <row r="12544">
      <c r="F12544" s="17"/>
    </row>
    <row r="12545">
      <c r="F12545" s="17"/>
    </row>
    <row r="12546">
      <c r="F12546" s="17"/>
    </row>
    <row r="12547">
      <c r="F12547" s="17"/>
    </row>
    <row r="12548">
      <c r="F12548" s="17"/>
    </row>
    <row r="12549">
      <c r="F12549" s="17"/>
    </row>
    <row r="12550">
      <c r="F12550" s="17"/>
    </row>
    <row r="12551">
      <c r="F12551" s="17"/>
    </row>
    <row r="12552">
      <c r="F12552" s="17"/>
    </row>
    <row r="12553">
      <c r="F12553" s="17"/>
    </row>
    <row r="12554">
      <c r="F12554" s="17"/>
    </row>
    <row r="12555">
      <c r="F12555" s="17"/>
    </row>
    <row r="12556">
      <c r="F12556" s="17"/>
    </row>
    <row r="12557">
      <c r="F12557" s="17"/>
    </row>
    <row r="12558">
      <c r="F12558" s="17"/>
    </row>
    <row r="12559">
      <c r="F12559" s="17"/>
    </row>
    <row r="12560">
      <c r="F12560" s="17"/>
    </row>
    <row r="12561">
      <c r="F12561" s="17"/>
    </row>
    <row r="12562">
      <c r="F12562" s="17"/>
    </row>
    <row r="12563">
      <c r="F12563" s="17"/>
    </row>
    <row r="12564">
      <c r="F12564" s="17"/>
    </row>
    <row r="12565">
      <c r="F12565" s="17"/>
    </row>
    <row r="12566">
      <c r="F12566" s="17"/>
    </row>
    <row r="12567">
      <c r="F12567" s="17"/>
    </row>
    <row r="12568">
      <c r="F12568" s="17"/>
    </row>
    <row r="12569">
      <c r="F12569" s="17"/>
    </row>
    <row r="12570">
      <c r="F12570" s="17"/>
    </row>
    <row r="12571">
      <c r="F12571" s="17"/>
    </row>
    <row r="12572">
      <c r="F12572" s="17"/>
    </row>
    <row r="12573">
      <c r="F12573" s="17"/>
    </row>
    <row r="12574">
      <c r="F12574" s="17"/>
    </row>
    <row r="12575">
      <c r="F12575" s="17"/>
    </row>
    <row r="12576">
      <c r="F12576" s="17"/>
    </row>
    <row r="12577">
      <c r="F12577" s="17"/>
    </row>
    <row r="12578">
      <c r="F12578" s="17"/>
    </row>
    <row r="12579">
      <c r="F12579" s="17"/>
    </row>
    <row r="12580">
      <c r="F12580" s="17"/>
    </row>
    <row r="12581">
      <c r="F12581" s="17"/>
    </row>
    <row r="12582">
      <c r="F12582" s="17"/>
    </row>
    <row r="12583">
      <c r="F12583" s="17"/>
    </row>
    <row r="12584">
      <c r="F12584" s="17"/>
    </row>
    <row r="12585">
      <c r="F12585" s="17"/>
    </row>
    <row r="12586">
      <c r="F12586" s="17"/>
    </row>
    <row r="12587">
      <c r="F12587" s="17"/>
    </row>
    <row r="12588">
      <c r="F12588" s="17"/>
    </row>
    <row r="12589">
      <c r="F12589" s="17"/>
    </row>
    <row r="12590">
      <c r="F12590" s="17"/>
    </row>
    <row r="12591">
      <c r="F12591" s="17"/>
    </row>
    <row r="12592">
      <c r="F12592" s="17"/>
    </row>
    <row r="12593">
      <c r="F12593" s="17"/>
    </row>
    <row r="12594">
      <c r="F12594" s="17"/>
    </row>
    <row r="12595">
      <c r="F12595" s="17"/>
    </row>
    <row r="12596">
      <c r="F12596" s="17"/>
    </row>
    <row r="12597">
      <c r="F12597" s="17"/>
    </row>
    <row r="12598">
      <c r="F12598" s="17"/>
    </row>
    <row r="12599">
      <c r="F12599" s="17"/>
    </row>
    <row r="12600">
      <c r="F12600" s="17"/>
    </row>
    <row r="12601">
      <c r="F12601" s="17"/>
    </row>
    <row r="12602">
      <c r="F12602" s="17"/>
    </row>
    <row r="12603">
      <c r="F12603" s="17"/>
    </row>
    <row r="12604">
      <c r="F12604" s="17"/>
    </row>
    <row r="12605">
      <c r="F12605" s="17"/>
    </row>
    <row r="12606">
      <c r="F12606" s="17"/>
    </row>
    <row r="12607">
      <c r="F12607" s="17"/>
    </row>
    <row r="12608">
      <c r="F12608" s="17"/>
    </row>
    <row r="12609">
      <c r="F12609" s="17"/>
    </row>
    <row r="12610">
      <c r="F12610" s="17"/>
    </row>
    <row r="12611">
      <c r="F12611" s="17"/>
    </row>
    <row r="12612">
      <c r="F12612" s="17"/>
    </row>
    <row r="12613">
      <c r="F12613" s="17"/>
    </row>
    <row r="12614">
      <c r="F12614" s="17"/>
    </row>
    <row r="12615">
      <c r="F12615" s="17"/>
    </row>
    <row r="12616">
      <c r="F12616" s="17"/>
    </row>
    <row r="12617">
      <c r="F12617" s="17"/>
    </row>
    <row r="12618">
      <c r="F12618" s="17"/>
    </row>
    <row r="12619">
      <c r="F12619" s="17"/>
    </row>
    <row r="12620">
      <c r="F12620" s="17"/>
    </row>
    <row r="12621">
      <c r="F12621" s="17"/>
    </row>
    <row r="12622">
      <c r="F12622" s="17"/>
    </row>
    <row r="12623">
      <c r="F12623" s="17"/>
    </row>
    <row r="12624">
      <c r="F12624" s="17"/>
    </row>
    <row r="12625">
      <c r="F12625" s="17"/>
    </row>
    <row r="12626">
      <c r="F12626" s="17"/>
    </row>
    <row r="12627">
      <c r="F12627" s="17"/>
    </row>
    <row r="12628">
      <c r="F12628" s="17"/>
    </row>
    <row r="12629">
      <c r="F12629" s="17"/>
    </row>
    <row r="12630">
      <c r="F12630" s="17"/>
    </row>
    <row r="12631">
      <c r="F12631" s="17"/>
    </row>
    <row r="12632">
      <c r="F12632" s="17"/>
    </row>
    <row r="12633">
      <c r="F12633" s="17"/>
    </row>
    <row r="12634">
      <c r="F12634" s="17"/>
    </row>
    <row r="12635">
      <c r="F12635" s="17"/>
    </row>
    <row r="12636">
      <c r="F12636" s="17"/>
    </row>
    <row r="12637">
      <c r="F12637" s="17"/>
    </row>
    <row r="12638">
      <c r="F12638" s="17"/>
    </row>
    <row r="12639">
      <c r="F12639" s="17"/>
    </row>
    <row r="12640">
      <c r="F12640" s="17"/>
    </row>
    <row r="12641">
      <c r="F12641" s="17"/>
    </row>
    <row r="12642">
      <c r="F12642" s="17"/>
    </row>
    <row r="12643">
      <c r="F12643" s="17"/>
    </row>
    <row r="12644">
      <c r="F12644" s="17"/>
    </row>
    <row r="12645">
      <c r="F12645" s="17"/>
    </row>
    <row r="12646">
      <c r="F12646" s="17"/>
    </row>
    <row r="12647">
      <c r="F12647" s="17"/>
    </row>
    <row r="12648">
      <c r="F12648" s="17"/>
    </row>
    <row r="12649">
      <c r="F12649" s="17"/>
    </row>
    <row r="12650">
      <c r="F12650" s="17"/>
    </row>
    <row r="12651">
      <c r="F12651" s="17"/>
    </row>
    <row r="12652">
      <c r="F12652" s="17"/>
    </row>
    <row r="12653">
      <c r="F12653" s="17"/>
    </row>
    <row r="12654">
      <c r="F12654" s="17"/>
    </row>
    <row r="12655">
      <c r="F12655" s="17"/>
    </row>
    <row r="12656">
      <c r="F12656" s="17"/>
    </row>
    <row r="12657">
      <c r="F12657" s="17"/>
    </row>
    <row r="12658">
      <c r="F12658" s="17"/>
    </row>
    <row r="12659">
      <c r="F12659" s="17"/>
    </row>
    <row r="12660">
      <c r="F12660" s="17"/>
    </row>
    <row r="12661">
      <c r="F12661" s="17"/>
    </row>
    <row r="12662">
      <c r="F12662" s="17"/>
    </row>
    <row r="12663">
      <c r="F12663" s="17"/>
    </row>
    <row r="12664">
      <c r="F12664" s="17"/>
    </row>
    <row r="12665">
      <c r="F12665" s="17"/>
    </row>
    <row r="12666">
      <c r="F12666" s="17"/>
    </row>
    <row r="12667">
      <c r="F12667" s="17"/>
    </row>
    <row r="12668">
      <c r="F12668" s="17"/>
    </row>
    <row r="12669">
      <c r="F12669" s="17"/>
    </row>
    <row r="12670">
      <c r="F12670" s="17"/>
    </row>
    <row r="12671">
      <c r="F12671" s="17"/>
    </row>
    <row r="12672">
      <c r="F12672" s="17"/>
    </row>
    <row r="12673">
      <c r="F12673" s="17"/>
    </row>
    <row r="12674">
      <c r="F12674" s="17"/>
    </row>
    <row r="12675">
      <c r="F12675" s="17"/>
    </row>
    <row r="12676">
      <c r="F12676" s="17"/>
    </row>
    <row r="12677">
      <c r="F12677" s="17"/>
    </row>
    <row r="12678">
      <c r="F12678" s="17"/>
    </row>
    <row r="12679">
      <c r="F12679" s="17"/>
    </row>
    <row r="12680">
      <c r="F12680" s="17"/>
    </row>
    <row r="12681">
      <c r="F12681" s="17"/>
    </row>
    <row r="12682">
      <c r="F12682" s="17"/>
    </row>
    <row r="12683">
      <c r="F12683" s="17"/>
    </row>
    <row r="12684">
      <c r="F12684" s="17"/>
    </row>
    <row r="12685">
      <c r="F12685" s="17"/>
    </row>
    <row r="12686">
      <c r="F12686" s="17"/>
    </row>
    <row r="12687">
      <c r="F12687" s="17"/>
    </row>
    <row r="12688">
      <c r="F12688" s="17"/>
    </row>
    <row r="12689">
      <c r="F12689" s="17"/>
    </row>
    <row r="12690">
      <c r="F12690" s="17"/>
    </row>
    <row r="12691">
      <c r="F12691" s="17"/>
    </row>
    <row r="12692">
      <c r="F12692" s="17"/>
    </row>
    <row r="12693">
      <c r="F12693" s="17"/>
    </row>
    <row r="12694">
      <c r="F12694" s="17"/>
    </row>
    <row r="12695">
      <c r="F12695" s="17"/>
    </row>
    <row r="12696">
      <c r="F12696" s="17"/>
    </row>
    <row r="12697">
      <c r="F12697" s="17"/>
    </row>
    <row r="12698">
      <c r="F12698" s="17"/>
    </row>
    <row r="12699">
      <c r="F12699" s="17"/>
    </row>
    <row r="12700">
      <c r="F12700" s="17"/>
    </row>
    <row r="12701">
      <c r="F12701" s="17"/>
    </row>
    <row r="12702">
      <c r="F12702" s="17"/>
    </row>
    <row r="12703">
      <c r="F12703" s="17"/>
    </row>
    <row r="12704">
      <c r="F12704" s="17"/>
    </row>
    <row r="12705">
      <c r="F12705" s="17"/>
    </row>
    <row r="12706">
      <c r="F12706" s="17"/>
    </row>
    <row r="12707">
      <c r="F12707" s="17"/>
    </row>
    <row r="12708">
      <c r="F12708" s="17"/>
    </row>
    <row r="12709">
      <c r="F12709" s="17"/>
    </row>
    <row r="12710">
      <c r="F12710" s="17"/>
    </row>
    <row r="12711">
      <c r="F12711" s="17"/>
    </row>
    <row r="12712">
      <c r="F12712" s="17"/>
    </row>
    <row r="12713">
      <c r="F12713" s="17"/>
    </row>
    <row r="12714">
      <c r="F12714" s="17"/>
    </row>
    <row r="12715">
      <c r="F12715" s="17"/>
    </row>
    <row r="12716">
      <c r="F12716" s="17"/>
    </row>
    <row r="12717">
      <c r="F12717" s="17"/>
    </row>
    <row r="12718">
      <c r="F12718" s="17"/>
    </row>
    <row r="12719">
      <c r="F12719" s="17"/>
    </row>
    <row r="12720">
      <c r="F12720" s="17"/>
    </row>
    <row r="12721">
      <c r="F12721" s="17"/>
    </row>
    <row r="12722">
      <c r="F12722" s="17"/>
    </row>
    <row r="12723">
      <c r="F12723" s="17"/>
    </row>
    <row r="12724">
      <c r="F12724" s="17"/>
    </row>
    <row r="12725">
      <c r="F12725" s="17"/>
    </row>
    <row r="12726">
      <c r="F12726" s="17"/>
    </row>
    <row r="12727">
      <c r="F12727" s="17"/>
    </row>
    <row r="12728">
      <c r="F12728" s="17"/>
    </row>
    <row r="12729">
      <c r="F12729" s="17"/>
    </row>
    <row r="12730">
      <c r="F12730" s="17"/>
    </row>
    <row r="12731">
      <c r="F12731" s="17"/>
    </row>
    <row r="12732">
      <c r="F12732" s="17"/>
    </row>
    <row r="12733">
      <c r="F12733" s="17"/>
    </row>
    <row r="12734">
      <c r="F12734" s="17"/>
    </row>
    <row r="12735">
      <c r="F12735" s="17"/>
    </row>
    <row r="12736">
      <c r="F12736" s="17"/>
    </row>
    <row r="12737">
      <c r="F12737" s="17"/>
    </row>
    <row r="12738">
      <c r="F12738" s="17"/>
    </row>
    <row r="12739">
      <c r="F12739" s="17"/>
    </row>
    <row r="12740">
      <c r="F12740" s="17"/>
    </row>
    <row r="12741">
      <c r="F12741" s="17"/>
    </row>
    <row r="12742">
      <c r="F12742" s="17"/>
    </row>
    <row r="12743">
      <c r="F12743" s="17"/>
    </row>
    <row r="12744">
      <c r="F12744" s="17"/>
    </row>
    <row r="12745">
      <c r="F12745" s="17"/>
    </row>
    <row r="12746">
      <c r="F12746" s="17"/>
    </row>
    <row r="12747">
      <c r="F12747" s="17"/>
    </row>
    <row r="12748">
      <c r="F12748" s="17"/>
    </row>
    <row r="12749">
      <c r="F12749" s="17"/>
    </row>
    <row r="12750">
      <c r="F12750" s="17"/>
    </row>
    <row r="12751">
      <c r="F12751" s="17"/>
    </row>
    <row r="12752">
      <c r="F12752" s="17"/>
    </row>
    <row r="12753">
      <c r="F12753" s="17"/>
    </row>
    <row r="12754">
      <c r="F12754" s="17"/>
    </row>
    <row r="12755">
      <c r="F12755" s="17"/>
    </row>
    <row r="12756">
      <c r="F12756" s="17"/>
    </row>
    <row r="12757">
      <c r="F12757" s="17"/>
    </row>
    <row r="12758">
      <c r="F12758" s="17"/>
    </row>
    <row r="12759">
      <c r="F12759" s="17"/>
    </row>
    <row r="12760">
      <c r="F12760" s="17"/>
    </row>
    <row r="12761">
      <c r="F12761" s="17"/>
    </row>
    <row r="12762">
      <c r="F12762" s="17"/>
    </row>
    <row r="12763">
      <c r="F12763" s="17"/>
    </row>
    <row r="12764">
      <c r="F12764" s="17"/>
    </row>
    <row r="12765">
      <c r="F12765" s="17"/>
    </row>
    <row r="12766">
      <c r="F12766" s="17"/>
    </row>
    <row r="12767">
      <c r="F12767" s="17"/>
    </row>
    <row r="12768">
      <c r="F12768" s="17"/>
    </row>
    <row r="12769">
      <c r="F12769" s="17"/>
    </row>
    <row r="12770">
      <c r="F12770" s="17"/>
    </row>
    <row r="12771">
      <c r="F12771" s="17"/>
    </row>
    <row r="12772">
      <c r="F12772" s="17"/>
    </row>
    <row r="12773">
      <c r="F12773" s="17"/>
    </row>
    <row r="12774">
      <c r="F12774" s="17"/>
    </row>
    <row r="12775">
      <c r="F12775" s="17"/>
    </row>
    <row r="12776">
      <c r="F12776" s="17"/>
    </row>
    <row r="12777">
      <c r="F12777" s="17"/>
    </row>
    <row r="12778">
      <c r="F12778" s="17"/>
    </row>
    <row r="12779">
      <c r="F12779" s="17"/>
    </row>
    <row r="12780">
      <c r="F12780" s="17"/>
    </row>
    <row r="12781">
      <c r="F12781" s="17"/>
    </row>
    <row r="12782">
      <c r="F12782" s="17"/>
    </row>
    <row r="12783">
      <c r="F12783" s="17"/>
    </row>
    <row r="12784">
      <c r="F12784" s="17"/>
    </row>
    <row r="12785">
      <c r="F12785" s="17"/>
    </row>
    <row r="12786">
      <c r="F12786" s="17"/>
    </row>
    <row r="12787">
      <c r="F12787" s="17"/>
    </row>
    <row r="12788">
      <c r="F12788" s="17"/>
    </row>
    <row r="12789">
      <c r="F12789" s="17"/>
    </row>
    <row r="12790">
      <c r="F12790" s="17"/>
    </row>
    <row r="12791">
      <c r="F12791" s="17"/>
    </row>
    <row r="12792">
      <c r="F12792" s="17"/>
    </row>
    <row r="12793">
      <c r="F12793" s="17"/>
    </row>
    <row r="12794">
      <c r="F12794" s="17"/>
    </row>
    <row r="12795">
      <c r="F12795" s="17"/>
    </row>
    <row r="12796">
      <c r="F12796" s="17"/>
    </row>
    <row r="12797">
      <c r="F12797" s="17"/>
    </row>
    <row r="12798">
      <c r="F12798" s="17"/>
    </row>
    <row r="12799">
      <c r="F12799" s="17"/>
    </row>
    <row r="12800">
      <c r="F12800" s="17"/>
    </row>
    <row r="12801">
      <c r="F12801" s="17"/>
    </row>
    <row r="12802">
      <c r="F12802" s="17"/>
    </row>
    <row r="12803">
      <c r="F12803" s="17"/>
    </row>
    <row r="12804">
      <c r="F12804" s="17"/>
    </row>
    <row r="12805">
      <c r="F12805" s="17"/>
    </row>
    <row r="12806">
      <c r="F12806" s="17"/>
    </row>
    <row r="12807">
      <c r="F12807" s="17"/>
    </row>
    <row r="12808">
      <c r="F12808" s="17"/>
    </row>
    <row r="12809">
      <c r="F12809" s="17"/>
    </row>
    <row r="12810">
      <c r="F12810" s="17"/>
    </row>
    <row r="12811">
      <c r="F12811" s="17"/>
    </row>
    <row r="12812">
      <c r="F12812" s="17"/>
    </row>
    <row r="12813">
      <c r="F12813" s="17"/>
    </row>
    <row r="12814">
      <c r="F12814" s="17"/>
    </row>
    <row r="12815">
      <c r="F12815" s="17"/>
    </row>
    <row r="12816">
      <c r="F12816" s="17"/>
    </row>
    <row r="12817">
      <c r="F12817" s="17"/>
    </row>
    <row r="12818">
      <c r="F12818" s="17"/>
    </row>
    <row r="12819">
      <c r="F12819" s="17"/>
    </row>
    <row r="12820">
      <c r="F12820" s="17"/>
    </row>
    <row r="12821">
      <c r="F12821" s="17"/>
    </row>
    <row r="12822">
      <c r="F12822" s="17"/>
    </row>
    <row r="12823">
      <c r="F12823" s="17"/>
    </row>
    <row r="12824">
      <c r="F12824" s="17"/>
    </row>
    <row r="12825">
      <c r="F12825" s="17"/>
    </row>
    <row r="12826">
      <c r="F12826" s="17"/>
    </row>
    <row r="12827">
      <c r="F12827" s="17"/>
    </row>
    <row r="12828">
      <c r="F12828" s="17"/>
    </row>
    <row r="12829">
      <c r="F12829" s="17"/>
    </row>
    <row r="12830">
      <c r="F12830" s="17"/>
    </row>
    <row r="12831">
      <c r="F12831" s="17"/>
    </row>
    <row r="12832">
      <c r="F12832" s="17"/>
    </row>
    <row r="12833">
      <c r="F12833" s="17"/>
    </row>
    <row r="12834">
      <c r="F12834" s="17"/>
    </row>
    <row r="12835">
      <c r="F12835" s="17"/>
    </row>
    <row r="12836">
      <c r="F12836" s="17"/>
    </row>
    <row r="12837">
      <c r="F12837" s="17"/>
    </row>
    <row r="12838">
      <c r="F12838" s="17"/>
    </row>
    <row r="12839">
      <c r="F12839" s="17"/>
    </row>
    <row r="12840">
      <c r="F12840" s="17"/>
    </row>
    <row r="12841">
      <c r="F12841" s="17"/>
    </row>
    <row r="12842">
      <c r="F12842" s="17"/>
    </row>
    <row r="12843">
      <c r="F12843" s="17"/>
    </row>
    <row r="12844">
      <c r="F12844" s="17"/>
    </row>
    <row r="12845">
      <c r="F12845" s="17"/>
    </row>
    <row r="12846">
      <c r="F12846" s="17"/>
    </row>
    <row r="12847">
      <c r="F12847" s="17"/>
    </row>
    <row r="12848">
      <c r="F12848" s="17"/>
    </row>
    <row r="12849">
      <c r="F12849" s="17"/>
    </row>
    <row r="12850">
      <c r="F12850" s="17"/>
    </row>
    <row r="12851">
      <c r="F12851" s="17"/>
    </row>
    <row r="12852">
      <c r="F12852" s="17"/>
    </row>
    <row r="12853">
      <c r="F12853" s="17"/>
    </row>
    <row r="12854">
      <c r="F12854" s="17"/>
    </row>
    <row r="12855">
      <c r="F12855" s="17"/>
    </row>
    <row r="12856">
      <c r="F12856" s="17"/>
    </row>
    <row r="12857">
      <c r="F12857" s="17"/>
    </row>
    <row r="12858">
      <c r="F12858" s="17"/>
    </row>
    <row r="12859">
      <c r="F12859" s="17"/>
    </row>
    <row r="12860">
      <c r="F12860" s="17"/>
    </row>
    <row r="12861">
      <c r="F12861" s="17"/>
    </row>
    <row r="12862">
      <c r="F12862" s="17"/>
    </row>
    <row r="12863">
      <c r="F12863" s="17"/>
    </row>
    <row r="12864">
      <c r="F12864" s="17"/>
    </row>
    <row r="12865">
      <c r="F12865" s="17"/>
    </row>
    <row r="12866">
      <c r="F12866" s="17"/>
    </row>
    <row r="12867">
      <c r="F12867" s="17"/>
    </row>
    <row r="12868">
      <c r="F12868" s="17"/>
    </row>
    <row r="12869">
      <c r="F12869" s="17"/>
    </row>
    <row r="12870">
      <c r="F12870" s="17"/>
    </row>
    <row r="12871">
      <c r="F12871" s="17"/>
    </row>
    <row r="12872">
      <c r="F12872" s="17"/>
    </row>
    <row r="12873">
      <c r="F12873" s="17"/>
    </row>
    <row r="12874">
      <c r="F12874" s="17"/>
    </row>
    <row r="12875">
      <c r="F12875" s="17"/>
    </row>
    <row r="12876">
      <c r="F12876" s="17"/>
    </row>
    <row r="12877">
      <c r="F12877" s="17"/>
    </row>
    <row r="12878">
      <c r="F12878" s="17"/>
    </row>
    <row r="12879">
      <c r="F12879" s="17"/>
    </row>
    <row r="12880">
      <c r="F12880" s="17"/>
    </row>
    <row r="12881">
      <c r="F12881" s="17"/>
    </row>
    <row r="12882">
      <c r="F12882" s="17"/>
    </row>
    <row r="12883">
      <c r="F12883" s="17"/>
    </row>
    <row r="12884">
      <c r="F12884" s="17"/>
    </row>
    <row r="12885">
      <c r="F12885" s="17"/>
    </row>
    <row r="12886">
      <c r="F12886" s="17"/>
    </row>
    <row r="12887">
      <c r="F12887" s="17"/>
    </row>
    <row r="12888">
      <c r="F12888" s="17"/>
    </row>
    <row r="12889">
      <c r="F12889" s="17"/>
    </row>
    <row r="12890">
      <c r="F12890" s="17"/>
    </row>
    <row r="12891">
      <c r="F12891" s="17"/>
    </row>
    <row r="12892">
      <c r="F12892" s="17"/>
    </row>
    <row r="12893">
      <c r="F12893" s="17"/>
    </row>
    <row r="12894">
      <c r="F12894" s="17"/>
    </row>
    <row r="12895">
      <c r="F12895" s="17"/>
    </row>
    <row r="12896">
      <c r="F12896" s="17"/>
    </row>
    <row r="12897">
      <c r="F12897" s="17"/>
    </row>
    <row r="12898">
      <c r="F12898" s="17"/>
    </row>
    <row r="12899">
      <c r="F12899" s="17"/>
    </row>
    <row r="12900">
      <c r="F12900" s="17"/>
    </row>
    <row r="12901">
      <c r="F12901" s="17"/>
    </row>
    <row r="12902">
      <c r="F12902" s="17"/>
    </row>
    <row r="12903">
      <c r="F12903" s="17"/>
    </row>
    <row r="12904">
      <c r="F12904" s="17"/>
    </row>
    <row r="12905">
      <c r="F12905" s="17"/>
    </row>
    <row r="12906">
      <c r="F12906" s="17"/>
    </row>
    <row r="12907">
      <c r="F12907" s="17"/>
    </row>
    <row r="12908">
      <c r="F12908" s="17"/>
    </row>
    <row r="12909">
      <c r="F12909" s="17"/>
    </row>
    <row r="12910">
      <c r="F12910" s="17"/>
    </row>
    <row r="12911">
      <c r="F12911" s="17"/>
    </row>
    <row r="12912">
      <c r="F12912" s="17"/>
    </row>
    <row r="12913">
      <c r="F12913" s="17"/>
    </row>
    <row r="12914">
      <c r="F12914" s="17"/>
    </row>
    <row r="12915">
      <c r="F12915" s="17"/>
    </row>
    <row r="12916">
      <c r="F12916" s="17"/>
    </row>
    <row r="12917">
      <c r="F12917" s="17"/>
    </row>
    <row r="12918">
      <c r="F12918" s="17"/>
    </row>
    <row r="12919">
      <c r="F12919" s="17"/>
    </row>
    <row r="12920">
      <c r="F12920" s="17"/>
    </row>
    <row r="12921">
      <c r="F12921" s="17"/>
    </row>
    <row r="12922">
      <c r="F12922" s="17"/>
    </row>
    <row r="12923">
      <c r="F12923" s="17"/>
    </row>
    <row r="12924">
      <c r="F12924" s="17"/>
    </row>
    <row r="12925">
      <c r="F12925" s="17"/>
    </row>
    <row r="12926">
      <c r="F12926" s="17"/>
    </row>
    <row r="12927">
      <c r="F12927" s="17"/>
    </row>
    <row r="12928">
      <c r="F12928" s="17"/>
    </row>
    <row r="12929">
      <c r="F12929" s="17"/>
    </row>
    <row r="12930">
      <c r="F12930" s="17"/>
    </row>
    <row r="12931">
      <c r="F12931" s="17"/>
    </row>
    <row r="12932">
      <c r="F12932" s="17"/>
    </row>
    <row r="12933">
      <c r="F12933" s="17"/>
    </row>
    <row r="12934">
      <c r="F12934" s="17"/>
    </row>
    <row r="12935">
      <c r="F12935" s="17"/>
    </row>
    <row r="12936">
      <c r="F12936" s="17"/>
    </row>
    <row r="12937">
      <c r="F12937" s="17"/>
    </row>
    <row r="12938">
      <c r="F12938" s="17"/>
    </row>
    <row r="12939">
      <c r="F12939" s="17"/>
    </row>
    <row r="12940">
      <c r="F12940" s="17"/>
    </row>
    <row r="12941">
      <c r="F12941" s="17"/>
    </row>
    <row r="12942">
      <c r="F12942" s="17"/>
    </row>
    <row r="12943">
      <c r="F12943" s="17"/>
    </row>
    <row r="12944">
      <c r="F12944" s="17"/>
    </row>
    <row r="12945">
      <c r="F12945" s="17"/>
    </row>
    <row r="12946">
      <c r="F12946" s="17"/>
    </row>
    <row r="12947">
      <c r="F12947" s="17"/>
    </row>
    <row r="12948">
      <c r="F12948" s="17"/>
    </row>
    <row r="12949">
      <c r="F12949" s="17"/>
    </row>
    <row r="12950">
      <c r="F12950" s="17"/>
    </row>
    <row r="12951">
      <c r="F12951" s="17"/>
    </row>
    <row r="12952">
      <c r="F12952" s="17"/>
    </row>
    <row r="12953">
      <c r="F12953" s="17"/>
    </row>
    <row r="12954">
      <c r="F12954" s="17"/>
    </row>
    <row r="12955">
      <c r="F12955" s="17"/>
    </row>
    <row r="12956">
      <c r="F12956" s="17"/>
    </row>
    <row r="12957">
      <c r="F12957" s="17"/>
    </row>
    <row r="12958">
      <c r="F12958" s="17"/>
    </row>
    <row r="12959">
      <c r="F12959" s="17"/>
    </row>
    <row r="12960">
      <c r="F12960" s="17"/>
    </row>
    <row r="12961">
      <c r="F12961" s="17"/>
    </row>
    <row r="12962">
      <c r="F12962" s="17"/>
    </row>
    <row r="12963">
      <c r="F12963" s="17"/>
    </row>
    <row r="12964">
      <c r="F12964" s="17"/>
    </row>
    <row r="12965">
      <c r="F12965" s="17"/>
    </row>
    <row r="12966">
      <c r="F12966" s="17"/>
    </row>
    <row r="12967">
      <c r="F12967" s="17"/>
    </row>
    <row r="12968">
      <c r="F12968" s="17"/>
    </row>
    <row r="12969">
      <c r="F12969" s="17"/>
    </row>
    <row r="12970">
      <c r="F12970" s="17"/>
    </row>
    <row r="12971">
      <c r="F12971" s="17"/>
    </row>
    <row r="12972">
      <c r="F12972" s="17"/>
    </row>
    <row r="12973">
      <c r="F12973" s="17"/>
    </row>
    <row r="12974">
      <c r="F12974" s="17"/>
    </row>
    <row r="12975">
      <c r="F12975" s="17"/>
    </row>
    <row r="12976">
      <c r="F12976" s="17"/>
    </row>
    <row r="12977">
      <c r="F12977" s="17"/>
    </row>
    <row r="12978">
      <c r="F12978" s="17"/>
    </row>
    <row r="12979">
      <c r="F12979" s="17"/>
    </row>
    <row r="12980">
      <c r="F12980" s="17"/>
    </row>
    <row r="12981">
      <c r="F12981" s="17"/>
    </row>
    <row r="12982">
      <c r="F12982" s="17"/>
    </row>
    <row r="12983">
      <c r="F12983" s="17"/>
    </row>
    <row r="12984">
      <c r="F12984" s="17"/>
    </row>
    <row r="12985">
      <c r="F12985" s="17"/>
    </row>
    <row r="12986">
      <c r="F12986" s="17"/>
    </row>
    <row r="12987">
      <c r="F12987" s="17"/>
    </row>
    <row r="12988">
      <c r="F12988" s="17"/>
    </row>
    <row r="12989">
      <c r="F12989" s="17"/>
    </row>
    <row r="12990">
      <c r="F12990" s="17"/>
    </row>
    <row r="12991">
      <c r="F12991" s="17"/>
    </row>
    <row r="12992">
      <c r="F12992" s="17"/>
    </row>
    <row r="12993">
      <c r="F12993" s="17"/>
    </row>
    <row r="12994">
      <c r="F12994" s="17"/>
    </row>
    <row r="12995">
      <c r="F12995" s="17"/>
    </row>
    <row r="12996">
      <c r="F12996" s="17"/>
    </row>
    <row r="12997">
      <c r="F12997" s="17"/>
    </row>
    <row r="12998">
      <c r="F12998" s="17"/>
    </row>
    <row r="12999">
      <c r="F12999" s="17"/>
    </row>
    <row r="13000">
      <c r="F13000" s="17"/>
    </row>
    <row r="13001">
      <c r="F13001" s="17"/>
    </row>
    <row r="13002">
      <c r="F13002" s="17"/>
    </row>
    <row r="13003">
      <c r="F13003" s="17"/>
    </row>
    <row r="13004">
      <c r="F13004" s="17"/>
    </row>
    <row r="13005">
      <c r="F13005" s="17"/>
    </row>
    <row r="13006">
      <c r="F13006" s="17"/>
    </row>
    <row r="13007">
      <c r="F13007" s="17"/>
    </row>
    <row r="13008">
      <c r="F13008" s="17"/>
    </row>
    <row r="13009">
      <c r="F13009" s="17"/>
    </row>
    <row r="13010">
      <c r="F13010" s="17"/>
    </row>
    <row r="13011">
      <c r="F13011" s="17"/>
    </row>
    <row r="13012">
      <c r="F13012" s="17"/>
    </row>
    <row r="13013">
      <c r="F13013" s="17"/>
    </row>
    <row r="13014">
      <c r="F13014" s="17"/>
    </row>
    <row r="13015">
      <c r="F13015" s="17"/>
    </row>
    <row r="13016">
      <c r="F13016" s="17"/>
    </row>
    <row r="13017">
      <c r="F13017" s="17"/>
    </row>
    <row r="13018">
      <c r="F13018" s="17"/>
    </row>
    <row r="13019">
      <c r="F13019" s="17"/>
    </row>
    <row r="13020">
      <c r="F13020" s="17"/>
    </row>
    <row r="13021">
      <c r="F13021" s="17"/>
    </row>
    <row r="13022">
      <c r="F13022" s="17"/>
    </row>
    <row r="13023">
      <c r="F13023" s="17"/>
    </row>
    <row r="13024">
      <c r="F13024" s="17"/>
    </row>
    <row r="13025">
      <c r="F13025" s="17"/>
    </row>
    <row r="13026">
      <c r="F13026" s="17"/>
    </row>
    <row r="13027">
      <c r="F13027" s="17"/>
    </row>
    <row r="13028">
      <c r="F13028" s="17"/>
    </row>
    <row r="13029">
      <c r="F13029" s="17"/>
    </row>
    <row r="13030">
      <c r="F13030" s="17"/>
    </row>
    <row r="13031">
      <c r="F13031" s="17"/>
    </row>
    <row r="13032">
      <c r="F13032" s="17"/>
    </row>
    <row r="13033">
      <c r="F13033" s="17"/>
    </row>
    <row r="13034">
      <c r="F13034" s="17"/>
    </row>
    <row r="13035">
      <c r="F13035" s="17"/>
    </row>
    <row r="13036">
      <c r="F13036" s="17"/>
    </row>
    <row r="13037">
      <c r="F13037" s="17"/>
    </row>
    <row r="13038">
      <c r="F13038" s="17"/>
    </row>
    <row r="13039">
      <c r="F13039" s="17"/>
    </row>
    <row r="13040">
      <c r="F13040" s="17"/>
    </row>
    <row r="13041">
      <c r="F13041" s="17"/>
    </row>
    <row r="13042">
      <c r="F13042" s="17"/>
    </row>
    <row r="13043">
      <c r="F13043" s="17"/>
    </row>
    <row r="13044">
      <c r="F13044" s="17"/>
    </row>
    <row r="13045">
      <c r="F13045" s="17"/>
    </row>
    <row r="13046">
      <c r="F13046" s="17"/>
    </row>
    <row r="13047">
      <c r="F13047" s="17"/>
    </row>
    <row r="13048">
      <c r="F13048" s="17"/>
    </row>
    <row r="13049">
      <c r="F13049" s="17"/>
    </row>
    <row r="13050">
      <c r="F13050" s="17"/>
    </row>
    <row r="13051">
      <c r="F13051" s="17"/>
    </row>
    <row r="13052">
      <c r="F13052" s="17"/>
    </row>
    <row r="13053">
      <c r="F13053" s="17"/>
    </row>
    <row r="13054">
      <c r="F13054" s="17"/>
    </row>
    <row r="13055">
      <c r="F13055" s="17"/>
    </row>
    <row r="13056">
      <c r="F13056" s="17"/>
    </row>
    <row r="13057">
      <c r="F13057" s="17"/>
    </row>
    <row r="13058">
      <c r="F13058" s="17"/>
    </row>
    <row r="13059">
      <c r="F13059" s="17"/>
    </row>
    <row r="13060">
      <c r="F13060" s="17"/>
    </row>
    <row r="13061">
      <c r="F13061" s="17"/>
    </row>
    <row r="13062">
      <c r="F13062" s="17"/>
    </row>
    <row r="13063">
      <c r="F13063" s="17"/>
    </row>
    <row r="13064">
      <c r="F13064" s="17"/>
    </row>
    <row r="13065">
      <c r="F13065" s="17"/>
    </row>
    <row r="13066">
      <c r="F13066" s="17"/>
    </row>
    <row r="13067">
      <c r="F13067" s="17"/>
    </row>
    <row r="13068">
      <c r="F13068" s="17"/>
    </row>
    <row r="13069">
      <c r="F13069" s="17"/>
    </row>
    <row r="13070">
      <c r="F13070" s="17"/>
    </row>
    <row r="13071">
      <c r="F13071" s="17"/>
    </row>
    <row r="13072">
      <c r="F13072" s="17"/>
    </row>
    <row r="13073">
      <c r="F13073" s="17"/>
    </row>
    <row r="13074">
      <c r="F13074" s="17"/>
    </row>
    <row r="13075">
      <c r="F13075" s="17"/>
    </row>
    <row r="13076">
      <c r="F13076" s="17"/>
    </row>
    <row r="13077">
      <c r="F13077" s="17"/>
    </row>
    <row r="13078">
      <c r="F13078" s="17"/>
    </row>
    <row r="13079">
      <c r="F13079" s="17"/>
    </row>
    <row r="13080">
      <c r="F13080" s="17"/>
    </row>
    <row r="13081">
      <c r="F13081" s="17"/>
    </row>
    <row r="13082">
      <c r="F13082" s="17"/>
    </row>
    <row r="13083">
      <c r="F13083" s="17"/>
    </row>
    <row r="13084">
      <c r="F13084" s="17"/>
    </row>
    <row r="13085">
      <c r="F13085" s="17"/>
    </row>
    <row r="13086">
      <c r="F13086" s="17"/>
    </row>
    <row r="13087">
      <c r="F13087" s="17"/>
    </row>
    <row r="13088">
      <c r="F13088" s="17"/>
    </row>
    <row r="13089">
      <c r="F13089" s="17"/>
    </row>
    <row r="13090">
      <c r="F13090" s="17"/>
    </row>
    <row r="13091">
      <c r="F13091" s="17"/>
    </row>
    <row r="13092">
      <c r="F13092" s="17"/>
    </row>
    <row r="13093">
      <c r="F13093" s="17"/>
    </row>
    <row r="13094">
      <c r="F13094" s="17"/>
    </row>
    <row r="13095">
      <c r="F13095" s="17"/>
    </row>
    <row r="13096">
      <c r="F13096" s="17"/>
    </row>
    <row r="13097">
      <c r="F13097" s="17"/>
    </row>
    <row r="13098">
      <c r="F13098" s="17"/>
    </row>
    <row r="13099">
      <c r="F13099" s="17"/>
    </row>
    <row r="13100">
      <c r="F13100" s="17"/>
    </row>
    <row r="13101">
      <c r="F13101" s="17"/>
    </row>
    <row r="13102">
      <c r="F13102" s="17"/>
    </row>
    <row r="13103">
      <c r="F13103" s="17"/>
    </row>
    <row r="13104">
      <c r="F13104" s="17"/>
    </row>
    <row r="13105">
      <c r="F13105" s="17"/>
    </row>
    <row r="13106">
      <c r="F13106" s="17"/>
    </row>
    <row r="13107">
      <c r="F13107" s="17"/>
    </row>
    <row r="13108">
      <c r="F13108" s="17"/>
    </row>
    <row r="13109">
      <c r="F13109" s="17"/>
    </row>
    <row r="13110">
      <c r="F13110" s="17"/>
    </row>
    <row r="13111">
      <c r="F13111" s="17"/>
    </row>
    <row r="13112">
      <c r="F13112" s="17"/>
    </row>
    <row r="13113">
      <c r="F13113" s="17"/>
    </row>
    <row r="13114">
      <c r="F13114" s="17"/>
    </row>
    <row r="13115">
      <c r="F13115" s="17"/>
    </row>
    <row r="13116">
      <c r="F13116" s="17"/>
    </row>
    <row r="13117">
      <c r="F13117" s="17"/>
    </row>
    <row r="13118">
      <c r="F13118" s="17"/>
    </row>
    <row r="13119">
      <c r="F13119" s="17"/>
    </row>
    <row r="13120">
      <c r="F13120" s="17"/>
    </row>
    <row r="13121">
      <c r="F13121" s="17"/>
    </row>
    <row r="13122">
      <c r="F13122" s="17"/>
    </row>
    <row r="13123">
      <c r="F13123" s="17"/>
    </row>
    <row r="13124">
      <c r="F13124" s="17"/>
    </row>
    <row r="13125">
      <c r="F13125" s="17"/>
    </row>
    <row r="13126">
      <c r="F13126" s="17"/>
    </row>
    <row r="13127">
      <c r="F13127" s="17"/>
    </row>
    <row r="13128">
      <c r="F13128" s="17"/>
    </row>
    <row r="13129">
      <c r="F13129" s="17"/>
    </row>
    <row r="13130">
      <c r="F13130" s="17"/>
    </row>
    <row r="13131">
      <c r="F13131" s="17"/>
    </row>
    <row r="13132">
      <c r="F13132" s="17"/>
    </row>
    <row r="13133">
      <c r="F13133" s="17"/>
    </row>
    <row r="13134">
      <c r="F13134" s="17"/>
    </row>
    <row r="13135">
      <c r="F13135" s="17"/>
    </row>
    <row r="13136">
      <c r="F13136" s="17"/>
    </row>
    <row r="13137">
      <c r="F13137" s="17"/>
    </row>
    <row r="13138">
      <c r="F13138" s="17"/>
    </row>
    <row r="13139">
      <c r="F13139" s="17"/>
    </row>
    <row r="13140">
      <c r="F13140" s="17"/>
    </row>
    <row r="13141">
      <c r="F13141" s="17"/>
    </row>
    <row r="13142">
      <c r="F13142" s="17"/>
    </row>
    <row r="13143">
      <c r="F13143" s="17"/>
    </row>
    <row r="13144">
      <c r="F13144" s="17"/>
    </row>
    <row r="13145">
      <c r="F13145" s="17"/>
    </row>
    <row r="13146">
      <c r="F13146" s="17"/>
    </row>
    <row r="13147">
      <c r="F13147" s="17"/>
    </row>
    <row r="13148">
      <c r="F13148" s="17"/>
    </row>
    <row r="13149">
      <c r="F13149" s="17"/>
    </row>
    <row r="13150">
      <c r="F13150" s="17"/>
    </row>
    <row r="13151">
      <c r="F13151" s="17"/>
    </row>
    <row r="13152">
      <c r="F13152" s="17"/>
    </row>
    <row r="13153">
      <c r="F13153" s="17"/>
    </row>
    <row r="13154">
      <c r="F13154" s="17"/>
    </row>
    <row r="13155">
      <c r="F13155" s="17"/>
    </row>
    <row r="13156">
      <c r="F13156" s="17"/>
    </row>
    <row r="13157">
      <c r="F13157" s="17"/>
    </row>
    <row r="13158">
      <c r="F13158" s="17"/>
    </row>
    <row r="13159">
      <c r="F13159" s="17"/>
    </row>
    <row r="13160">
      <c r="F13160" s="17"/>
    </row>
    <row r="13161">
      <c r="F13161" s="17"/>
    </row>
    <row r="13162">
      <c r="F13162" s="17"/>
    </row>
    <row r="13163">
      <c r="F13163" s="17"/>
    </row>
    <row r="13164">
      <c r="F13164" s="17"/>
    </row>
    <row r="13165">
      <c r="F13165" s="17"/>
    </row>
    <row r="13166">
      <c r="F13166" s="17"/>
    </row>
    <row r="13167">
      <c r="F13167" s="17"/>
    </row>
    <row r="13168">
      <c r="F13168" s="17"/>
    </row>
    <row r="13169">
      <c r="F13169" s="17"/>
    </row>
    <row r="13170">
      <c r="F13170" s="17"/>
    </row>
    <row r="13171">
      <c r="F13171" s="17"/>
    </row>
    <row r="13172">
      <c r="F13172" s="17"/>
    </row>
    <row r="13173">
      <c r="F13173" s="17"/>
    </row>
    <row r="13174">
      <c r="F13174" s="17"/>
    </row>
    <row r="13175">
      <c r="F13175" s="17"/>
    </row>
    <row r="13176">
      <c r="F13176" s="17"/>
    </row>
    <row r="13177">
      <c r="F13177" s="17"/>
    </row>
    <row r="13178">
      <c r="F13178" s="17"/>
    </row>
    <row r="13179">
      <c r="F13179" s="17"/>
    </row>
    <row r="13180">
      <c r="F13180" s="17"/>
    </row>
    <row r="13181">
      <c r="F13181" s="17"/>
    </row>
    <row r="13182">
      <c r="F13182" s="17"/>
    </row>
    <row r="13183">
      <c r="F13183" s="17"/>
    </row>
    <row r="13184">
      <c r="F13184" s="17"/>
    </row>
    <row r="13185">
      <c r="F13185" s="17"/>
    </row>
    <row r="13186">
      <c r="F13186" s="17"/>
    </row>
    <row r="13187">
      <c r="F13187" s="17"/>
    </row>
    <row r="13188">
      <c r="F13188" s="17"/>
    </row>
    <row r="13189">
      <c r="F13189" s="17"/>
    </row>
    <row r="13190">
      <c r="F13190" s="17"/>
    </row>
    <row r="13191">
      <c r="F13191" s="17"/>
    </row>
    <row r="13192">
      <c r="F13192" s="17"/>
    </row>
    <row r="13193">
      <c r="F13193" s="17"/>
    </row>
    <row r="13194">
      <c r="F13194" s="17"/>
    </row>
    <row r="13195">
      <c r="F13195" s="17"/>
    </row>
    <row r="13196">
      <c r="F13196" s="17"/>
    </row>
    <row r="13197">
      <c r="F13197" s="17"/>
    </row>
    <row r="13198">
      <c r="F13198" s="17"/>
    </row>
    <row r="13199">
      <c r="F13199" s="17"/>
    </row>
    <row r="13200">
      <c r="F13200" s="17"/>
    </row>
    <row r="13201">
      <c r="F13201" s="17"/>
    </row>
    <row r="13202">
      <c r="F13202" s="17"/>
    </row>
    <row r="13203">
      <c r="F13203" s="17"/>
    </row>
    <row r="13204">
      <c r="F13204" s="17"/>
    </row>
    <row r="13205">
      <c r="F13205" s="17"/>
    </row>
    <row r="13206">
      <c r="F13206" s="17"/>
    </row>
    <row r="13207">
      <c r="F13207" s="17"/>
    </row>
    <row r="13208">
      <c r="F13208" s="17"/>
    </row>
    <row r="13209">
      <c r="F13209" s="17"/>
    </row>
    <row r="13210">
      <c r="F13210" s="17"/>
    </row>
    <row r="13211">
      <c r="F13211" s="17"/>
    </row>
    <row r="13212">
      <c r="F13212" s="17"/>
    </row>
    <row r="13213">
      <c r="F13213" s="17"/>
    </row>
    <row r="13214">
      <c r="F13214" s="17"/>
    </row>
    <row r="13215">
      <c r="F13215" s="17"/>
    </row>
    <row r="13216">
      <c r="F13216" s="17"/>
    </row>
    <row r="13217">
      <c r="F13217" s="17"/>
    </row>
    <row r="13218">
      <c r="F13218" s="17"/>
    </row>
    <row r="13219">
      <c r="F13219" s="17"/>
    </row>
    <row r="13220">
      <c r="F13220" s="17"/>
    </row>
    <row r="13221">
      <c r="F13221" s="17"/>
    </row>
    <row r="13222">
      <c r="F13222" s="17"/>
    </row>
    <row r="13223">
      <c r="F13223" s="17"/>
    </row>
    <row r="13224">
      <c r="F13224" s="17"/>
    </row>
    <row r="13225">
      <c r="F13225" s="17"/>
    </row>
    <row r="13226">
      <c r="F13226" s="17"/>
    </row>
    <row r="13227">
      <c r="F13227" s="17"/>
    </row>
    <row r="13228">
      <c r="F13228" s="17"/>
    </row>
    <row r="13229">
      <c r="F13229" s="17"/>
    </row>
    <row r="13230">
      <c r="F13230" s="17"/>
    </row>
    <row r="13231">
      <c r="F13231" s="17"/>
    </row>
    <row r="13232">
      <c r="F13232" s="17"/>
    </row>
    <row r="13233">
      <c r="F13233" s="17"/>
    </row>
    <row r="13234">
      <c r="F13234" s="17"/>
    </row>
    <row r="13235">
      <c r="F13235" s="17"/>
    </row>
    <row r="13236">
      <c r="F13236" s="17"/>
    </row>
    <row r="13237">
      <c r="F13237" s="17"/>
    </row>
    <row r="13238">
      <c r="F13238" s="17"/>
    </row>
    <row r="13239">
      <c r="F13239" s="17"/>
    </row>
    <row r="13240">
      <c r="F13240" s="17"/>
    </row>
    <row r="13241">
      <c r="F13241" s="17"/>
    </row>
    <row r="13242">
      <c r="F13242" s="17"/>
    </row>
    <row r="13243">
      <c r="F13243" s="17"/>
    </row>
    <row r="13244">
      <c r="F13244" s="17"/>
    </row>
    <row r="13245">
      <c r="F13245" s="17"/>
    </row>
    <row r="13246">
      <c r="F13246" s="17"/>
    </row>
    <row r="13247">
      <c r="F13247" s="17"/>
    </row>
    <row r="13248">
      <c r="F13248" s="17"/>
    </row>
    <row r="13249">
      <c r="F13249" s="17"/>
    </row>
    <row r="13250">
      <c r="F13250" s="17"/>
    </row>
    <row r="13251">
      <c r="F13251" s="17"/>
    </row>
    <row r="13252">
      <c r="F13252" s="17"/>
    </row>
    <row r="13253">
      <c r="F13253" s="17"/>
    </row>
    <row r="13254">
      <c r="F13254" s="17"/>
    </row>
    <row r="13255">
      <c r="F13255" s="17"/>
    </row>
    <row r="13256">
      <c r="F13256" s="17"/>
    </row>
    <row r="13257">
      <c r="F13257" s="17"/>
    </row>
    <row r="13258">
      <c r="F13258" s="17"/>
    </row>
    <row r="13259">
      <c r="F13259" s="17"/>
    </row>
    <row r="13260">
      <c r="F13260" s="17"/>
    </row>
    <row r="13261">
      <c r="F13261" s="17"/>
    </row>
    <row r="13262">
      <c r="F13262" s="17"/>
    </row>
    <row r="13263">
      <c r="F13263" s="17"/>
    </row>
    <row r="13264">
      <c r="F13264" s="17"/>
    </row>
    <row r="13265">
      <c r="F13265" s="17"/>
    </row>
    <row r="13266">
      <c r="F13266" s="17"/>
    </row>
    <row r="13267">
      <c r="F13267" s="17"/>
    </row>
    <row r="13268">
      <c r="F13268" s="17"/>
    </row>
    <row r="13269">
      <c r="F13269" s="17"/>
    </row>
    <row r="13270">
      <c r="F13270" s="17"/>
    </row>
    <row r="13271">
      <c r="F13271" s="17"/>
    </row>
    <row r="13272">
      <c r="F13272" s="17"/>
    </row>
    <row r="13273">
      <c r="F13273" s="17"/>
    </row>
    <row r="13274">
      <c r="F13274" s="17"/>
    </row>
    <row r="13275">
      <c r="F13275" s="17"/>
    </row>
    <row r="13276">
      <c r="F13276" s="17"/>
    </row>
    <row r="13277">
      <c r="F13277" s="17"/>
    </row>
    <row r="13278">
      <c r="F13278" s="17"/>
    </row>
    <row r="13279">
      <c r="F13279" s="17"/>
    </row>
    <row r="13280">
      <c r="F13280" s="17"/>
    </row>
    <row r="13281">
      <c r="F13281" s="17"/>
    </row>
    <row r="13282">
      <c r="F13282" s="17"/>
    </row>
    <row r="13283">
      <c r="F13283" s="17"/>
    </row>
    <row r="13284">
      <c r="F13284" s="17"/>
    </row>
    <row r="13285">
      <c r="F13285" s="17"/>
    </row>
    <row r="13286">
      <c r="F13286" s="17"/>
    </row>
    <row r="13287">
      <c r="F13287" s="17"/>
    </row>
    <row r="13288">
      <c r="F13288" s="17"/>
    </row>
    <row r="13289">
      <c r="F13289" s="17"/>
    </row>
    <row r="13290">
      <c r="F13290" s="17"/>
    </row>
    <row r="13291">
      <c r="F13291" s="17"/>
    </row>
    <row r="13292">
      <c r="F13292" s="17"/>
    </row>
    <row r="13293">
      <c r="F13293" s="17"/>
    </row>
    <row r="13294">
      <c r="F13294" s="17"/>
    </row>
    <row r="13295">
      <c r="F13295" s="17"/>
    </row>
    <row r="13296">
      <c r="F13296" s="17"/>
    </row>
    <row r="13297">
      <c r="F13297" s="17"/>
    </row>
    <row r="13298">
      <c r="F13298" s="17"/>
    </row>
    <row r="13299">
      <c r="F13299" s="17"/>
    </row>
    <row r="13300">
      <c r="F13300" s="17"/>
    </row>
    <row r="13301">
      <c r="F13301" s="17"/>
    </row>
    <row r="13302">
      <c r="F13302" s="17"/>
    </row>
    <row r="13303">
      <c r="F13303" s="17"/>
    </row>
    <row r="13304">
      <c r="F13304" s="17"/>
    </row>
    <row r="13305">
      <c r="F13305" s="17"/>
    </row>
    <row r="13306">
      <c r="F13306" s="17"/>
    </row>
    <row r="13307">
      <c r="F13307" s="17"/>
    </row>
    <row r="13308">
      <c r="F13308" s="17"/>
    </row>
    <row r="13309">
      <c r="F13309" s="17"/>
    </row>
    <row r="13310">
      <c r="F13310" s="17"/>
    </row>
    <row r="13311">
      <c r="F13311" s="17"/>
    </row>
    <row r="13312">
      <c r="F13312" s="17"/>
    </row>
    <row r="13313">
      <c r="F13313" s="17"/>
    </row>
    <row r="13314">
      <c r="F13314" s="17"/>
    </row>
    <row r="13315">
      <c r="F13315" s="17"/>
    </row>
    <row r="13316">
      <c r="F13316" s="17"/>
    </row>
    <row r="13317">
      <c r="F13317" s="17"/>
    </row>
    <row r="13318">
      <c r="F13318" s="17"/>
    </row>
    <row r="13319">
      <c r="F13319" s="17"/>
    </row>
    <row r="13320">
      <c r="F13320" s="17"/>
    </row>
    <row r="13321">
      <c r="F13321" s="17"/>
    </row>
    <row r="13322">
      <c r="F13322" s="17"/>
    </row>
    <row r="13323">
      <c r="F13323" s="17"/>
    </row>
    <row r="13324">
      <c r="F13324" s="17"/>
    </row>
    <row r="13325">
      <c r="F13325" s="17"/>
    </row>
    <row r="13326">
      <c r="F13326" s="17"/>
    </row>
    <row r="13327">
      <c r="F13327" s="17"/>
    </row>
    <row r="13328">
      <c r="F13328" s="17"/>
    </row>
    <row r="13329">
      <c r="F13329" s="17"/>
    </row>
    <row r="13330">
      <c r="F13330" s="17"/>
    </row>
    <row r="13331">
      <c r="F13331" s="17"/>
    </row>
    <row r="13332">
      <c r="F13332" s="17"/>
    </row>
    <row r="13333">
      <c r="F13333" s="17"/>
    </row>
    <row r="13334">
      <c r="F13334" s="17"/>
    </row>
    <row r="13335">
      <c r="F13335" s="17"/>
    </row>
    <row r="13336">
      <c r="F13336" s="17"/>
    </row>
    <row r="13337">
      <c r="F13337" s="17"/>
    </row>
    <row r="13338">
      <c r="F13338" s="17"/>
    </row>
    <row r="13339">
      <c r="F13339" s="17"/>
    </row>
    <row r="13340">
      <c r="F13340" s="17"/>
    </row>
    <row r="13341">
      <c r="F13341" s="17"/>
    </row>
    <row r="13342">
      <c r="F13342" s="17"/>
    </row>
    <row r="13343">
      <c r="F13343" s="17"/>
    </row>
    <row r="13344">
      <c r="F13344" s="17"/>
    </row>
    <row r="13345">
      <c r="F13345" s="17"/>
    </row>
    <row r="13346">
      <c r="F13346" s="17"/>
    </row>
    <row r="13347">
      <c r="F13347" s="17"/>
    </row>
    <row r="13348">
      <c r="F13348" s="17"/>
    </row>
    <row r="13349">
      <c r="F13349" s="17"/>
    </row>
    <row r="13350">
      <c r="F13350" s="17"/>
    </row>
    <row r="13351">
      <c r="F13351" s="17"/>
    </row>
    <row r="13352">
      <c r="F13352" s="17"/>
    </row>
    <row r="13353">
      <c r="F13353" s="17"/>
    </row>
    <row r="13354">
      <c r="F13354" s="17"/>
    </row>
    <row r="13355">
      <c r="F13355" s="17"/>
    </row>
    <row r="13356">
      <c r="F13356" s="17"/>
    </row>
    <row r="13357">
      <c r="F13357" s="17"/>
    </row>
    <row r="13358">
      <c r="F13358" s="17"/>
    </row>
    <row r="13359">
      <c r="F13359" s="17"/>
    </row>
    <row r="13360">
      <c r="F13360" s="17"/>
    </row>
    <row r="13361">
      <c r="F13361" s="17"/>
    </row>
    <row r="13362">
      <c r="F13362" s="17"/>
    </row>
    <row r="13363">
      <c r="F13363" s="17"/>
    </row>
    <row r="13364">
      <c r="F13364" s="17"/>
    </row>
    <row r="13365">
      <c r="F13365" s="17"/>
    </row>
    <row r="13366">
      <c r="F13366" s="17"/>
    </row>
    <row r="13367">
      <c r="F13367" s="17"/>
    </row>
    <row r="13368">
      <c r="F13368" s="17"/>
    </row>
    <row r="13369">
      <c r="F13369" s="17"/>
    </row>
    <row r="13370">
      <c r="F13370" s="17"/>
    </row>
    <row r="13371">
      <c r="F13371" s="17"/>
    </row>
    <row r="13372">
      <c r="F13372" s="17"/>
    </row>
    <row r="13373">
      <c r="F13373" s="17"/>
    </row>
    <row r="13374">
      <c r="F13374" s="17"/>
    </row>
    <row r="13375">
      <c r="F13375" s="17"/>
    </row>
    <row r="13376">
      <c r="F13376" s="17"/>
    </row>
    <row r="13377">
      <c r="F13377" s="17"/>
    </row>
    <row r="13378">
      <c r="F13378" s="17"/>
    </row>
    <row r="13379">
      <c r="F13379" s="17"/>
    </row>
    <row r="13380">
      <c r="F13380" s="17"/>
    </row>
    <row r="13381">
      <c r="F13381" s="17"/>
    </row>
    <row r="13382">
      <c r="F13382" s="17"/>
    </row>
    <row r="13383">
      <c r="F13383" s="17"/>
    </row>
    <row r="13384">
      <c r="F13384" s="17"/>
    </row>
    <row r="13385">
      <c r="F13385" s="17"/>
    </row>
    <row r="13386">
      <c r="F13386" s="17"/>
    </row>
    <row r="13387">
      <c r="F13387" s="17"/>
    </row>
    <row r="13388">
      <c r="F13388" s="17"/>
    </row>
    <row r="13389">
      <c r="F13389" s="17"/>
    </row>
    <row r="13390">
      <c r="F13390" s="17"/>
    </row>
    <row r="13391">
      <c r="F13391" s="17"/>
    </row>
    <row r="13392">
      <c r="F13392" s="17"/>
    </row>
    <row r="13393">
      <c r="F13393" s="17"/>
    </row>
    <row r="13394">
      <c r="F13394" s="17"/>
    </row>
    <row r="13395">
      <c r="F13395" s="17"/>
    </row>
    <row r="13396">
      <c r="F13396" s="17"/>
    </row>
    <row r="13397">
      <c r="F13397" s="17"/>
    </row>
    <row r="13398">
      <c r="F13398" s="17"/>
    </row>
    <row r="13399">
      <c r="F13399" s="17"/>
    </row>
    <row r="13400">
      <c r="F13400" s="17"/>
    </row>
    <row r="13401">
      <c r="F13401" s="17"/>
    </row>
    <row r="13402">
      <c r="F13402" s="17"/>
    </row>
    <row r="13403">
      <c r="F13403" s="17"/>
    </row>
    <row r="13404">
      <c r="F13404" s="17"/>
    </row>
    <row r="13405">
      <c r="F13405" s="17"/>
    </row>
    <row r="13406">
      <c r="F13406" s="17"/>
    </row>
    <row r="13407">
      <c r="F13407" s="17"/>
    </row>
    <row r="13408">
      <c r="F13408" s="17"/>
    </row>
    <row r="13409">
      <c r="F13409" s="17"/>
    </row>
    <row r="13410">
      <c r="F13410" s="17"/>
    </row>
    <row r="13411">
      <c r="F13411" s="17"/>
    </row>
    <row r="13412">
      <c r="F13412" s="17"/>
    </row>
    <row r="13413">
      <c r="F13413" s="17"/>
    </row>
    <row r="13414">
      <c r="F13414" s="17"/>
    </row>
    <row r="13415">
      <c r="F13415" s="17"/>
    </row>
    <row r="13416">
      <c r="F13416" s="17"/>
    </row>
    <row r="13417">
      <c r="F13417" s="17"/>
    </row>
    <row r="13418">
      <c r="F13418" s="17"/>
    </row>
    <row r="13419">
      <c r="F13419" s="17"/>
    </row>
    <row r="13420">
      <c r="F13420" s="17"/>
    </row>
    <row r="13421">
      <c r="F13421" s="17"/>
    </row>
    <row r="13422">
      <c r="F13422" s="17"/>
    </row>
    <row r="13423">
      <c r="F13423" s="17"/>
    </row>
    <row r="13424">
      <c r="F13424" s="17"/>
    </row>
    <row r="13425">
      <c r="F13425" s="17"/>
    </row>
    <row r="13426">
      <c r="F13426" s="17"/>
    </row>
    <row r="13427">
      <c r="F13427" s="17"/>
    </row>
    <row r="13428">
      <c r="F13428" s="17"/>
    </row>
    <row r="13429">
      <c r="F13429" s="17"/>
    </row>
    <row r="13430">
      <c r="F13430" s="17"/>
    </row>
    <row r="13431">
      <c r="F13431" s="17"/>
    </row>
    <row r="13432">
      <c r="F13432" s="17"/>
    </row>
    <row r="13433">
      <c r="F13433" s="17"/>
    </row>
    <row r="13434">
      <c r="F13434" s="17"/>
    </row>
    <row r="13435">
      <c r="F13435" s="17"/>
    </row>
    <row r="13436">
      <c r="F13436" s="17"/>
    </row>
    <row r="13437">
      <c r="F13437" s="17"/>
    </row>
    <row r="13438">
      <c r="F13438" s="17"/>
    </row>
    <row r="13439">
      <c r="F13439" s="17"/>
    </row>
    <row r="13440">
      <c r="F13440" s="17"/>
    </row>
    <row r="13441">
      <c r="F13441" s="17"/>
    </row>
    <row r="13442">
      <c r="F13442" s="17"/>
    </row>
    <row r="13443">
      <c r="F13443" s="17"/>
    </row>
    <row r="13444">
      <c r="F13444" s="17"/>
    </row>
    <row r="13445">
      <c r="F13445" s="17"/>
    </row>
    <row r="13446">
      <c r="F13446" s="17"/>
    </row>
    <row r="13447">
      <c r="F13447" s="17"/>
    </row>
    <row r="13448">
      <c r="F13448" s="17"/>
    </row>
    <row r="13449">
      <c r="F13449" s="17"/>
    </row>
    <row r="13450">
      <c r="F13450" s="17"/>
    </row>
    <row r="13451">
      <c r="F13451" s="17"/>
    </row>
    <row r="13452">
      <c r="F13452" s="17"/>
    </row>
    <row r="13453">
      <c r="F13453" s="17"/>
    </row>
    <row r="13454">
      <c r="F13454" s="17"/>
    </row>
    <row r="13455">
      <c r="F13455" s="17"/>
    </row>
    <row r="13456">
      <c r="F13456" s="17"/>
    </row>
    <row r="13457">
      <c r="F13457" s="17"/>
    </row>
    <row r="13458">
      <c r="F13458" s="17"/>
    </row>
    <row r="13459">
      <c r="F13459" s="17"/>
    </row>
    <row r="13460">
      <c r="F13460" s="17"/>
    </row>
    <row r="13461">
      <c r="F13461" s="17"/>
    </row>
    <row r="13462">
      <c r="F13462" s="17"/>
    </row>
    <row r="13463">
      <c r="F13463" s="17"/>
    </row>
    <row r="13464">
      <c r="F13464" s="17"/>
    </row>
    <row r="13465">
      <c r="F13465" s="17"/>
    </row>
    <row r="13466">
      <c r="F13466" s="17"/>
    </row>
    <row r="13467">
      <c r="F13467" s="17"/>
    </row>
    <row r="13468">
      <c r="F13468" s="17"/>
    </row>
    <row r="13469">
      <c r="F13469" s="17"/>
    </row>
    <row r="13470">
      <c r="F13470" s="17"/>
    </row>
    <row r="13471">
      <c r="F13471" s="17"/>
    </row>
    <row r="13472">
      <c r="F13472" s="17"/>
    </row>
    <row r="13473">
      <c r="F13473" s="17"/>
    </row>
    <row r="13474">
      <c r="F13474" s="17"/>
    </row>
    <row r="13475">
      <c r="F13475" s="17"/>
    </row>
    <row r="13476">
      <c r="F13476" s="17"/>
    </row>
    <row r="13477">
      <c r="F13477" s="17"/>
    </row>
    <row r="13478">
      <c r="F13478" s="17"/>
    </row>
    <row r="13479">
      <c r="F13479" s="17"/>
    </row>
    <row r="13480">
      <c r="F13480" s="17"/>
    </row>
    <row r="13481">
      <c r="F13481" s="17"/>
    </row>
    <row r="13482">
      <c r="F13482" s="17"/>
    </row>
    <row r="13483">
      <c r="F13483" s="17"/>
    </row>
    <row r="13484">
      <c r="F13484" s="17"/>
    </row>
    <row r="13485">
      <c r="F13485" s="17"/>
    </row>
    <row r="13486">
      <c r="F13486" s="17"/>
    </row>
    <row r="13487">
      <c r="F13487" s="17"/>
    </row>
    <row r="13488">
      <c r="F13488" s="17"/>
    </row>
    <row r="13489">
      <c r="F13489" s="17"/>
    </row>
    <row r="13490">
      <c r="F13490" s="17"/>
    </row>
    <row r="13491">
      <c r="F13491" s="17"/>
    </row>
    <row r="13492">
      <c r="F13492" s="17"/>
    </row>
    <row r="13493">
      <c r="F13493" s="17"/>
    </row>
    <row r="13494">
      <c r="F13494" s="17"/>
    </row>
    <row r="13495">
      <c r="F13495" s="17"/>
    </row>
    <row r="13496">
      <c r="F13496" s="17"/>
    </row>
    <row r="13497">
      <c r="F13497" s="17"/>
    </row>
    <row r="13498">
      <c r="F13498" s="17"/>
    </row>
    <row r="13499">
      <c r="F13499" s="17"/>
    </row>
    <row r="13500">
      <c r="F13500" s="17"/>
    </row>
    <row r="13501">
      <c r="F13501" s="17"/>
    </row>
    <row r="13502">
      <c r="F13502" s="17"/>
    </row>
    <row r="13503">
      <c r="F13503" s="17"/>
    </row>
    <row r="13504">
      <c r="F13504" s="17"/>
    </row>
    <row r="13505">
      <c r="F13505" s="17"/>
    </row>
    <row r="13506">
      <c r="F13506" s="17"/>
    </row>
    <row r="13507">
      <c r="F13507" s="17"/>
    </row>
    <row r="13508">
      <c r="F13508" s="17"/>
    </row>
    <row r="13509">
      <c r="F13509" s="17"/>
    </row>
    <row r="13510">
      <c r="F13510" s="17"/>
    </row>
    <row r="13511">
      <c r="F13511" s="17"/>
    </row>
    <row r="13512">
      <c r="F13512" s="17"/>
    </row>
    <row r="13513">
      <c r="F13513" s="17"/>
    </row>
    <row r="13514">
      <c r="F13514" s="17"/>
    </row>
    <row r="13515">
      <c r="F13515" s="17"/>
    </row>
    <row r="13516">
      <c r="F13516" s="17"/>
    </row>
    <row r="13517">
      <c r="F13517" s="17"/>
    </row>
    <row r="13518">
      <c r="F13518" s="17"/>
    </row>
    <row r="13519">
      <c r="F13519" s="17"/>
    </row>
    <row r="13520">
      <c r="F13520" s="17"/>
    </row>
    <row r="13521">
      <c r="F13521" s="17"/>
    </row>
    <row r="13522">
      <c r="F13522" s="17"/>
    </row>
    <row r="13523">
      <c r="F13523" s="17"/>
    </row>
    <row r="13524">
      <c r="F13524" s="17"/>
    </row>
    <row r="13525">
      <c r="F13525" s="17"/>
    </row>
    <row r="13526">
      <c r="F13526" s="17"/>
    </row>
    <row r="13527">
      <c r="F13527" s="17"/>
    </row>
    <row r="13528">
      <c r="F13528" s="17"/>
    </row>
    <row r="13529">
      <c r="F13529" s="17"/>
    </row>
    <row r="13530">
      <c r="F13530" s="17"/>
    </row>
    <row r="13531">
      <c r="F13531" s="17"/>
    </row>
    <row r="13532">
      <c r="F13532" s="17"/>
    </row>
    <row r="13533">
      <c r="F13533" s="17"/>
    </row>
    <row r="13534">
      <c r="F13534" s="17"/>
    </row>
    <row r="13535">
      <c r="F13535" s="17"/>
    </row>
    <row r="13536">
      <c r="F13536" s="17"/>
    </row>
    <row r="13537">
      <c r="F13537" s="17"/>
    </row>
    <row r="13538">
      <c r="F13538" s="17"/>
    </row>
    <row r="13539">
      <c r="F13539" s="17"/>
    </row>
    <row r="13540">
      <c r="F13540" s="17"/>
    </row>
    <row r="13541">
      <c r="F13541" s="17"/>
    </row>
    <row r="13542">
      <c r="F13542" s="17"/>
    </row>
    <row r="13543">
      <c r="F13543" s="17"/>
    </row>
    <row r="13544">
      <c r="F13544" s="17"/>
    </row>
    <row r="13545">
      <c r="F13545" s="17"/>
    </row>
    <row r="13546">
      <c r="F13546" s="17"/>
    </row>
    <row r="13547">
      <c r="F13547" s="17"/>
    </row>
    <row r="13548">
      <c r="F13548" s="17"/>
    </row>
    <row r="13549">
      <c r="F13549" s="17"/>
    </row>
    <row r="13550">
      <c r="F13550" s="17"/>
    </row>
    <row r="13551">
      <c r="F13551" s="17"/>
    </row>
    <row r="13552">
      <c r="F13552" s="17"/>
    </row>
    <row r="13553">
      <c r="F13553" s="17"/>
    </row>
    <row r="13554">
      <c r="F13554" s="17"/>
    </row>
    <row r="13555">
      <c r="F13555" s="17"/>
    </row>
    <row r="13556">
      <c r="F13556" s="17"/>
    </row>
    <row r="13557">
      <c r="F13557" s="17"/>
    </row>
    <row r="13558">
      <c r="F13558" s="17"/>
    </row>
    <row r="13559">
      <c r="F13559" s="17"/>
    </row>
    <row r="13560">
      <c r="F13560" s="17"/>
    </row>
    <row r="13561">
      <c r="F13561" s="17"/>
    </row>
    <row r="13562">
      <c r="F13562" s="17"/>
    </row>
    <row r="13563">
      <c r="F13563" s="17"/>
    </row>
    <row r="13564">
      <c r="F13564" s="17"/>
    </row>
    <row r="13565">
      <c r="F13565" s="17"/>
    </row>
    <row r="13566">
      <c r="F13566" s="17"/>
    </row>
    <row r="13567">
      <c r="F13567" s="17"/>
    </row>
    <row r="13568">
      <c r="F13568" s="17"/>
    </row>
    <row r="13569">
      <c r="F13569" s="17"/>
    </row>
    <row r="13570">
      <c r="F13570" s="17"/>
    </row>
    <row r="13571">
      <c r="F13571" s="17"/>
    </row>
    <row r="13572">
      <c r="F13572" s="17"/>
    </row>
    <row r="13573">
      <c r="F13573" s="17"/>
    </row>
    <row r="13574">
      <c r="F13574" s="17"/>
    </row>
    <row r="13575">
      <c r="F13575" s="17"/>
    </row>
    <row r="13576">
      <c r="F13576" s="17"/>
    </row>
    <row r="13577">
      <c r="F13577" s="17"/>
    </row>
    <row r="13578">
      <c r="F13578" s="17"/>
    </row>
    <row r="13579">
      <c r="F13579" s="17"/>
    </row>
    <row r="13580">
      <c r="F13580" s="17"/>
    </row>
    <row r="13581">
      <c r="F13581" s="17"/>
    </row>
    <row r="13582">
      <c r="F13582" s="17"/>
    </row>
    <row r="13583">
      <c r="F13583" s="17"/>
    </row>
    <row r="13584">
      <c r="F13584" s="17"/>
    </row>
    <row r="13585">
      <c r="F13585" s="17"/>
    </row>
    <row r="13586">
      <c r="F13586" s="17"/>
    </row>
    <row r="13587">
      <c r="F13587" s="17"/>
    </row>
    <row r="13588">
      <c r="F13588" s="17"/>
    </row>
    <row r="13589">
      <c r="F13589" s="17"/>
    </row>
    <row r="13590">
      <c r="F13590" s="17"/>
    </row>
    <row r="13591">
      <c r="F13591" s="17"/>
    </row>
    <row r="13592">
      <c r="F13592" s="17"/>
    </row>
    <row r="13593">
      <c r="F13593" s="17"/>
    </row>
    <row r="13594">
      <c r="F13594" s="17"/>
    </row>
    <row r="13595">
      <c r="F13595" s="17"/>
    </row>
    <row r="13596">
      <c r="F13596" s="17"/>
    </row>
    <row r="13597">
      <c r="F13597" s="17"/>
    </row>
    <row r="13598">
      <c r="F13598" s="17"/>
    </row>
    <row r="13599">
      <c r="F13599" s="17"/>
    </row>
    <row r="13600">
      <c r="F13600" s="17"/>
    </row>
    <row r="13601">
      <c r="F13601" s="17"/>
    </row>
    <row r="13602">
      <c r="F13602" s="17"/>
    </row>
    <row r="13603">
      <c r="F13603" s="17"/>
    </row>
    <row r="13604">
      <c r="F13604" s="17"/>
    </row>
    <row r="13605">
      <c r="F13605" s="17"/>
    </row>
    <row r="13606">
      <c r="F13606" s="17"/>
    </row>
    <row r="13607">
      <c r="F13607" s="17"/>
    </row>
    <row r="13608">
      <c r="F13608" s="17"/>
    </row>
    <row r="13609">
      <c r="F13609" s="17"/>
    </row>
    <row r="13610">
      <c r="F13610" s="17"/>
    </row>
    <row r="13611">
      <c r="F13611" s="17"/>
    </row>
    <row r="13612">
      <c r="F13612" s="17"/>
    </row>
    <row r="13613">
      <c r="F13613" s="17"/>
    </row>
    <row r="13614">
      <c r="F13614" s="17"/>
    </row>
    <row r="13615">
      <c r="F13615" s="17"/>
    </row>
    <row r="13616">
      <c r="F13616" s="17"/>
    </row>
    <row r="13617">
      <c r="F13617" s="17"/>
    </row>
    <row r="13618">
      <c r="F13618" s="17"/>
    </row>
    <row r="13619">
      <c r="F13619" s="17"/>
    </row>
    <row r="13620">
      <c r="F13620" s="17"/>
    </row>
    <row r="13621">
      <c r="F13621" s="17"/>
    </row>
    <row r="13622">
      <c r="F13622" s="17"/>
    </row>
    <row r="13623">
      <c r="F13623" s="17"/>
    </row>
    <row r="13624">
      <c r="F13624" s="17"/>
    </row>
    <row r="13625">
      <c r="F13625" s="17"/>
    </row>
    <row r="13626">
      <c r="F13626" s="17"/>
    </row>
    <row r="13627">
      <c r="F13627" s="17"/>
    </row>
    <row r="13628">
      <c r="F13628" s="17"/>
    </row>
    <row r="13629">
      <c r="F13629" s="17"/>
    </row>
    <row r="13630">
      <c r="F13630" s="17"/>
    </row>
    <row r="13631">
      <c r="F13631" s="17"/>
    </row>
    <row r="13632">
      <c r="F13632" s="17"/>
    </row>
    <row r="13633">
      <c r="F13633" s="17"/>
    </row>
    <row r="13634">
      <c r="F13634" s="17"/>
    </row>
    <row r="13635">
      <c r="F13635" s="17"/>
    </row>
    <row r="13636">
      <c r="F13636" s="17"/>
    </row>
    <row r="13637">
      <c r="F13637" s="17"/>
    </row>
    <row r="13638">
      <c r="F13638" s="17"/>
    </row>
    <row r="13639">
      <c r="F13639" s="17"/>
    </row>
    <row r="13640">
      <c r="F13640" s="17"/>
    </row>
    <row r="13641">
      <c r="F13641" s="17"/>
    </row>
    <row r="13642">
      <c r="F13642" s="17"/>
    </row>
    <row r="13643">
      <c r="F13643" s="17"/>
    </row>
    <row r="13644">
      <c r="F13644" s="17"/>
    </row>
    <row r="13645">
      <c r="F13645" s="17"/>
    </row>
    <row r="13646">
      <c r="F13646" s="17"/>
    </row>
    <row r="13647">
      <c r="F13647" s="17"/>
    </row>
    <row r="13648">
      <c r="F13648" s="17"/>
    </row>
    <row r="13649">
      <c r="F13649" s="17"/>
    </row>
    <row r="13650">
      <c r="F13650" s="17"/>
    </row>
    <row r="13651">
      <c r="F13651" s="17"/>
    </row>
    <row r="13652">
      <c r="F13652" s="17"/>
    </row>
    <row r="13653">
      <c r="F13653" s="17"/>
    </row>
    <row r="13654">
      <c r="F13654" s="17"/>
    </row>
    <row r="13655">
      <c r="F13655" s="17"/>
    </row>
    <row r="13656">
      <c r="F13656" s="17"/>
    </row>
    <row r="13657">
      <c r="F13657" s="17"/>
    </row>
    <row r="13658">
      <c r="F13658" s="17"/>
    </row>
    <row r="13659">
      <c r="F13659" s="17"/>
    </row>
    <row r="13660">
      <c r="F13660" s="17"/>
    </row>
    <row r="13661">
      <c r="F13661" s="17"/>
    </row>
    <row r="13662">
      <c r="F13662" s="17"/>
    </row>
    <row r="13663">
      <c r="F13663" s="17"/>
    </row>
    <row r="13664">
      <c r="F13664" s="17"/>
    </row>
    <row r="13665">
      <c r="F13665" s="17"/>
    </row>
    <row r="13666">
      <c r="F13666" s="17"/>
    </row>
    <row r="13667">
      <c r="F13667" s="17"/>
    </row>
    <row r="13668">
      <c r="F13668" s="17"/>
    </row>
    <row r="13669">
      <c r="F13669" s="17"/>
    </row>
    <row r="13670">
      <c r="F13670" s="17"/>
    </row>
    <row r="13671">
      <c r="F13671" s="17"/>
    </row>
    <row r="13672">
      <c r="F13672" s="17"/>
    </row>
    <row r="13673">
      <c r="F13673" s="17"/>
    </row>
    <row r="13674">
      <c r="F13674" s="17"/>
    </row>
    <row r="13675">
      <c r="F13675" s="17"/>
    </row>
    <row r="13676">
      <c r="F13676" s="17"/>
    </row>
    <row r="13677">
      <c r="F13677" s="17"/>
    </row>
    <row r="13678">
      <c r="F13678" s="17"/>
    </row>
    <row r="13679">
      <c r="F13679" s="17"/>
    </row>
    <row r="13680">
      <c r="F13680" s="17"/>
    </row>
    <row r="13681">
      <c r="F13681" s="17"/>
    </row>
    <row r="13682">
      <c r="F13682" s="17"/>
    </row>
    <row r="13683">
      <c r="F13683" s="17"/>
    </row>
    <row r="13684">
      <c r="F13684" s="17"/>
    </row>
    <row r="13685">
      <c r="F13685" s="17"/>
    </row>
    <row r="13686">
      <c r="F13686" s="17"/>
    </row>
    <row r="13687">
      <c r="F13687" s="17"/>
    </row>
    <row r="13688">
      <c r="F13688" s="17"/>
    </row>
    <row r="13689">
      <c r="F13689" s="17"/>
    </row>
    <row r="13690">
      <c r="F13690" s="17"/>
    </row>
    <row r="13691">
      <c r="F13691" s="17"/>
    </row>
    <row r="13692">
      <c r="F13692" s="17"/>
    </row>
    <row r="13693">
      <c r="F13693" s="17"/>
    </row>
    <row r="13694">
      <c r="F13694" s="17"/>
    </row>
    <row r="13695">
      <c r="F13695" s="17"/>
    </row>
    <row r="13696">
      <c r="F13696" s="17"/>
    </row>
    <row r="13697">
      <c r="F13697" s="17"/>
    </row>
    <row r="13698">
      <c r="F13698" s="17"/>
    </row>
    <row r="13699">
      <c r="F13699" s="17"/>
    </row>
    <row r="13700">
      <c r="F13700" s="17"/>
    </row>
    <row r="13701">
      <c r="F13701" s="17"/>
    </row>
    <row r="13702">
      <c r="F13702" s="17"/>
    </row>
    <row r="13703">
      <c r="F13703" s="17"/>
    </row>
    <row r="13704">
      <c r="F13704" s="17"/>
    </row>
    <row r="13705">
      <c r="F13705" s="17"/>
    </row>
    <row r="13706">
      <c r="F13706" s="17"/>
    </row>
    <row r="13707">
      <c r="F13707" s="17"/>
    </row>
    <row r="13708">
      <c r="F13708" s="17"/>
    </row>
    <row r="13709">
      <c r="F13709" s="17"/>
    </row>
    <row r="13710">
      <c r="F13710" s="17"/>
    </row>
    <row r="13711">
      <c r="F13711" s="17"/>
    </row>
    <row r="13712">
      <c r="F13712" s="17"/>
    </row>
    <row r="13713">
      <c r="F13713" s="17"/>
    </row>
    <row r="13714">
      <c r="F13714" s="17"/>
    </row>
    <row r="13715">
      <c r="F13715" s="17"/>
    </row>
    <row r="13716">
      <c r="F13716" s="17"/>
    </row>
    <row r="13717">
      <c r="F13717" s="17"/>
    </row>
    <row r="13718">
      <c r="F13718" s="17"/>
    </row>
    <row r="13719">
      <c r="F13719" s="17"/>
    </row>
    <row r="13720">
      <c r="F13720" s="17"/>
    </row>
    <row r="13721">
      <c r="F13721" s="17"/>
    </row>
    <row r="13722">
      <c r="F13722" s="17"/>
    </row>
    <row r="13723">
      <c r="F13723" s="17"/>
    </row>
    <row r="13724">
      <c r="F13724" s="17"/>
    </row>
    <row r="13725">
      <c r="F13725" s="17"/>
    </row>
    <row r="13726">
      <c r="F13726" s="17"/>
    </row>
    <row r="13727">
      <c r="F13727" s="17"/>
    </row>
    <row r="13728">
      <c r="F13728" s="17"/>
    </row>
    <row r="13729">
      <c r="F13729" s="17"/>
    </row>
    <row r="13730">
      <c r="F13730" s="17"/>
    </row>
    <row r="13731">
      <c r="F13731" s="17"/>
    </row>
    <row r="13732">
      <c r="F13732" s="17"/>
    </row>
    <row r="13733">
      <c r="F13733" s="17"/>
    </row>
    <row r="13734">
      <c r="F13734" s="17"/>
    </row>
    <row r="13735">
      <c r="F13735" s="17"/>
    </row>
    <row r="13736">
      <c r="F13736" s="17"/>
    </row>
    <row r="13737">
      <c r="F13737" s="17"/>
    </row>
    <row r="13738">
      <c r="F13738" s="17"/>
    </row>
    <row r="13739">
      <c r="F13739" s="17"/>
    </row>
    <row r="13740">
      <c r="F13740" s="17"/>
    </row>
    <row r="13741">
      <c r="F13741" s="17"/>
    </row>
    <row r="13742">
      <c r="F13742" s="17"/>
    </row>
    <row r="13743">
      <c r="F13743" s="17"/>
    </row>
    <row r="13744">
      <c r="F13744" s="17"/>
    </row>
    <row r="13745">
      <c r="F13745" s="17"/>
    </row>
    <row r="13746">
      <c r="F13746" s="17"/>
    </row>
    <row r="13747">
      <c r="F13747" s="17"/>
    </row>
    <row r="13748">
      <c r="F13748" s="17"/>
    </row>
    <row r="13749">
      <c r="F13749" s="17"/>
    </row>
    <row r="13750">
      <c r="F13750" s="17"/>
    </row>
    <row r="13751">
      <c r="F13751" s="17"/>
    </row>
    <row r="13752">
      <c r="F13752" s="17"/>
    </row>
    <row r="13753">
      <c r="F13753" s="17"/>
    </row>
    <row r="13754">
      <c r="F13754" s="17"/>
    </row>
    <row r="13755">
      <c r="F13755" s="17"/>
    </row>
    <row r="13756">
      <c r="F13756" s="17"/>
    </row>
    <row r="13757">
      <c r="F13757" s="17"/>
    </row>
    <row r="13758">
      <c r="F13758" s="17"/>
    </row>
    <row r="13759">
      <c r="F13759" s="17"/>
    </row>
    <row r="13760">
      <c r="F13760" s="17"/>
    </row>
    <row r="13761">
      <c r="F13761" s="17"/>
    </row>
    <row r="13762">
      <c r="F13762" s="17"/>
    </row>
    <row r="13763">
      <c r="F13763" s="17"/>
    </row>
    <row r="13764">
      <c r="F13764" s="17"/>
    </row>
    <row r="13765">
      <c r="F13765" s="17"/>
    </row>
    <row r="13766">
      <c r="F13766" s="17"/>
    </row>
    <row r="13767">
      <c r="F13767" s="17"/>
    </row>
    <row r="13768">
      <c r="F13768" s="17"/>
    </row>
    <row r="13769">
      <c r="F13769" s="17"/>
    </row>
    <row r="13770">
      <c r="F13770" s="17"/>
    </row>
    <row r="13771">
      <c r="F13771" s="17"/>
    </row>
    <row r="13772">
      <c r="F13772" s="17"/>
    </row>
    <row r="13773">
      <c r="F13773" s="17"/>
    </row>
    <row r="13774">
      <c r="F13774" s="17"/>
    </row>
    <row r="13775">
      <c r="F13775" s="17"/>
    </row>
    <row r="13776">
      <c r="F13776" s="17"/>
    </row>
    <row r="13777">
      <c r="F13777" s="17"/>
    </row>
    <row r="13778">
      <c r="F13778" s="17"/>
    </row>
    <row r="13779">
      <c r="F13779" s="17"/>
    </row>
    <row r="13780">
      <c r="F13780" s="17"/>
    </row>
    <row r="13781">
      <c r="F13781" s="17"/>
    </row>
    <row r="13782">
      <c r="F13782" s="17"/>
    </row>
    <row r="13783">
      <c r="F13783" s="17"/>
    </row>
    <row r="13784">
      <c r="F13784" s="17"/>
    </row>
    <row r="13785">
      <c r="F13785" s="17"/>
    </row>
    <row r="13786">
      <c r="F13786" s="17"/>
    </row>
    <row r="13787">
      <c r="F13787" s="17"/>
    </row>
    <row r="13788">
      <c r="F13788" s="17"/>
    </row>
    <row r="13789">
      <c r="F13789" s="17"/>
    </row>
    <row r="13790">
      <c r="F13790" s="17"/>
    </row>
    <row r="13791">
      <c r="F13791" s="17"/>
    </row>
    <row r="13792">
      <c r="F13792" s="17"/>
    </row>
    <row r="13793">
      <c r="F13793" s="17"/>
    </row>
    <row r="13794">
      <c r="F13794" s="17"/>
    </row>
    <row r="13795">
      <c r="F13795" s="17"/>
    </row>
    <row r="13796">
      <c r="F13796" s="17"/>
    </row>
    <row r="13797">
      <c r="F13797" s="17"/>
    </row>
    <row r="13798">
      <c r="F13798" s="17"/>
    </row>
    <row r="13799">
      <c r="F13799" s="17"/>
    </row>
    <row r="13800">
      <c r="F13800" s="17"/>
    </row>
    <row r="13801">
      <c r="F13801" s="17"/>
    </row>
    <row r="13802">
      <c r="F13802" s="17"/>
    </row>
    <row r="13803">
      <c r="F13803" s="17"/>
    </row>
    <row r="13804">
      <c r="F13804" s="17"/>
    </row>
    <row r="13805">
      <c r="F13805" s="17"/>
    </row>
    <row r="13806">
      <c r="F13806" s="17"/>
    </row>
    <row r="13807">
      <c r="F13807" s="17"/>
    </row>
    <row r="13808">
      <c r="F13808" s="17"/>
    </row>
    <row r="13809">
      <c r="F13809" s="17"/>
    </row>
    <row r="13810">
      <c r="F13810" s="17"/>
    </row>
    <row r="13811">
      <c r="F13811" s="17"/>
    </row>
    <row r="13812">
      <c r="F13812" s="17"/>
    </row>
    <row r="13813">
      <c r="F13813" s="17"/>
    </row>
    <row r="13814">
      <c r="F13814" s="17"/>
    </row>
    <row r="13815">
      <c r="F13815" s="17"/>
    </row>
    <row r="13816">
      <c r="F13816" s="17"/>
    </row>
    <row r="13817">
      <c r="F13817" s="17"/>
    </row>
    <row r="13818">
      <c r="F13818" s="17"/>
    </row>
    <row r="13819">
      <c r="F13819" s="17"/>
    </row>
    <row r="13820">
      <c r="F13820" s="17"/>
    </row>
    <row r="13821">
      <c r="F13821" s="17"/>
    </row>
    <row r="13822">
      <c r="F13822" s="17"/>
    </row>
    <row r="13823">
      <c r="F13823" s="17"/>
    </row>
    <row r="13824">
      <c r="F13824" s="17"/>
    </row>
    <row r="13825">
      <c r="F13825" s="17"/>
    </row>
    <row r="13826">
      <c r="F13826" s="17"/>
    </row>
    <row r="13827">
      <c r="F13827" s="17"/>
    </row>
    <row r="13828">
      <c r="F13828" s="17"/>
    </row>
    <row r="13829">
      <c r="F13829" s="17"/>
    </row>
    <row r="13830">
      <c r="F13830" s="17"/>
    </row>
    <row r="13831">
      <c r="F13831" s="17"/>
    </row>
    <row r="13832">
      <c r="F13832" s="17"/>
    </row>
    <row r="13833">
      <c r="F13833" s="17"/>
    </row>
    <row r="13834">
      <c r="F13834" s="17"/>
    </row>
    <row r="13835">
      <c r="F13835" s="17"/>
    </row>
    <row r="13836">
      <c r="F13836" s="17"/>
    </row>
    <row r="13837">
      <c r="F13837" s="17"/>
    </row>
    <row r="13838">
      <c r="F13838" s="17"/>
    </row>
    <row r="13839">
      <c r="F13839" s="17"/>
    </row>
    <row r="13840">
      <c r="F13840" s="17"/>
    </row>
    <row r="13841">
      <c r="F13841" s="17"/>
    </row>
    <row r="13842">
      <c r="F13842" s="17"/>
    </row>
    <row r="13843">
      <c r="F13843" s="17"/>
    </row>
    <row r="13844">
      <c r="F13844" s="17"/>
    </row>
    <row r="13845">
      <c r="F13845" s="17"/>
    </row>
    <row r="13846">
      <c r="F13846" s="17"/>
    </row>
    <row r="13847">
      <c r="F13847" s="17"/>
    </row>
    <row r="13848">
      <c r="F13848" s="17"/>
    </row>
    <row r="13849">
      <c r="F13849" s="17"/>
    </row>
    <row r="13850">
      <c r="F13850" s="17"/>
    </row>
    <row r="13851">
      <c r="F13851" s="17"/>
    </row>
    <row r="13852">
      <c r="F13852" s="17"/>
    </row>
    <row r="13853">
      <c r="F13853" s="17"/>
    </row>
    <row r="13854">
      <c r="F13854" s="17"/>
    </row>
    <row r="13855">
      <c r="F13855" s="17"/>
    </row>
    <row r="13856">
      <c r="F13856" s="17"/>
    </row>
    <row r="13857">
      <c r="F13857" s="17"/>
    </row>
    <row r="13858">
      <c r="F13858" s="17"/>
    </row>
    <row r="13859">
      <c r="F13859" s="17"/>
    </row>
    <row r="13860">
      <c r="F13860" s="17"/>
    </row>
    <row r="13861">
      <c r="F13861" s="17"/>
    </row>
    <row r="13862">
      <c r="F13862" s="17"/>
    </row>
    <row r="13863">
      <c r="F13863" s="17"/>
    </row>
    <row r="13864">
      <c r="F13864" s="17"/>
    </row>
    <row r="13865">
      <c r="F13865" s="17"/>
    </row>
    <row r="13866">
      <c r="F13866" s="17"/>
    </row>
    <row r="13867">
      <c r="F13867" s="17"/>
    </row>
    <row r="13868">
      <c r="F13868" s="17"/>
    </row>
    <row r="13869">
      <c r="F13869" s="17"/>
    </row>
    <row r="13870">
      <c r="F13870" s="17"/>
    </row>
    <row r="13871">
      <c r="F13871" s="17"/>
    </row>
    <row r="13872">
      <c r="F13872" s="17"/>
    </row>
    <row r="13873">
      <c r="F13873" s="17"/>
    </row>
    <row r="13874">
      <c r="F13874" s="17"/>
    </row>
    <row r="13875">
      <c r="F13875" s="17"/>
    </row>
    <row r="13876">
      <c r="F13876" s="17"/>
    </row>
    <row r="13877">
      <c r="F13877" s="17"/>
    </row>
    <row r="13878">
      <c r="F13878" s="17"/>
    </row>
    <row r="13879">
      <c r="F13879" s="17"/>
    </row>
    <row r="13880">
      <c r="F13880" s="17"/>
    </row>
    <row r="13881">
      <c r="F13881" s="17"/>
    </row>
    <row r="13882">
      <c r="F13882" s="17"/>
    </row>
    <row r="13883">
      <c r="F13883" s="17"/>
    </row>
    <row r="13884">
      <c r="F13884" s="17"/>
    </row>
    <row r="13885">
      <c r="F13885" s="17"/>
    </row>
    <row r="13886">
      <c r="F13886" s="17"/>
    </row>
    <row r="13887">
      <c r="F13887" s="17"/>
    </row>
    <row r="13888">
      <c r="F13888" s="17"/>
    </row>
    <row r="13889">
      <c r="F13889" s="17"/>
    </row>
    <row r="13890">
      <c r="F13890" s="17"/>
    </row>
    <row r="13891">
      <c r="F13891" s="17"/>
    </row>
    <row r="13892">
      <c r="F13892" s="17"/>
    </row>
    <row r="13893">
      <c r="F13893" s="17"/>
    </row>
    <row r="13894">
      <c r="F13894" s="17"/>
    </row>
    <row r="13895">
      <c r="F13895" s="17"/>
    </row>
    <row r="13896">
      <c r="F13896" s="17"/>
    </row>
    <row r="13897">
      <c r="F13897" s="17"/>
    </row>
    <row r="13898">
      <c r="F13898" s="17"/>
    </row>
    <row r="13899">
      <c r="F13899" s="17"/>
    </row>
    <row r="13900">
      <c r="F13900" s="17"/>
    </row>
    <row r="13901">
      <c r="F13901" s="17"/>
    </row>
    <row r="13902">
      <c r="F13902" s="17"/>
    </row>
    <row r="13903">
      <c r="F13903" s="17"/>
    </row>
    <row r="13904">
      <c r="F13904" s="17"/>
    </row>
    <row r="13905">
      <c r="F13905" s="17"/>
    </row>
    <row r="13906">
      <c r="F13906" s="17"/>
    </row>
    <row r="13907">
      <c r="F13907" s="17"/>
    </row>
    <row r="13908">
      <c r="F13908" s="17"/>
    </row>
    <row r="13909">
      <c r="F13909" s="17"/>
    </row>
    <row r="13910">
      <c r="F13910" s="17"/>
    </row>
    <row r="13911">
      <c r="F13911" s="17"/>
    </row>
    <row r="13912">
      <c r="F13912" s="17"/>
    </row>
    <row r="13913">
      <c r="F13913" s="17"/>
    </row>
    <row r="13914">
      <c r="F13914" s="17"/>
    </row>
    <row r="13915">
      <c r="F13915" s="17"/>
    </row>
    <row r="13916">
      <c r="F13916" s="17"/>
    </row>
    <row r="13917">
      <c r="F13917" s="17"/>
    </row>
    <row r="13918">
      <c r="F13918" s="17"/>
    </row>
    <row r="13919">
      <c r="F13919" s="17"/>
    </row>
    <row r="13920">
      <c r="F13920" s="17"/>
    </row>
    <row r="13921">
      <c r="F13921" s="17"/>
    </row>
    <row r="13922">
      <c r="F13922" s="17"/>
    </row>
    <row r="13923">
      <c r="F13923" s="17"/>
    </row>
    <row r="13924">
      <c r="F13924" s="17"/>
    </row>
    <row r="13925">
      <c r="F13925" s="17"/>
    </row>
    <row r="13926">
      <c r="F13926" s="17"/>
    </row>
    <row r="13927">
      <c r="F13927" s="17"/>
    </row>
    <row r="13928">
      <c r="F13928" s="17"/>
    </row>
    <row r="13929">
      <c r="F13929" s="17"/>
    </row>
    <row r="13930">
      <c r="F13930" s="17"/>
    </row>
    <row r="13931">
      <c r="F13931" s="17"/>
    </row>
    <row r="13932">
      <c r="F13932" s="17"/>
    </row>
    <row r="13933">
      <c r="F13933" s="17"/>
    </row>
    <row r="13934">
      <c r="F13934" s="17"/>
    </row>
    <row r="13935">
      <c r="F13935" s="17"/>
    </row>
    <row r="13936">
      <c r="F13936" s="17"/>
    </row>
    <row r="13937">
      <c r="F13937" s="17"/>
    </row>
    <row r="13938">
      <c r="F13938" s="17"/>
    </row>
    <row r="13939">
      <c r="F13939" s="17"/>
    </row>
    <row r="13940">
      <c r="F13940" s="17"/>
    </row>
    <row r="13941">
      <c r="F13941" s="17"/>
    </row>
    <row r="13942">
      <c r="F13942" s="17"/>
    </row>
    <row r="13943">
      <c r="F13943" s="17"/>
    </row>
    <row r="13944">
      <c r="F13944" s="17"/>
    </row>
    <row r="13945">
      <c r="F13945" s="17"/>
    </row>
    <row r="13946">
      <c r="F13946" s="17"/>
    </row>
    <row r="13947">
      <c r="F13947" s="17"/>
    </row>
    <row r="13948">
      <c r="F13948" s="17"/>
    </row>
    <row r="13949">
      <c r="F13949" s="17"/>
    </row>
    <row r="13950">
      <c r="F13950" s="17"/>
    </row>
    <row r="13951">
      <c r="F13951" s="17"/>
    </row>
    <row r="13952">
      <c r="F13952" s="17"/>
    </row>
    <row r="13953">
      <c r="F13953" s="17"/>
    </row>
    <row r="13954">
      <c r="F13954" s="17"/>
    </row>
    <row r="13955">
      <c r="F13955" s="17"/>
    </row>
    <row r="13956">
      <c r="F13956" s="17"/>
    </row>
    <row r="13957">
      <c r="F13957" s="17"/>
    </row>
    <row r="13958">
      <c r="F13958" s="17"/>
    </row>
    <row r="13959">
      <c r="F13959" s="17"/>
    </row>
    <row r="13960">
      <c r="F13960" s="17"/>
    </row>
    <row r="13961">
      <c r="F13961" s="17"/>
    </row>
    <row r="13962">
      <c r="F13962" s="17"/>
    </row>
    <row r="13963">
      <c r="F13963" s="17"/>
    </row>
    <row r="13964">
      <c r="F13964" s="17"/>
    </row>
    <row r="13965">
      <c r="F13965" s="17"/>
    </row>
    <row r="13966">
      <c r="F13966" s="17"/>
    </row>
    <row r="13967">
      <c r="F13967" s="17"/>
    </row>
    <row r="13968">
      <c r="F13968" s="17"/>
    </row>
    <row r="13969">
      <c r="F13969" s="17"/>
    </row>
    <row r="13970">
      <c r="F13970" s="17"/>
    </row>
    <row r="13971">
      <c r="F13971" s="17"/>
    </row>
    <row r="13972">
      <c r="F13972" s="17"/>
    </row>
    <row r="13973">
      <c r="F13973" s="17"/>
    </row>
    <row r="13974">
      <c r="F13974" s="17"/>
    </row>
    <row r="13975">
      <c r="F13975" s="17"/>
    </row>
    <row r="13976">
      <c r="F13976" s="17"/>
    </row>
    <row r="13977">
      <c r="F13977" s="17"/>
    </row>
    <row r="13978">
      <c r="F13978" s="17"/>
    </row>
    <row r="13979">
      <c r="F13979" s="17"/>
    </row>
    <row r="13980">
      <c r="F13980" s="17"/>
    </row>
    <row r="13981">
      <c r="F13981" s="17"/>
    </row>
    <row r="13982">
      <c r="F13982" s="17"/>
    </row>
    <row r="13983">
      <c r="F13983" s="17"/>
    </row>
    <row r="13984">
      <c r="F13984" s="17"/>
    </row>
    <row r="13985">
      <c r="F13985" s="17"/>
    </row>
    <row r="13986">
      <c r="F13986" s="17"/>
    </row>
    <row r="13987">
      <c r="F13987" s="17"/>
    </row>
    <row r="13988">
      <c r="F13988" s="17"/>
    </row>
    <row r="13989">
      <c r="F13989" s="17"/>
    </row>
    <row r="13990">
      <c r="F13990" s="17"/>
    </row>
    <row r="13991">
      <c r="F13991" s="17"/>
    </row>
    <row r="13992">
      <c r="F13992" s="17"/>
    </row>
    <row r="13993">
      <c r="F13993" s="17"/>
    </row>
    <row r="13994">
      <c r="F13994" s="17"/>
    </row>
    <row r="13995">
      <c r="F13995" s="17"/>
    </row>
    <row r="13996">
      <c r="F13996" s="17"/>
    </row>
    <row r="13997">
      <c r="F13997" s="17"/>
    </row>
    <row r="13998">
      <c r="F13998" s="17"/>
    </row>
    <row r="13999">
      <c r="F13999" s="17"/>
    </row>
    <row r="14000">
      <c r="F14000" s="17"/>
    </row>
    <row r="14001">
      <c r="F14001" s="17"/>
    </row>
    <row r="14002">
      <c r="F14002" s="17"/>
    </row>
    <row r="14003">
      <c r="F14003" s="17"/>
    </row>
    <row r="14004">
      <c r="F14004" s="17"/>
    </row>
    <row r="14005">
      <c r="F14005" s="17"/>
    </row>
    <row r="14006">
      <c r="F14006" s="17"/>
    </row>
    <row r="14007">
      <c r="F14007" s="17"/>
    </row>
    <row r="14008">
      <c r="F14008" s="17"/>
    </row>
    <row r="14009">
      <c r="F14009" s="17"/>
    </row>
    <row r="14010">
      <c r="F14010" s="17"/>
    </row>
    <row r="14011">
      <c r="F14011" s="17"/>
    </row>
    <row r="14012">
      <c r="F14012" s="17"/>
    </row>
    <row r="14013">
      <c r="F14013" s="17"/>
    </row>
    <row r="14014">
      <c r="F14014" s="17"/>
    </row>
    <row r="14015">
      <c r="F14015" s="17"/>
    </row>
    <row r="14016">
      <c r="F14016" s="17"/>
    </row>
    <row r="14017">
      <c r="F14017" s="17"/>
    </row>
    <row r="14018">
      <c r="F14018" s="17"/>
    </row>
    <row r="14019">
      <c r="F14019" s="17"/>
    </row>
    <row r="14020">
      <c r="F14020" s="17"/>
    </row>
    <row r="14021">
      <c r="F14021" s="17"/>
    </row>
    <row r="14022">
      <c r="F14022" s="17"/>
    </row>
    <row r="14023">
      <c r="F14023" s="17"/>
    </row>
    <row r="14024">
      <c r="F14024" s="17"/>
    </row>
    <row r="14025">
      <c r="F14025" s="17"/>
    </row>
    <row r="14026">
      <c r="F14026" s="17"/>
    </row>
    <row r="14027">
      <c r="F14027" s="17"/>
    </row>
    <row r="14028">
      <c r="F14028" s="17"/>
    </row>
    <row r="14029">
      <c r="F14029" s="17"/>
    </row>
    <row r="14030">
      <c r="F14030" s="17"/>
    </row>
    <row r="14031">
      <c r="F14031" s="17"/>
    </row>
    <row r="14032">
      <c r="F14032" s="17"/>
    </row>
    <row r="14033">
      <c r="F14033" s="17"/>
    </row>
    <row r="14034">
      <c r="F14034" s="17"/>
    </row>
    <row r="14035">
      <c r="F14035" s="17"/>
    </row>
    <row r="14036">
      <c r="F14036" s="17"/>
    </row>
    <row r="14037">
      <c r="F14037" s="17"/>
    </row>
    <row r="14038">
      <c r="F14038" s="17"/>
    </row>
    <row r="14039">
      <c r="F14039" s="17"/>
    </row>
    <row r="14040">
      <c r="F14040" s="17"/>
    </row>
    <row r="14041">
      <c r="F14041" s="17"/>
    </row>
    <row r="14042">
      <c r="F14042" s="17"/>
    </row>
    <row r="14043">
      <c r="F14043" s="17"/>
    </row>
    <row r="14044">
      <c r="F14044" s="17"/>
    </row>
    <row r="14045">
      <c r="F14045" s="17"/>
    </row>
    <row r="14046">
      <c r="F14046" s="17"/>
    </row>
    <row r="14047">
      <c r="F14047" s="17"/>
    </row>
    <row r="14048">
      <c r="F14048" s="17"/>
    </row>
    <row r="14049">
      <c r="F14049" s="17"/>
    </row>
    <row r="14050">
      <c r="F14050" s="17"/>
    </row>
    <row r="14051">
      <c r="F14051" s="17"/>
    </row>
    <row r="14052">
      <c r="F14052" s="17"/>
    </row>
    <row r="14053">
      <c r="F14053" s="17"/>
    </row>
    <row r="14054">
      <c r="F14054" s="17"/>
    </row>
    <row r="14055">
      <c r="F14055" s="17"/>
    </row>
    <row r="14056">
      <c r="F14056" s="17"/>
    </row>
    <row r="14057">
      <c r="F14057" s="17"/>
    </row>
    <row r="14058">
      <c r="F14058" s="17"/>
    </row>
    <row r="14059">
      <c r="F14059" s="17"/>
    </row>
    <row r="14060">
      <c r="F14060" s="17"/>
    </row>
    <row r="14061">
      <c r="F14061" s="17"/>
    </row>
    <row r="14062">
      <c r="F14062" s="17"/>
    </row>
    <row r="14063">
      <c r="F14063" s="17"/>
    </row>
    <row r="14064">
      <c r="F14064" s="17"/>
    </row>
    <row r="14065">
      <c r="F14065" s="17"/>
    </row>
    <row r="14066">
      <c r="F14066" s="17"/>
    </row>
    <row r="14067">
      <c r="F14067" s="17"/>
    </row>
    <row r="14068">
      <c r="F14068" s="17"/>
    </row>
    <row r="14069">
      <c r="F14069" s="17"/>
    </row>
    <row r="14070">
      <c r="F14070" s="17"/>
    </row>
    <row r="14071">
      <c r="F14071" s="17"/>
    </row>
    <row r="14072">
      <c r="F14072" s="17"/>
    </row>
    <row r="14073">
      <c r="F14073" s="17"/>
    </row>
    <row r="14074">
      <c r="F14074" s="17"/>
    </row>
    <row r="14075">
      <c r="F14075" s="17"/>
    </row>
    <row r="14076">
      <c r="F14076" s="17"/>
    </row>
    <row r="14077">
      <c r="F14077" s="17"/>
    </row>
    <row r="14078">
      <c r="F14078" s="17"/>
    </row>
    <row r="14079">
      <c r="F14079" s="17"/>
    </row>
    <row r="14080">
      <c r="F14080" s="17"/>
    </row>
    <row r="14081">
      <c r="F14081" s="17"/>
    </row>
    <row r="14082">
      <c r="F14082" s="17"/>
    </row>
    <row r="14083">
      <c r="F14083" s="17"/>
    </row>
    <row r="14084">
      <c r="F14084" s="17"/>
    </row>
    <row r="14085">
      <c r="F14085" s="17"/>
    </row>
    <row r="14086">
      <c r="F14086" s="17"/>
    </row>
    <row r="14087">
      <c r="F14087" s="17"/>
    </row>
    <row r="14088">
      <c r="F14088" s="17"/>
    </row>
    <row r="14089">
      <c r="F14089" s="17"/>
    </row>
    <row r="14090">
      <c r="F14090" s="17"/>
    </row>
    <row r="14091">
      <c r="F14091" s="17"/>
    </row>
    <row r="14092">
      <c r="F14092" s="17"/>
    </row>
    <row r="14093">
      <c r="F14093" s="17"/>
    </row>
    <row r="14094">
      <c r="F14094" s="17"/>
    </row>
    <row r="14095">
      <c r="F14095" s="17"/>
    </row>
    <row r="14096">
      <c r="F14096" s="17"/>
    </row>
    <row r="14097">
      <c r="F14097" s="17"/>
    </row>
    <row r="14098">
      <c r="F14098" s="17"/>
    </row>
    <row r="14099">
      <c r="F14099" s="17"/>
    </row>
    <row r="14100">
      <c r="F14100" s="17"/>
    </row>
    <row r="14101">
      <c r="F14101" s="17"/>
    </row>
    <row r="14102">
      <c r="F14102" s="17"/>
    </row>
    <row r="14103">
      <c r="F14103" s="17"/>
    </row>
    <row r="14104">
      <c r="F14104" s="17"/>
    </row>
    <row r="14105">
      <c r="F14105" s="17"/>
    </row>
    <row r="14106">
      <c r="F14106" s="17"/>
    </row>
    <row r="14107">
      <c r="F14107" s="17"/>
    </row>
    <row r="14108">
      <c r="F14108" s="17"/>
    </row>
    <row r="14109">
      <c r="F14109" s="17"/>
    </row>
    <row r="14110">
      <c r="F14110" s="17"/>
    </row>
    <row r="14111">
      <c r="F14111" s="17"/>
    </row>
    <row r="14112">
      <c r="F14112" s="17"/>
    </row>
    <row r="14113">
      <c r="F14113" s="17"/>
    </row>
    <row r="14114">
      <c r="F14114" s="17"/>
    </row>
    <row r="14115">
      <c r="F14115" s="17"/>
    </row>
    <row r="14116">
      <c r="F14116" s="17"/>
    </row>
    <row r="14117">
      <c r="F14117" s="17"/>
    </row>
    <row r="14118">
      <c r="F14118" s="17"/>
    </row>
    <row r="14119">
      <c r="F14119" s="17"/>
    </row>
    <row r="14120">
      <c r="F14120" s="17"/>
    </row>
    <row r="14121">
      <c r="F14121" s="17"/>
    </row>
    <row r="14122">
      <c r="F14122" s="17"/>
    </row>
    <row r="14123">
      <c r="F14123" s="17"/>
    </row>
    <row r="14124">
      <c r="F14124" s="17"/>
    </row>
    <row r="14125">
      <c r="F14125" s="17"/>
    </row>
    <row r="14126">
      <c r="F14126" s="17"/>
    </row>
    <row r="14127">
      <c r="F14127" s="17"/>
    </row>
    <row r="14128">
      <c r="F14128" s="17"/>
    </row>
    <row r="14129">
      <c r="F14129" s="17"/>
    </row>
    <row r="14130">
      <c r="F14130" s="17"/>
    </row>
    <row r="14131">
      <c r="F14131" s="17"/>
    </row>
    <row r="14132">
      <c r="F14132" s="17"/>
    </row>
    <row r="14133">
      <c r="F14133" s="17"/>
    </row>
    <row r="14134">
      <c r="F14134" s="17"/>
    </row>
    <row r="14135">
      <c r="F14135" s="17"/>
    </row>
    <row r="14136">
      <c r="F14136" s="17"/>
    </row>
    <row r="14137">
      <c r="F14137" s="17"/>
    </row>
    <row r="14138">
      <c r="F14138" s="17"/>
    </row>
    <row r="14139">
      <c r="F14139" s="17"/>
    </row>
    <row r="14140">
      <c r="F14140" s="17"/>
    </row>
    <row r="14141">
      <c r="F14141" s="17"/>
    </row>
    <row r="14142">
      <c r="F14142" s="17"/>
    </row>
    <row r="14143">
      <c r="F14143" s="17"/>
    </row>
    <row r="14144">
      <c r="F14144" s="17"/>
    </row>
    <row r="14145">
      <c r="F14145" s="17"/>
    </row>
    <row r="14146">
      <c r="F14146" s="17"/>
    </row>
    <row r="14147">
      <c r="F14147" s="17"/>
    </row>
    <row r="14148">
      <c r="F14148" s="17"/>
    </row>
    <row r="14149">
      <c r="F14149" s="17"/>
    </row>
    <row r="14150">
      <c r="F14150" s="17"/>
    </row>
    <row r="14151">
      <c r="F14151" s="17"/>
    </row>
    <row r="14152">
      <c r="F14152" s="17"/>
    </row>
    <row r="14153">
      <c r="F14153" s="17"/>
    </row>
    <row r="14154">
      <c r="F14154" s="17"/>
    </row>
    <row r="14155">
      <c r="F14155" s="17"/>
    </row>
    <row r="14156">
      <c r="F14156" s="17"/>
    </row>
    <row r="14157">
      <c r="F14157" s="17"/>
    </row>
    <row r="14158">
      <c r="F14158" s="17"/>
    </row>
    <row r="14159">
      <c r="F14159" s="17"/>
    </row>
    <row r="14160">
      <c r="F14160" s="17"/>
    </row>
    <row r="14161">
      <c r="F14161" s="17"/>
    </row>
    <row r="14162">
      <c r="F14162" s="17"/>
    </row>
    <row r="14163">
      <c r="F14163" s="17"/>
    </row>
    <row r="14164">
      <c r="F14164" s="17"/>
    </row>
    <row r="14165">
      <c r="F14165" s="17"/>
    </row>
    <row r="14166">
      <c r="F14166" s="17"/>
    </row>
    <row r="14167">
      <c r="F14167" s="17"/>
    </row>
    <row r="14168">
      <c r="F14168" s="17"/>
    </row>
    <row r="14169">
      <c r="F14169" s="17"/>
    </row>
    <row r="14170">
      <c r="F14170" s="17"/>
    </row>
    <row r="14171">
      <c r="F14171" s="17"/>
    </row>
    <row r="14172">
      <c r="F14172" s="17"/>
    </row>
    <row r="14173">
      <c r="F14173" s="17"/>
    </row>
    <row r="14174">
      <c r="F14174" s="17"/>
    </row>
    <row r="14175">
      <c r="F14175" s="17"/>
    </row>
    <row r="14176">
      <c r="F14176" s="17"/>
    </row>
    <row r="14177">
      <c r="F14177" s="17"/>
    </row>
    <row r="14178">
      <c r="F14178" s="17"/>
    </row>
    <row r="14179">
      <c r="F14179" s="17"/>
    </row>
    <row r="14180">
      <c r="F14180" s="17"/>
    </row>
    <row r="14181">
      <c r="F14181" s="17"/>
    </row>
    <row r="14182">
      <c r="F14182" s="17"/>
    </row>
    <row r="14183">
      <c r="F14183" s="17"/>
    </row>
    <row r="14184">
      <c r="F14184" s="17"/>
    </row>
    <row r="14185">
      <c r="F14185" s="17"/>
    </row>
    <row r="14186">
      <c r="F14186" s="17"/>
    </row>
    <row r="14187">
      <c r="F14187" s="17"/>
    </row>
    <row r="14188">
      <c r="F14188" s="17"/>
    </row>
    <row r="14189">
      <c r="F14189" s="17"/>
    </row>
    <row r="14190">
      <c r="F14190" s="17"/>
    </row>
    <row r="14191">
      <c r="F14191" s="17"/>
    </row>
    <row r="14192">
      <c r="F14192" s="17"/>
    </row>
    <row r="14193">
      <c r="F14193" s="17"/>
    </row>
    <row r="14194">
      <c r="F14194" s="17"/>
    </row>
    <row r="14195">
      <c r="F14195" s="17"/>
    </row>
    <row r="14196">
      <c r="F14196" s="17"/>
    </row>
    <row r="14197">
      <c r="F14197" s="17"/>
    </row>
    <row r="14198">
      <c r="F14198" s="17"/>
    </row>
    <row r="14199">
      <c r="F14199" s="17"/>
    </row>
    <row r="14200">
      <c r="F14200" s="17"/>
    </row>
    <row r="14201">
      <c r="F14201" s="17"/>
    </row>
    <row r="14202">
      <c r="F14202" s="17"/>
    </row>
    <row r="14203">
      <c r="F14203" s="17"/>
    </row>
    <row r="14204">
      <c r="F14204" s="17"/>
    </row>
    <row r="14205">
      <c r="F14205" s="17"/>
    </row>
    <row r="14206">
      <c r="F14206" s="17"/>
    </row>
    <row r="14207">
      <c r="F14207" s="17"/>
    </row>
    <row r="14208">
      <c r="F14208" s="17"/>
    </row>
    <row r="14209">
      <c r="F14209" s="17"/>
    </row>
    <row r="14210">
      <c r="F14210" s="17"/>
    </row>
    <row r="14211">
      <c r="F14211" s="17"/>
    </row>
    <row r="14212">
      <c r="F14212" s="17"/>
    </row>
    <row r="14213">
      <c r="F14213" s="17"/>
    </row>
    <row r="14214">
      <c r="F14214" s="17"/>
    </row>
    <row r="14215">
      <c r="F14215" s="17"/>
    </row>
    <row r="14216">
      <c r="F14216" s="17"/>
    </row>
    <row r="14217">
      <c r="F14217" s="17"/>
    </row>
    <row r="14218">
      <c r="F14218" s="17"/>
    </row>
    <row r="14219">
      <c r="F14219" s="17"/>
    </row>
    <row r="14220">
      <c r="F14220" s="17"/>
    </row>
    <row r="14221">
      <c r="F14221" s="17"/>
    </row>
    <row r="14222">
      <c r="F14222" s="17"/>
    </row>
    <row r="14223">
      <c r="F14223" s="17"/>
    </row>
    <row r="14224">
      <c r="F14224" s="17"/>
    </row>
    <row r="14225">
      <c r="F14225" s="17"/>
    </row>
    <row r="14226">
      <c r="F14226" s="17"/>
    </row>
    <row r="14227">
      <c r="F14227" s="17"/>
    </row>
    <row r="14228">
      <c r="F14228" s="17"/>
    </row>
    <row r="14229">
      <c r="F14229" s="17"/>
    </row>
    <row r="14230">
      <c r="F14230" s="17"/>
    </row>
    <row r="14231">
      <c r="F14231" s="17"/>
    </row>
    <row r="14232">
      <c r="F14232" s="17"/>
    </row>
    <row r="14233">
      <c r="F14233" s="17"/>
    </row>
    <row r="14234">
      <c r="F14234" s="17"/>
    </row>
    <row r="14235">
      <c r="F14235" s="17"/>
    </row>
    <row r="14236">
      <c r="F14236" s="17"/>
    </row>
    <row r="14237">
      <c r="F14237" s="17"/>
    </row>
    <row r="14238">
      <c r="F14238" s="17"/>
    </row>
    <row r="14239">
      <c r="F14239" s="17"/>
    </row>
    <row r="14240">
      <c r="F14240" s="17"/>
    </row>
    <row r="14241">
      <c r="F14241" s="17"/>
    </row>
    <row r="14242">
      <c r="F14242" s="17"/>
    </row>
    <row r="14243">
      <c r="F14243" s="17"/>
    </row>
    <row r="14244">
      <c r="F14244" s="17"/>
    </row>
    <row r="14245">
      <c r="F14245" s="17"/>
    </row>
    <row r="14246">
      <c r="F14246" s="17"/>
    </row>
    <row r="14247">
      <c r="F14247" s="17"/>
    </row>
    <row r="14248">
      <c r="F14248" s="17"/>
    </row>
    <row r="14249">
      <c r="F14249" s="17"/>
    </row>
    <row r="14250">
      <c r="F14250" s="17"/>
    </row>
    <row r="14251">
      <c r="F14251" s="17"/>
    </row>
    <row r="14252">
      <c r="F14252" s="17"/>
    </row>
    <row r="14253">
      <c r="F14253" s="17"/>
    </row>
    <row r="14254">
      <c r="F14254" s="17"/>
    </row>
    <row r="14255">
      <c r="F14255" s="17"/>
    </row>
    <row r="14256">
      <c r="F14256" s="17"/>
    </row>
    <row r="14257">
      <c r="F14257" s="17"/>
    </row>
    <row r="14258">
      <c r="F14258" s="17"/>
    </row>
    <row r="14259">
      <c r="F14259" s="17"/>
    </row>
    <row r="14260">
      <c r="F14260" s="17"/>
    </row>
    <row r="14261">
      <c r="F14261" s="17"/>
    </row>
    <row r="14262">
      <c r="F14262" s="17"/>
    </row>
    <row r="14263">
      <c r="F14263" s="17"/>
    </row>
    <row r="14264">
      <c r="F14264" s="17"/>
    </row>
    <row r="14265">
      <c r="F14265" s="17"/>
    </row>
    <row r="14266">
      <c r="F14266" s="17"/>
    </row>
    <row r="14267">
      <c r="F14267" s="17"/>
    </row>
    <row r="14268">
      <c r="F14268" s="17"/>
    </row>
    <row r="14269">
      <c r="F14269" s="17"/>
    </row>
    <row r="14270">
      <c r="F14270" s="17"/>
    </row>
    <row r="14271">
      <c r="F14271" s="17"/>
    </row>
    <row r="14272">
      <c r="F14272" s="17"/>
    </row>
    <row r="14273">
      <c r="F14273" s="17"/>
    </row>
    <row r="14274">
      <c r="F14274" s="17"/>
    </row>
    <row r="14275">
      <c r="F14275" s="17"/>
    </row>
    <row r="14276">
      <c r="F14276" s="17"/>
    </row>
    <row r="14277">
      <c r="F14277" s="17"/>
    </row>
    <row r="14278">
      <c r="F14278" s="17"/>
    </row>
    <row r="14279">
      <c r="F14279" s="17"/>
    </row>
    <row r="14280">
      <c r="F14280" s="17"/>
    </row>
    <row r="14281">
      <c r="F14281" s="17"/>
    </row>
    <row r="14282">
      <c r="F14282" s="17"/>
    </row>
    <row r="14283">
      <c r="F14283" s="17"/>
    </row>
    <row r="14284">
      <c r="F14284" s="17"/>
    </row>
    <row r="14285">
      <c r="F14285" s="17"/>
    </row>
    <row r="14286">
      <c r="F14286" s="17"/>
    </row>
    <row r="14287">
      <c r="F14287" s="17"/>
    </row>
    <row r="14288">
      <c r="F14288" s="17"/>
    </row>
    <row r="14289">
      <c r="F14289" s="17"/>
    </row>
    <row r="14290">
      <c r="F14290" s="17"/>
    </row>
    <row r="14291">
      <c r="F14291" s="17"/>
    </row>
    <row r="14292">
      <c r="F14292" s="17"/>
    </row>
    <row r="14293">
      <c r="F14293" s="17"/>
    </row>
    <row r="14294">
      <c r="F14294" s="17"/>
    </row>
    <row r="14295">
      <c r="F14295" s="17"/>
    </row>
    <row r="14296">
      <c r="F14296" s="17"/>
    </row>
    <row r="14297">
      <c r="F14297" s="17"/>
    </row>
    <row r="14298">
      <c r="F14298" s="17"/>
    </row>
    <row r="14299">
      <c r="F14299" s="17"/>
    </row>
    <row r="14300">
      <c r="F14300" s="17"/>
    </row>
    <row r="14301">
      <c r="F14301" s="17"/>
    </row>
    <row r="14302">
      <c r="F14302" s="17"/>
    </row>
    <row r="14303">
      <c r="F14303" s="17"/>
    </row>
    <row r="14304">
      <c r="F14304" s="17"/>
    </row>
    <row r="14305">
      <c r="F14305" s="17"/>
    </row>
    <row r="14306">
      <c r="F14306" s="17"/>
    </row>
    <row r="14307">
      <c r="F14307" s="17"/>
    </row>
    <row r="14308">
      <c r="F14308" s="17"/>
    </row>
    <row r="14309">
      <c r="F14309" s="17"/>
    </row>
    <row r="14310">
      <c r="F14310" s="17"/>
    </row>
    <row r="14311">
      <c r="F14311" s="17"/>
    </row>
    <row r="14312">
      <c r="F14312" s="17"/>
    </row>
    <row r="14313">
      <c r="F14313" s="17"/>
    </row>
    <row r="14314">
      <c r="F14314" s="17"/>
    </row>
    <row r="14315">
      <c r="F14315" s="17"/>
    </row>
    <row r="14316">
      <c r="F14316" s="17"/>
    </row>
    <row r="14317">
      <c r="F14317" s="17"/>
    </row>
    <row r="14318">
      <c r="F14318" s="17"/>
    </row>
    <row r="14319">
      <c r="F14319" s="17"/>
    </row>
    <row r="14320">
      <c r="F14320" s="17"/>
    </row>
    <row r="14321">
      <c r="F14321" s="17"/>
    </row>
    <row r="14322">
      <c r="F14322" s="17"/>
    </row>
    <row r="14323">
      <c r="F14323" s="17"/>
    </row>
    <row r="14324">
      <c r="F14324" s="17"/>
    </row>
    <row r="14325">
      <c r="F14325" s="17"/>
    </row>
    <row r="14326">
      <c r="F14326" s="17"/>
    </row>
    <row r="14327">
      <c r="F14327" s="17"/>
    </row>
    <row r="14328">
      <c r="F14328" s="17"/>
    </row>
    <row r="14329">
      <c r="F14329" s="17"/>
    </row>
    <row r="14330">
      <c r="F14330" s="17"/>
    </row>
    <row r="14331">
      <c r="F14331" s="17"/>
    </row>
    <row r="14332">
      <c r="F14332" s="17"/>
    </row>
    <row r="14333">
      <c r="F14333" s="17"/>
    </row>
    <row r="14334">
      <c r="F14334" s="17"/>
    </row>
    <row r="14335">
      <c r="F14335" s="17"/>
    </row>
    <row r="14336">
      <c r="F14336" s="17"/>
    </row>
    <row r="14337">
      <c r="F14337" s="17"/>
    </row>
    <row r="14338">
      <c r="F14338" s="17"/>
    </row>
    <row r="14339">
      <c r="F14339" s="17"/>
    </row>
    <row r="14340">
      <c r="F14340" s="17"/>
    </row>
    <row r="14341">
      <c r="F14341" s="17"/>
    </row>
    <row r="14342">
      <c r="F14342" s="17"/>
    </row>
    <row r="14343">
      <c r="F14343" s="17"/>
    </row>
    <row r="14344">
      <c r="F14344" s="17"/>
    </row>
    <row r="14345">
      <c r="F14345" s="17"/>
    </row>
    <row r="14346">
      <c r="F14346" s="17"/>
    </row>
    <row r="14347">
      <c r="F14347" s="17"/>
    </row>
    <row r="14348">
      <c r="F14348" s="17"/>
    </row>
    <row r="14349">
      <c r="F14349" s="17"/>
    </row>
    <row r="14350">
      <c r="F14350" s="17"/>
    </row>
    <row r="14351">
      <c r="F14351" s="17"/>
    </row>
    <row r="14352">
      <c r="F14352" s="17"/>
    </row>
    <row r="14353">
      <c r="F14353" s="17"/>
    </row>
    <row r="14354">
      <c r="F14354" s="17"/>
    </row>
    <row r="14355">
      <c r="F14355" s="17"/>
    </row>
    <row r="14356">
      <c r="F14356" s="17"/>
    </row>
    <row r="14357">
      <c r="F14357" s="17"/>
    </row>
    <row r="14358">
      <c r="F14358" s="17"/>
    </row>
    <row r="14359">
      <c r="F14359" s="17"/>
    </row>
    <row r="14360">
      <c r="F14360" s="17"/>
    </row>
    <row r="14361">
      <c r="F14361" s="17"/>
    </row>
    <row r="14362">
      <c r="F14362" s="17"/>
    </row>
    <row r="14363">
      <c r="F14363" s="17"/>
    </row>
    <row r="14364">
      <c r="F14364" s="17"/>
    </row>
    <row r="14365">
      <c r="F14365" s="17"/>
    </row>
    <row r="14366">
      <c r="F14366" s="17"/>
    </row>
    <row r="14367">
      <c r="F14367" s="17"/>
    </row>
    <row r="14368">
      <c r="F14368" s="17"/>
    </row>
    <row r="14369">
      <c r="F14369" s="17"/>
    </row>
    <row r="14370">
      <c r="F14370" s="17"/>
    </row>
    <row r="14371">
      <c r="F14371" s="17"/>
    </row>
    <row r="14372">
      <c r="F14372" s="17"/>
    </row>
    <row r="14373">
      <c r="F14373" s="17"/>
    </row>
    <row r="14374">
      <c r="F14374" s="17"/>
    </row>
    <row r="14375">
      <c r="F14375" s="17"/>
    </row>
    <row r="14376">
      <c r="F14376" s="17"/>
    </row>
    <row r="14377">
      <c r="F14377" s="17"/>
    </row>
    <row r="14378">
      <c r="F14378" s="17"/>
    </row>
    <row r="14379">
      <c r="F14379" s="17"/>
    </row>
    <row r="14380">
      <c r="F14380" s="17"/>
    </row>
    <row r="14381">
      <c r="F14381" s="17"/>
    </row>
    <row r="14382">
      <c r="F14382" s="17"/>
    </row>
    <row r="14383">
      <c r="F14383" s="17"/>
    </row>
    <row r="14384">
      <c r="F14384" s="17"/>
    </row>
    <row r="14385">
      <c r="F14385" s="17"/>
    </row>
    <row r="14386">
      <c r="F14386" s="17"/>
    </row>
    <row r="14387">
      <c r="F14387" s="17"/>
    </row>
    <row r="14388">
      <c r="F14388" s="17"/>
    </row>
    <row r="14389">
      <c r="F14389" s="17"/>
    </row>
    <row r="14390">
      <c r="F14390" s="17"/>
    </row>
    <row r="14391">
      <c r="F14391" s="17"/>
    </row>
    <row r="14392">
      <c r="F14392" s="17"/>
    </row>
    <row r="14393">
      <c r="F14393" s="17"/>
    </row>
    <row r="14394">
      <c r="F14394" s="17"/>
    </row>
    <row r="14395">
      <c r="F14395" s="17"/>
    </row>
    <row r="14396">
      <c r="F14396" s="17"/>
    </row>
    <row r="14397">
      <c r="F14397" s="17"/>
    </row>
    <row r="14398">
      <c r="F14398" s="17"/>
    </row>
    <row r="14399">
      <c r="F14399" s="17"/>
    </row>
    <row r="14400">
      <c r="F14400" s="17"/>
    </row>
    <row r="14401">
      <c r="F14401" s="17"/>
    </row>
    <row r="14402">
      <c r="F14402" s="17"/>
    </row>
    <row r="14403">
      <c r="F14403" s="17"/>
    </row>
    <row r="14404">
      <c r="F14404" s="17"/>
    </row>
    <row r="14405">
      <c r="F14405" s="17"/>
    </row>
    <row r="14406">
      <c r="F14406" s="17"/>
    </row>
    <row r="14407">
      <c r="F14407" s="17"/>
    </row>
    <row r="14408">
      <c r="F14408" s="17"/>
    </row>
    <row r="14409">
      <c r="F14409" s="17"/>
    </row>
    <row r="14410">
      <c r="F14410" s="17"/>
    </row>
    <row r="14411">
      <c r="F14411" s="17"/>
    </row>
    <row r="14412">
      <c r="F14412" s="17"/>
    </row>
    <row r="14413">
      <c r="F14413" s="17"/>
    </row>
    <row r="14414">
      <c r="F14414" s="17"/>
    </row>
    <row r="14415">
      <c r="F14415" s="17"/>
    </row>
    <row r="14416">
      <c r="F14416" s="17"/>
    </row>
    <row r="14417">
      <c r="F14417" s="17"/>
    </row>
    <row r="14418">
      <c r="F14418" s="17"/>
    </row>
    <row r="14419">
      <c r="F14419" s="17"/>
    </row>
    <row r="14420">
      <c r="F14420" s="17"/>
    </row>
    <row r="14421">
      <c r="F14421" s="17"/>
    </row>
    <row r="14422">
      <c r="F14422" s="17"/>
    </row>
    <row r="14423">
      <c r="F14423" s="17"/>
    </row>
    <row r="14424">
      <c r="F14424" s="17"/>
    </row>
    <row r="14425">
      <c r="F14425" s="17"/>
    </row>
    <row r="14426">
      <c r="F14426" s="17"/>
    </row>
    <row r="14427">
      <c r="F14427" s="17"/>
    </row>
    <row r="14428">
      <c r="F14428" s="17"/>
    </row>
    <row r="14429">
      <c r="F14429" s="17"/>
    </row>
    <row r="14430">
      <c r="F14430" s="17"/>
    </row>
    <row r="14431">
      <c r="F14431" s="17"/>
    </row>
    <row r="14432">
      <c r="F14432" s="17"/>
    </row>
    <row r="14433">
      <c r="F14433" s="17"/>
    </row>
    <row r="14434">
      <c r="F14434" s="17"/>
    </row>
    <row r="14435">
      <c r="F14435" s="17"/>
    </row>
    <row r="14436">
      <c r="F14436" s="17"/>
    </row>
    <row r="14437">
      <c r="F14437" s="17"/>
    </row>
    <row r="14438">
      <c r="F14438" s="17"/>
    </row>
    <row r="14439">
      <c r="F14439" s="17"/>
    </row>
    <row r="14440">
      <c r="F14440" s="17"/>
    </row>
    <row r="14441">
      <c r="F14441" s="17"/>
    </row>
    <row r="14442">
      <c r="F14442" s="17"/>
    </row>
    <row r="14443">
      <c r="F14443" s="17"/>
    </row>
    <row r="14444">
      <c r="F14444" s="17"/>
    </row>
    <row r="14445">
      <c r="F14445" s="17"/>
    </row>
    <row r="14446">
      <c r="F14446" s="17"/>
    </row>
    <row r="14447">
      <c r="F14447" s="17"/>
    </row>
    <row r="14448">
      <c r="F14448" s="17"/>
    </row>
    <row r="14449">
      <c r="F14449" s="17"/>
    </row>
    <row r="14450">
      <c r="F14450" s="17"/>
    </row>
    <row r="14451">
      <c r="F14451" s="17"/>
    </row>
    <row r="14452">
      <c r="F14452" s="17"/>
    </row>
    <row r="14453">
      <c r="F14453" s="17"/>
    </row>
    <row r="14454">
      <c r="F14454" s="17"/>
    </row>
    <row r="14455">
      <c r="F14455" s="17"/>
    </row>
    <row r="14456">
      <c r="F14456" s="17"/>
    </row>
    <row r="14457">
      <c r="F14457" s="17"/>
    </row>
    <row r="14458">
      <c r="F14458" s="17"/>
    </row>
    <row r="14459">
      <c r="F14459" s="17"/>
    </row>
    <row r="14460">
      <c r="F14460" s="17"/>
    </row>
    <row r="14461">
      <c r="F14461" s="17"/>
    </row>
    <row r="14462">
      <c r="F14462" s="17"/>
    </row>
    <row r="14463">
      <c r="F14463" s="17"/>
    </row>
    <row r="14464">
      <c r="F14464" s="17"/>
    </row>
    <row r="14465">
      <c r="F14465" s="17"/>
    </row>
    <row r="14466">
      <c r="F14466" s="17"/>
    </row>
    <row r="14467">
      <c r="F14467" s="17"/>
    </row>
    <row r="14468">
      <c r="F14468" s="17"/>
    </row>
    <row r="14469">
      <c r="F14469" s="17"/>
    </row>
    <row r="14470">
      <c r="F14470" s="17"/>
    </row>
    <row r="14471">
      <c r="F14471" s="17"/>
    </row>
    <row r="14472">
      <c r="F14472" s="17"/>
    </row>
    <row r="14473">
      <c r="F14473" s="17"/>
    </row>
    <row r="14474">
      <c r="F14474" s="17"/>
    </row>
    <row r="14475">
      <c r="F14475" s="17"/>
    </row>
    <row r="14476">
      <c r="F14476" s="17"/>
    </row>
    <row r="14477">
      <c r="F14477" s="17"/>
    </row>
    <row r="14478">
      <c r="F14478" s="17"/>
    </row>
    <row r="14479">
      <c r="F14479" s="17"/>
    </row>
    <row r="14480">
      <c r="F14480" s="17"/>
    </row>
    <row r="14481">
      <c r="F14481" s="17"/>
    </row>
    <row r="14482">
      <c r="F14482" s="17"/>
    </row>
    <row r="14483">
      <c r="F14483" s="17"/>
    </row>
    <row r="14484">
      <c r="F14484" s="17"/>
    </row>
    <row r="14485">
      <c r="F14485" s="17"/>
    </row>
    <row r="14486">
      <c r="F14486" s="17"/>
    </row>
    <row r="14487">
      <c r="F14487" s="17"/>
    </row>
    <row r="14488">
      <c r="F14488" s="17"/>
    </row>
    <row r="14489">
      <c r="F14489" s="17"/>
    </row>
    <row r="14490">
      <c r="F14490" s="17"/>
    </row>
    <row r="14491">
      <c r="F14491" s="17"/>
    </row>
    <row r="14492">
      <c r="F14492" s="17"/>
    </row>
    <row r="14493">
      <c r="F14493" s="17"/>
    </row>
    <row r="14494">
      <c r="F14494" s="17"/>
    </row>
    <row r="14495">
      <c r="F14495" s="17"/>
    </row>
    <row r="14496">
      <c r="F14496" s="17"/>
    </row>
    <row r="14497">
      <c r="F14497" s="17"/>
    </row>
    <row r="14498">
      <c r="F14498" s="17"/>
    </row>
    <row r="14499">
      <c r="F14499" s="17"/>
    </row>
    <row r="14500">
      <c r="F14500" s="17"/>
    </row>
    <row r="14501">
      <c r="F14501" s="17"/>
    </row>
    <row r="14502">
      <c r="F14502" s="17"/>
    </row>
    <row r="14503">
      <c r="F14503" s="17"/>
    </row>
    <row r="14504">
      <c r="F14504" s="17"/>
    </row>
    <row r="14505">
      <c r="F14505" s="17"/>
    </row>
    <row r="14506">
      <c r="F14506" s="17"/>
    </row>
    <row r="14507">
      <c r="F14507" s="17"/>
    </row>
    <row r="14508">
      <c r="F14508" s="17"/>
    </row>
    <row r="14509">
      <c r="F14509" s="17"/>
    </row>
    <row r="14510">
      <c r="F14510" s="17"/>
    </row>
    <row r="14511">
      <c r="F14511" s="17"/>
    </row>
    <row r="14512">
      <c r="F14512" s="17"/>
    </row>
    <row r="14513">
      <c r="F14513" s="17"/>
    </row>
    <row r="14514">
      <c r="F14514" s="17"/>
    </row>
    <row r="14515">
      <c r="F14515" s="17"/>
    </row>
    <row r="14516">
      <c r="F14516" s="17"/>
    </row>
    <row r="14517">
      <c r="F14517" s="17"/>
    </row>
    <row r="14518">
      <c r="F14518" s="17"/>
    </row>
    <row r="14519">
      <c r="F14519" s="17"/>
    </row>
    <row r="14520">
      <c r="F14520" s="17"/>
    </row>
    <row r="14521">
      <c r="F14521" s="17"/>
    </row>
    <row r="14522">
      <c r="F14522" s="17"/>
    </row>
    <row r="14523">
      <c r="F14523" s="17"/>
    </row>
    <row r="14524">
      <c r="F14524" s="17"/>
    </row>
    <row r="14525">
      <c r="F14525" s="17"/>
    </row>
    <row r="14526">
      <c r="F14526" s="17"/>
    </row>
    <row r="14527">
      <c r="F14527" s="17"/>
    </row>
    <row r="14528">
      <c r="F14528" s="17"/>
    </row>
    <row r="14529">
      <c r="F14529" s="17"/>
    </row>
    <row r="14530">
      <c r="F14530" s="17"/>
    </row>
    <row r="14531">
      <c r="F14531" s="17"/>
    </row>
    <row r="14532">
      <c r="F14532" s="17"/>
    </row>
    <row r="14533">
      <c r="F14533" s="17"/>
    </row>
    <row r="14534">
      <c r="F14534" s="17"/>
    </row>
    <row r="14535">
      <c r="F14535" s="17"/>
    </row>
    <row r="14536">
      <c r="F14536" s="17"/>
    </row>
    <row r="14537">
      <c r="F14537" s="17"/>
    </row>
    <row r="14538">
      <c r="F14538" s="17"/>
    </row>
    <row r="14539">
      <c r="F14539" s="17"/>
    </row>
    <row r="14540">
      <c r="F14540" s="17"/>
    </row>
    <row r="14541">
      <c r="F14541" s="17"/>
    </row>
    <row r="14542">
      <c r="F14542" s="17"/>
    </row>
    <row r="14543">
      <c r="F14543" s="17"/>
    </row>
    <row r="14544">
      <c r="F14544" s="17"/>
    </row>
    <row r="14545">
      <c r="F14545" s="17"/>
    </row>
    <row r="14546">
      <c r="F14546" s="17"/>
    </row>
    <row r="14547">
      <c r="F14547" s="17"/>
    </row>
    <row r="14548">
      <c r="F14548" s="17"/>
    </row>
    <row r="14549">
      <c r="F14549" s="17"/>
    </row>
    <row r="14550">
      <c r="F14550" s="17"/>
    </row>
    <row r="14551">
      <c r="F14551" s="17"/>
    </row>
    <row r="14552">
      <c r="F14552" s="17"/>
    </row>
    <row r="14553">
      <c r="F14553" s="17"/>
    </row>
    <row r="14554">
      <c r="F14554" s="17"/>
    </row>
    <row r="14555">
      <c r="F14555" s="17"/>
    </row>
    <row r="14556">
      <c r="F14556" s="17"/>
    </row>
    <row r="14557">
      <c r="F14557" s="17"/>
    </row>
    <row r="14558">
      <c r="F14558" s="17"/>
    </row>
    <row r="14559">
      <c r="F14559" s="17"/>
    </row>
    <row r="14560">
      <c r="F14560" s="17"/>
    </row>
    <row r="14561">
      <c r="F14561" s="17"/>
    </row>
    <row r="14562">
      <c r="F14562" s="17"/>
    </row>
    <row r="14563">
      <c r="F14563" s="17"/>
    </row>
    <row r="14564">
      <c r="F14564" s="17"/>
    </row>
    <row r="14565">
      <c r="F14565" s="17"/>
    </row>
    <row r="14566">
      <c r="F14566" s="17"/>
    </row>
    <row r="14567">
      <c r="F14567" s="17"/>
    </row>
    <row r="14568">
      <c r="F14568" s="17"/>
    </row>
    <row r="14569">
      <c r="F14569" s="17"/>
    </row>
    <row r="14570">
      <c r="F14570" s="17"/>
    </row>
    <row r="14571">
      <c r="F14571" s="17"/>
    </row>
    <row r="14572">
      <c r="F14572" s="17"/>
    </row>
    <row r="14573">
      <c r="F14573" s="17"/>
    </row>
    <row r="14574">
      <c r="F14574" s="17"/>
    </row>
    <row r="14575">
      <c r="F14575" s="17"/>
    </row>
    <row r="14576">
      <c r="F14576" s="17"/>
    </row>
    <row r="14577">
      <c r="F14577" s="17"/>
    </row>
    <row r="14578">
      <c r="F14578" s="17"/>
    </row>
    <row r="14579">
      <c r="F14579" s="17"/>
    </row>
    <row r="14580">
      <c r="F14580" s="17"/>
    </row>
    <row r="14581">
      <c r="F14581" s="17"/>
    </row>
    <row r="14582">
      <c r="F14582" s="17"/>
    </row>
    <row r="14583">
      <c r="F14583" s="17"/>
    </row>
    <row r="14584">
      <c r="F14584" s="17"/>
    </row>
    <row r="14585">
      <c r="F14585" s="17"/>
    </row>
    <row r="14586">
      <c r="F14586" s="17"/>
    </row>
    <row r="14587">
      <c r="F14587" s="17"/>
    </row>
    <row r="14588">
      <c r="F14588" s="17"/>
    </row>
    <row r="14589">
      <c r="F14589" s="17"/>
    </row>
    <row r="14590">
      <c r="F14590" s="17"/>
    </row>
    <row r="14591">
      <c r="F14591" s="17"/>
    </row>
    <row r="14592">
      <c r="F14592" s="17"/>
    </row>
    <row r="14593">
      <c r="F14593" s="17"/>
    </row>
    <row r="14594">
      <c r="F14594" s="17"/>
    </row>
    <row r="14595">
      <c r="F14595" s="17"/>
    </row>
    <row r="14596">
      <c r="F14596" s="17"/>
    </row>
    <row r="14597">
      <c r="F14597" s="17"/>
    </row>
    <row r="14598">
      <c r="F14598" s="17"/>
    </row>
    <row r="14599">
      <c r="F14599" s="17"/>
    </row>
    <row r="14600">
      <c r="F14600" s="17"/>
    </row>
    <row r="14601">
      <c r="F14601" s="17"/>
    </row>
    <row r="14602">
      <c r="F14602" s="17"/>
    </row>
    <row r="14603">
      <c r="F14603" s="17"/>
    </row>
    <row r="14604">
      <c r="F14604" s="17"/>
    </row>
    <row r="14605">
      <c r="F14605" s="17"/>
    </row>
    <row r="14606">
      <c r="F14606" s="17"/>
    </row>
    <row r="14607">
      <c r="F14607" s="17"/>
    </row>
    <row r="14608">
      <c r="F14608" s="17"/>
    </row>
    <row r="14609">
      <c r="F14609" s="17"/>
    </row>
    <row r="14610">
      <c r="F14610" s="17"/>
    </row>
    <row r="14611">
      <c r="F14611" s="17"/>
    </row>
    <row r="14612">
      <c r="F14612" s="17"/>
    </row>
    <row r="14613">
      <c r="F14613" s="17"/>
    </row>
    <row r="14614">
      <c r="F14614" s="17"/>
    </row>
    <row r="14615">
      <c r="F14615" s="17"/>
    </row>
    <row r="14616">
      <c r="F14616" s="17"/>
    </row>
    <row r="14617">
      <c r="F14617" s="17"/>
    </row>
    <row r="14618">
      <c r="F14618" s="17"/>
    </row>
    <row r="14619">
      <c r="F14619" s="17"/>
    </row>
    <row r="14620">
      <c r="F14620" s="17"/>
    </row>
    <row r="14621">
      <c r="F14621" s="17"/>
    </row>
    <row r="14622">
      <c r="F14622" s="17"/>
    </row>
    <row r="14623">
      <c r="F14623" s="17"/>
    </row>
    <row r="14624">
      <c r="F14624" s="17"/>
    </row>
    <row r="14625">
      <c r="F14625" s="17"/>
    </row>
    <row r="14626">
      <c r="F14626" s="17"/>
    </row>
    <row r="14627">
      <c r="F14627" s="17"/>
    </row>
    <row r="14628">
      <c r="F14628" s="17"/>
    </row>
    <row r="14629">
      <c r="F14629" s="17"/>
    </row>
    <row r="14630">
      <c r="F14630" s="17"/>
    </row>
    <row r="14631">
      <c r="F14631" s="17"/>
    </row>
    <row r="14632">
      <c r="F14632" s="17"/>
    </row>
    <row r="14633">
      <c r="F14633" s="17"/>
    </row>
    <row r="14634">
      <c r="F14634" s="17"/>
    </row>
    <row r="14635">
      <c r="F14635" s="17"/>
    </row>
    <row r="14636">
      <c r="F14636" s="17"/>
    </row>
    <row r="14637">
      <c r="F14637" s="17"/>
    </row>
    <row r="14638">
      <c r="F14638" s="17"/>
    </row>
    <row r="14639">
      <c r="F14639" s="17"/>
    </row>
    <row r="14640">
      <c r="F14640" s="17"/>
    </row>
    <row r="14641">
      <c r="F14641" s="17"/>
    </row>
    <row r="14642">
      <c r="F14642" s="17"/>
    </row>
    <row r="14643">
      <c r="F14643" s="17"/>
    </row>
    <row r="14644">
      <c r="F14644" s="17"/>
    </row>
    <row r="14645">
      <c r="F14645" s="17"/>
    </row>
    <row r="14646">
      <c r="F14646" s="17"/>
    </row>
    <row r="14647">
      <c r="F14647" s="17"/>
    </row>
    <row r="14648">
      <c r="F14648" s="17"/>
    </row>
    <row r="14649">
      <c r="F14649" s="17"/>
    </row>
    <row r="14650">
      <c r="F14650" s="17"/>
    </row>
    <row r="14651">
      <c r="F14651" s="17"/>
    </row>
    <row r="14652">
      <c r="F14652" s="17"/>
    </row>
    <row r="14653">
      <c r="F14653" s="17"/>
    </row>
    <row r="14654">
      <c r="F14654" s="17"/>
    </row>
    <row r="14655">
      <c r="F14655" s="17"/>
    </row>
    <row r="14656">
      <c r="F14656" s="17"/>
    </row>
    <row r="14657">
      <c r="F14657" s="17"/>
    </row>
    <row r="14658">
      <c r="F14658" s="17"/>
    </row>
    <row r="14659">
      <c r="F14659" s="17"/>
    </row>
    <row r="14660">
      <c r="F14660" s="17"/>
    </row>
    <row r="14661">
      <c r="F14661" s="17"/>
    </row>
    <row r="14662">
      <c r="F14662" s="17"/>
    </row>
    <row r="14663">
      <c r="F14663" s="17"/>
    </row>
    <row r="14664">
      <c r="F14664" s="17"/>
    </row>
    <row r="14665">
      <c r="F14665" s="17"/>
    </row>
    <row r="14666">
      <c r="F14666" s="17"/>
    </row>
    <row r="14667">
      <c r="F14667" s="17"/>
    </row>
    <row r="14668">
      <c r="F14668" s="17"/>
    </row>
    <row r="14669">
      <c r="F14669" s="17"/>
    </row>
    <row r="14670">
      <c r="F14670" s="17"/>
    </row>
    <row r="14671">
      <c r="F14671" s="17"/>
    </row>
    <row r="14672">
      <c r="F14672" s="17"/>
    </row>
    <row r="14673">
      <c r="F14673" s="17"/>
    </row>
    <row r="14674">
      <c r="F14674" s="17"/>
    </row>
    <row r="14675">
      <c r="F14675" s="17"/>
    </row>
    <row r="14676">
      <c r="F14676" s="17"/>
    </row>
    <row r="14677">
      <c r="F14677" s="17"/>
    </row>
    <row r="14678">
      <c r="F14678" s="17"/>
    </row>
    <row r="14679">
      <c r="F14679" s="17"/>
    </row>
    <row r="14680">
      <c r="F14680" s="17"/>
    </row>
    <row r="14681">
      <c r="F14681" s="17"/>
    </row>
    <row r="14682">
      <c r="F14682" s="17"/>
    </row>
    <row r="14683">
      <c r="F14683" s="17"/>
    </row>
    <row r="14684">
      <c r="F14684" s="17"/>
    </row>
    <row r="14685">
      <c r="F14685" s="17"/>
    </row>
    <row r="14686">
      <c r="F14686" s="17"/>
    </row>
    <row r="14687">
      <c r="F14687" s="17"/>
    </row>
    <row r="14688">
      <c r="F14688" s="17"/>
    </row>
    <row r="14689">
      <c r="F14689" s="17"/>
    </row>
    <row r="14690">
      <c r="F14690" s="17"/>
    </row>
    <row r="14691">
      <c r="F14691" s="17"/>
    </row>
    <row r="14692">
      <c r="F14692" s="17"/>
    </row>
    <row r="14693">
      <c r="F14693" s="17"/>
    </row>
    <row r="14694">
      <c r="F14694" s="17"/>
    </row>
    <row r="14695">
      <c r="F14695" s="17"/>
    </row>
    <row r="14696">
      <c r="F14696" s="17"/>
    </row>
    <row r="14697">
      <c r="F14697" s="17"/>
    </row>
    <row r="14698">
      <c r="F14698" s="17"/>
    </row>
    <row r="14699">
      <c r="F14699" s="17"/>
    </row>
    <row r="14700">
      <c r="F14700" s="17"/>
    </row>
    <row r="14701">
      <c r="F14701" s="17"/>
    </row>
    <row r="14702">
      <c r="F14702" s="17"/>
    </row>
    <row r="14703">
      <c r="F14703" s="17"/>
    </row>
    <row r="14704">
      <c r="F14704" s="17"/>
    </row>
    <row r="14705">
      <c r="F14705" s="17"/>
    </row>
    <row r="14706">
      <c r="F14706" s="17"/>
    </row>
    <row r="14707">
      <c r="F14707" s="17"/>
    </row>
    <row r="14708">
      <c r="F14708" s="17"/>
    </row>
    <row r="14709">
      <c r="F14709" s="17"/>
    </row>
    <row r="14710">
      <c r="F14710" s="17"/>
    </row>
    <row r="14711">
      <c r="F14711" s="17"/>
    </row>
    <row r="14712">
      <c r="F14712" s="17"/>
    </row>
    <row r="14713">
      <c r="F14713" s="17"/>
    </row>
    <row r="14714">
      <c r="F14714" s="17"/>
    </row>
    <row r="14715">
      <c r="F14715" s="17"/>
    </row>
    <row r="14716">
      <c r="F14716" s="17"/>
    </row>
    <row r="14717">
      <c r="F14717" s="17"/>
    </row>
    <row r="14718">
      <c r="F14718" s="17"/>
    </row>
    <row r="14719">
      <c r="F14719" s="17"/>
    </row>
    <row r="14720">
      <c r="F14720" s="17"/>
    </row>
    <row r="14721">
      <c r="F14721" s="17"/>
    </row>
    <row r="14722">
      <c r="F14722" s="17"/>
    </row>
    <row r="14723">
      <c r="F14723" s="17"/>
    </row>
    <row r="14724">
      <c r="F14724" s="17"/>
    </row>
    <row r="14725">
      <c r="F14725" s="17"/>
    </row>
    <row r="14726">
      <c r="F14726" s="17"/>
    </row>
    <row r="14727">
      <c r="F14727" s="17"/>
    </row>
    <row r="14728">
      <c r="F14728" s="17"/>
    </row>
    <row r="14729">
      <c r="F14729" s="17"/>
    </row>
    <row r="14730">
      <c r="F14730" s="17"/>
    </row>
    <row r="14731">
      <c r="F14731" s="17"/>
    </row>
    <row r="14732">
      <c r="F14732" s="17"/>
    </row>
    <row r="14733">
      <c r="F14733" s="17"/>
    </row>
    <row r="14734">
      <c r="F14734" s="17"/>
    </row>
    <row r="14735">
      <c r="F14735" s="17"/>
    </row>
    <row r="14736">
      <c r="F14736" s="17"/>
    </row>
    <row r="14737">
      <c r="F14737" s="17"/>
    </row>
    <row r="14738">
      <c r="F14738" s="17"/>
    </row>
    <row r="14739">
      <c r="F14739" s="17"/>
    </row>
    <row r="14740">
      <c r="F14740" s="17"/>
    </row>
    <row r="14741">
      <c r="F14741" s="17"/>
    </row>
    <row r="14742">
      <c r="F14742" s="17"/>
    </row>
    <row r="14743">
      <c r="F14743" s="17"/>
    </row>
    <row r="14744">
      <c r="F14744" s="17"/>
    </row>
    <row r="14745">
      <c r="F14745" s="17"/>
    </row>
    <row r="14746">
      <c r="F14746" s="17"/>
    </row>
    <row r="14747">
      <c r="F14747" s="17"/>
    </row>
    <row r="14748">
      <c r="F14748" s="17"/>
    </row>
    <row r="14749">
      <c r="F14749" s="17"/>
    </row>
    <row r="14750">
      <c r="F14750" s="17"/>
    </row>
    <row r="14751">
      <c r="F14751" s="17"/>
    </row>
    <row r="14752">
      <c r="F14752" s="17"/>
    </row>
    <row r="14753">
      <c r="F14753" s="17"/>
    </row>
    <row r="14754">
      <c r="F14754" s="17"/>
    </row>
    <row r="14755">
      <c r="F14755" s="17"/>
    </row>
    <row r="14756">
      <c r="F14756" s="17"/>
    </row>
    <row r="14757">
      <c r="F14757" s="17"/>
    </row>
    <row r="14758">
      <c r="F14758" s="17"/>
    </row>
    <row r="14759">
      <c r="F14759" s="17"/>
    </row>
    <row r="14760">
      <c r="F14760" s="17"/>
    </row>
    <row r="14761">
      <c r="F14761" s="17"/>
    </row>
    <row r="14762">
      <c r="F14762" s="17"/>
    </row>
    <row r="14763">
      <c r="F14763" s="17"/>
    </row>
    <row r="14764">
      <c r="F14764" s="17"/>
    </row>
    <row r="14765">
      <c r="F14765" s="17"/>
    </row>
    <row r="14766">
      <c r="F14766" s="17"/>
    </row>
    <row r="14767">
      <c r="F14767" s="17"/>
    </row>
    <row r="14768">
      <c r="F14768" s="17"/>
    </row>
    <row r="14769">
      <c r="F14769" s="17"/>
    </row>
    <row r="14770">
      <c r="F14770" s="17"/>
    </row>
    <row r="14771">
      <c r="F14771" s="17"/>
    </row>
    <row r="14772">
      <c r="F14772" s="17"/>
    </row>
    <row r="14773">
      <c r="F14773" s="17"/>
    </row>
    <row r="14774">
      <c r="F14774" s="17"/>
    </row>
    <row r="14775">
      <c r="F14775" s="17"/>
    </row>
    <row r="14776">
      <c r="F14776" s="17"/>
    </row>
    <row r="14777">
      <c r="F14777" s="17"/>
    </row>
    <row r="14778">
      <c r="F14778" s="17"/>
    </row>
    <row r="14779">
      <c r="F14779" s="17"/>
    </row>
    <row r="14780">
      <c r="F14780" s="17"/>
    </row>
    <row r="14781">
      <c r="F14781" s="17"/>
    </row>
    <row r="14782">
      <c r="F14782" s="17"/>
    </row>
    <row r="14783">
      <c r="F14783" s="17"/>
    </row>
    <row r="14784">
      <c r="F14784" s="17"/>
    </row>
    <row r="14785">
      <c r="F14785" s="17"/>
    </row>
    <row r="14786">
      <c r="F14786" s="17"/>
    </row>
    <row r="14787">
      <c r="F14787" s="17"/>
    </row>
    <row r="14788">
      <c r="F14788" s="17"/>
    </row>
    <row r="14789">
      <c r="F14789" s="17"/>
    </row>
    <row r="14790">
      <c r="F14790" s="17"/>
    </row>
    <row r="14791">
      <c r="F14791" s="17"/>
    </row>
    <row r="14792">
      <c r="F14792" s="17"/>
    </row>
    <row r="14793">
      <c r="F14793" s="17"/>
    </row>
    <row r="14794">
      <c r="F14794" s="17"/>
    </row>
    <row r="14795">
      <c r="F14795" s="17"/>
    </row>
    <row r="14796">
      <c r="F14796" s="17"/>
    </row>
    <row r="14797">
      <c r="F14797" s="17"/>
    </row>
    <row r="14798">
      <c r="F14798" s="17"/>
    </row>
    <row r="14799">
      <c r="F14799" s="17"/>
    </row>
    <row r="14800">
      <c r="F14800" s="17"/>
    </row>
    <row r="14801">
      <c r="F14801" s="17"/>
    </row>
    <row r="14802">
      <c r="F14802" s="17"/>
    </row>
    <row r="14803">
      <c r="F14803" s="17"/>
    </row>
    <row r="14804">
      <c r="F14804" s="17"/>
    </row>
    <row r="14805">
      <c r="F14805" s="17"/>
    </row>
    <row r="14806">
      <c r="F14806" s="17"/>
    </row>
    <row r="14807">
      <c r="F14807" s="17"/>
    </row>
    <row r="14808">
      <c r="F14808" s="17"/>
    </row>
    <row r="14809">
      <c r="F14809" s="17"/>
    </row>
    <row r="14810">
      <c r="F14810" s="17"/>
    </row>
    <row r="14811">
      <c r="F14811" s="17"/>
    </row>
    <row r="14812">
      <c r="F14812" s="17"/>
    </row>
    <row r="14813">
      <c r="F14813" s="17"/>
    </row>
    <row r="14814">
      <c r="F14814" s="17"/>
    </row>
    <row r="14815">
      <c r="F14815" s="17"/>
    </row>
    <row r="14816">
      <c r="F14816" s="17"/>
    </row>
    <row r="14817">
      <c r="F14817" s="17"/>
    </row>
    <row r="14818">
      <c r="F14818" s="17"/>
    </row>
    <row r="14819">
      <c r="F14819" s="17"/>
    </row>
    <row r="14820">
      <c r="F14820" s="17"/>
    </row>
    <row r="14821">
      <c r="F14821" s="17"/>
    </row>
    <row r="14822">
      <c r="F14822" s="17"/>
    </row>
    <row r="14823">
      <c r="F14823" s="17"/>
    </row>
    <row r="14824">
      <c r="F14824" s="17"/>
    </row>
    <row r="14825">
      <c r="F14825" s="17"/>
    </row>
    <row r="14826">
      <c r="F14826" s="17"/>
    </row>
    <row r="14827">
      <c r="F14827" s="17"/>
    </row>
    <row r="14828">
      <c r="F14828" s="17"/>
    </row>
    <row r="14829">
      <c r="F14829" s="17"/>
    </row>
    <row r="14830">
      <c r="F14830" s="17"/>
    </row>
    <row r="14831">
      <c r="F14831" s="17"/>
    </row>
    <row r="14832">
      <c r="F14832" s="17"/>
    </row>
    <row r="14833">
      <c r="F14833" s="17"/>
    </row>
    <row r="14834">
      <c r="F14834" s="17"/>
    </row>
    <row r="14835">
      <c r="F14835" s="17"/>
    </row>
    <row r="14836">
      <c r="F14836" s="17"/>
    </row>
    <row r="14837">
      <c r="F14837" s="17"/>
    </row>
    <row r="14838">
      <c r="F14838" s="17"/>
    </row>
    <row r="14839">
      <c r="F14839" s="17"/>
    </row>
    <row r="14840">
      <c r="F14840" s="17"/>
    </row>
    <row r="14841">
      <c r="F14841" s="17"/>
    </row>
    <row r="14842">
      <c r="F14842" s="17"/>
    </row>
    <row r="14843">
      <c r="F14843" s="17"/>
    </row>
    <row r="14844">
      <c r="F14844" s="17"/>
    </row>
    <row r="14845">
      <c r="F14845" s="17"/>
    </row>
    <row r="14846">
      <c r="F14846" s="17"/>
    </row>
    <row r="14847">
      <c r="F14847" s="17"/>
    </row>
    <row r="14848">
      <c r="F14848" s="17"/>
    </row>
    <row r="14849">
      <c r="F14849" s="17"/>
    </row>
    <row r="14850">
      <c r="F14850" s="17"/>
    </row>
    <row r="14851">
      <c r="F14851" s="17"/>
    </row>
    <row r="14852">
      <c r="F14852" s="17"/>
    </row>
    <row r="14853">
      <c r="F14853" s="17"/>
    </row>
    <row r="14854">
      <c r="F14854" s="17"/>
    </row>
    <row r="14855">
      <c r="F14855" s="17"/>
    </row>
    <row r="14856">
      <c r="F14856" s="17"/>
    </row>
    <row r="14857">
      <c r="F14857" s="17"/>
    </row>
    <row r="14858">
      <c r="F14858" s="17"/>
    </row>
    <row r="14859">
      <c r="F14859" s="17"/>
    </row>
    <row r="14860">
      <c r="F14860" s="17"/>
    </row>
    <row r="14861">
      <c r="F14861" s="17"/>
    </row>
    <row r="14862">
      <c r="F14862" s="17"/>
    </row>
    <row r="14863">
      <c r="F14863" s="17"/>
    </row>
    <row r="14864">
      <c r="F14864" s="17"/>
    </row>
    <row r="14865">
      <c r="F14865" s="17"/>
    </row>
    <row r="14866">
      <c r="F14866" s="17"/>
    </row>
    <row r="14867">
      <c r="F14867" s="17"/>
    </row>
    <row r="14868">
      <c r="F14868" s="17"/>
    </row>
    <row r="14869">
      <c r="F14869" s="17"/>
    </row>
    <row r="14870">
      <c r="F14870" s="17"/>
    </row>
    <row r="14871">
      <c r="F14871" s="17"/>
    </row>
    <row r="14872">
      <c r="F14872" s="17"/>
    </row>
    <row r="14873">
      <c r="F14873" s="17"/>
    </row>
    <row r="14874">
      <c r="F14874" s="17"/>
    </row>
    <row r="14875">
      <c r="F14875" s="17"/>
    </row>
    <row r="14876">
      <c r="F14876" s="17"/>
    </row>
    <row r="14877">
      <c r="F14877" s="17"/>
    </row>
    <row r="14878">
      <c r="F14878" s="17"/>
    </row>
    <row r="14879">
      <c r="F14879" s="17"/>
    </row>
    <row r="14880">
      <c r="F14880" s="17"/>
    </row>
    <row r="14881">
      <c r="F14881" s="17"/>
    </row>
    <row r="14882">
      <c r="F14882" s="17"/>
    </row>
    <row r="14883">
      <c r="F14883" s="17"/>
    </row>
    <row r="14884">
      <c r="F14884" s="17"/>
    </row>
    <row r="14885">
      <c r="F14885" s="17"/>
    </row>
    <row r="14886">
      <c r="F14886" s="17"/>
    </row>
    <row r="14887">
      <c r="F14887" s="17"/>
    </row>
    <row r="14888">
      <c r="F14888" s="17"/>
    </row>
    <row r="14889">
      <c r="F14889" s="17"/>
    </row>
    <row r="14890">
      <c r="F14890" s="17"/>
    </row>
    <row r="14891">
      <c r="F14891" s="17"/>
    </row>
    <row r="14892">
      <c r="F14892" s="17"/>
    </row>
    <row r="14893">
      <c r="F14893" s="17"/>
    </row>
    <row r="14894">
      <c r="F14894" s="17"/>
    </row>
    <row r="14895">
      <c r="F14895" s="17"/>
    </row>
    <row r="14896">
      <c r="F14896" s="17"/>
    </row>
    <row r="14897">
      <c r="F14897" s="17"/>
    </row>
    <row r="14898">
      <c r="F14898" s="17"/>
    </row>
    <row r="14899">
      <c r="F14899" s="17"/>
    </row>
    <row r="14900">
      <c r="F14900" s="17"/>
    </row>
    <row r="14901">
      <c r="F14901" s="17"/>
    </row>
    <row r="14902">
      <c r="F14902" s="17"/>
    </row>
    <row r="14903">
      <c r="F14903" s="17"/>
    </row>
    <row r="14904">
      <c r="F14904" s="17"/>
    </row>
    <row r="14905">
      <c r="F14905" s="17"/>
    </row>
    <row r="14906">
      <c r="F14906" s="17"/>
    </row>
    <row r="14907">
      <c r="F14907" s="17"/>
    </row>
    <row r="14908">
      <c r="F14908" s="17"/>
    </row>
    <row r="14909">
      <c r="F14909" s="17"/>
    </row>
    <row r="14910">
      <c r="F14910" s="17"/>
    </row>
    <row r="14911">
      <c r="F14911" s="17"/>
    </row>
    <row r="14912">
      <c r="F14912" s="17"/>
    </row>
    <row r="14913">
      <c r="F14913" s="17"/>
    </row>
    <row r="14914">
      <c r="F14914" s="17"/>
    </row>
    <row r="14915">
      <c r="F14915" s="17"/>
    </row>
    <row r="14916">
      <c r="F14916" s="17"/>
    </row>
    <row r="14917">
      <c r="F14917" s="17"/>
    </row>
    <row r="14918">
      <c r="F14918" s="17"/>
    </row>
    <row r="14919">
      <c r="F14919" s="17"/>
    </row>
    <row r="14920">
      <c r="F14920" s="17"/>
    </row>
    <row r="14921">
      <c r="F14921" s="17"/>
    </row>
    <row r="14922">
      <c r="F14922" s="17"/>
    </row>
    <row r="14923">
      <c r="F14923" s="17"/>
    </row>
    <row r="14924">
      <c r="F14924" s="17"/>
    </row>
    <row r="14925">
      <c r="F14925" s="17"/>
    </row>
    <row r="14926">
      <c r="F14926" s="17"/>
    </row>
    <row r="14927">
      <c r="F14927" s="17"/>
    </row>
    <row r="14928">
      <c r="F14928" s="17"/>
    </row>
    <row r="14929">
      <c r="F14929" s="17"/>
    </row>
    <row r="14930">
      <c r="F14930" s="17"/>
    </row>
    <row r="14931">
      <c r="F14931" s="17"/>
    </row>
    <row r="14932">
      <c r="F14932" s="17"/>
    </row>
    <row r="14933">
      <c r="F14933" s="17"/>
    </row>
    <row r="14934">
      <c r="F14934" s="17"/>
    </row>
    <row r="14935">
      <c r="F14935" s="17"/>
    </row>
    <row r="14936">
      <c r="F14936" s="17"/>
    </row>
    <row r="14937">
      <c r="F14937" s="17"/>
    </row>
    <row r="14938">
      <c r="F14938" s="17"/>
    </row>
    <row r="14939">
      <c r="F14939" s="17"/>
    </row>
    <row r="14940">
      <c r="F14940" s="17"/>
    </row>
    <row r="14941">
      <c r="F14941" s="17"/>
    </row>
    <row r="14942">
      <c r="F14942" s="17"/>
    </row>
    <row r="14943">
      <c r="F14943" s="17"/>
    </row>
    <row r="14944">
      <c r="F14944" s="17"/>
    </row>
    <row r="14945">
      <c r="F14945" s="17"/>
    </row>
    <row r="14946">
      <c r="F14946" s="17"/>
    </row>
    <row r="14947">
      <c r="F14947" s="17"/>
    </row>
    <row r="14948">
      <c r="F14948" s="17"/>
    </row>
    <row r="14949">
      <c r="F14949" s="17"/>
    </row>
    <row r="14950">
      <c r="F14950" s="17"/>
    </row>
    <row r="14951">
      <c r="F14951" s="17"/>
    </row>
    <row r="14952">
      <c r="F14952" s="17"/>
    </row>
    <row r="14953">
      <c r="F14953" s="17"/>
    </row>
    <row r="14954">
      <c r="F14954" s="17"/>
    </row>
    <row r="14955">
      <c r="F14955" s="17"/>
    </row>
    <row r="14956">
      <c r="F14956" s="17"/>
    </row>
    <row r="14957">
      <c r="F14957" s="17"/>
    </row>
    <row r="14958">
      <c r="F14958" s="17"/>
    </row>
    <row r="14959">
      <c r="F14959" s="17"/>
    </row>
    <row r="14960">
      <c r="F14960" s="17"/>
    </row>
    <row r="14961">
      <c r="F14961" s="17"/>
    </row>
    <row r="14962">
      <c r="F14962" s="17"/>
    </row>
    <row r="14963">
      <c r="F14963" s="17"/>
    </row>
    <row r="14964">
      <c r="F14964" s="17"/>
    </row>
    <row r="14965">
      <c r="F14965" s="17"/>
    </row>
    <row r="14966">
      <c r="F14966" s="17"/>
    </row>
    <row r="14967">
      <c r="F14967" s="17"/>
    </row>
    <row r="14968">
      <c r="F14968" s="17"/>
    </row>
    <row r="14969">
      <c r="F14969" s="17"/>
    </row>
    <row r="14970">
      <c r="F14970" s="17"/>
    </row>
    <row r="14971">
      <c r="F14971" s="17"/>
    </row>
    <row r="14972">
      <c r="F14972" s="17"/>
    </row>
    <row r="14973">
      <c r="F14973" s="17"/>
    </row>
    <row r="14974">
      <c r="F14974" s="17"/>
    </row>
    <row r="14975">
      <c r="F14975" s="17"/>
    </row>
    <row r="14976">
      <c r="F14976" s="17"/>
    </row>
    <row r="14977">
      <c r="F14977" s="17"/>
    </row>
    <row r="14978">
      <c r="F14978" s="17"/>
    </row>
    <row r="14979">
      <c r="F14979" s="17"/>
    </row>
    <row r="14980">
      <c r="F14980" s="17"/>
    </row>
    <row r="14981">
      <c r="F14981" s="17"/>
    </row>
    <row r="14982">
      <c r="F14982" s="17"/>
    </row>
    <row r="14983">
      <c r="F14983" s="17"/>
    </row>
    <row r="14984">
      <c r="F14984" s="17"/>
    </row>
    <row r="14985">
      <c r="F14985" s="17"/>
    </row>
    <row r="14986">
      <c r="F14986" s="17"/>
    </row>
    <row r="14987">
      <c r="F14987" s="17"/>
    </row>
    <row r="14988">
      <c r="F14988" s="17"/>
    </row>
    <row r="14989">
      <c r="F14989" s="17"/>
    </row>
    <row r="14990">
      <c r="F14990" s="17"/>
    </row>
    <row r="14991">
      <c r="F14991" s="17"/>
    </row>
    <row r="14992">
      <c r="F14992" s="17"/>
    </row>
    <row r="14993">
      <c r="F14993" s="17"/>
    </row>
    <row r="14994">
      <c r="F14994" s="17"/>
    </row>
    <row r="14995">
      <c r="F14995" s="17"/>
    </row>
    <row r="14996">
      <c r="F14996" s="17"/>
    </row>
    <row r="14997">
      <c r="F14997" s="17"/>
    </row>
    <row r="14998">
      <c r="F14998" s="17"/>
    </row>
    <row r="14999">
      <c r="F14999" s="17"/>
    </row>
    <row r="15000">
      <c r="F15000" s="17"/>
    </row>
    <row r="15001">
      <c r="F15001" s="17"/>
    </row>
    <row r="15002">
      <c r="F15002" s="17"/>
    </row>
    <row r="15003">
      <c r="F15003" s="17"/>
    </row>
    <row r="15004">
      <c r="F15004" s="17"/>
    </row>
    <row r="15005">
      <c r="F15005" s="17"/>
    </row>
    <row r="15006">
      <c r="F15006" s="17"/>
    </row>
    <row r="15007">
      <c r="F15007" s="17"/>
    </row>
    <row r="15008">
      <c r="F15008" s="17"/>
    </row>
    <row r="15009">
      <c r="F15009" s="17"/>
    </row>
    <row r="15010">
      <c r="F15010" s="17"/>
    </row>
    <row r="15011">
      <c r="F15011" s="17"/>
    </row>
    <row r="15012">
      <c r="F15012" s="17"/>
    </row>
    <row r="15013">
      <c r="F15013" s="17"/>
    </row>
    <row r="15014">
      <c r="F15014" s="17"/>
    </row>
    <row r="15015">
      <c r="F15015" s="17"/>
    </row>
    <row r="15016">
      <c r="F15016" s="17"/>
    </row>
    <row r="15017">
      <c r="F15017" s="17"/>
    </row>
    <row r="15018">
      <c r="F15018" s="17"/>
    </row>
    <row r="15019">
      <c r="F15019" s="17"/>
    </row>
    <row r="15020">
      <c r="F15020" s="17"/>
    </row>
    <row r="15021">
      <c r="F15021" s="17"/>
    </row>
    <row r="15022">
      <c r="F15022" s="17"/>
    </row>
    <row r="15023">
      <c r="F15023" s="17"/>
    </row>
    <row r="15024">
      <c r="F15024" s="17"/>
    </row>
    <row r="15025">
      <c r="F15025" s="17"/>
    </row>
    <row r="15026">
      <c r="F15026" s="17"/>
    </row>
    <row r="15027">
      <c r="F15027" s="17"/>
    </row>
    <row r="15028">
      <c r="F15028" s="17"/>
    </row>
    <row r="15029">
      <c r="F15029" s="17"/>
    </row>
    <row r="15030">
      <c r="F15030" s="17"/>
    </row>
    <row r="15031">
      <c r="F15031" s="17"/>
    </row>
    <row r="15032">
      <c r="F15032" s="17"/>
    </row>
    <row r="15033">
      <c r="F15033" s="17"/>
    </row>
    <row r="15034">
      <c r="F15034" s="17"/>
    </row>
    <row r="15035">
      <c r="F15035" s="17"/>
    </row>
    <row r="15036">
      <c r="F15036" s="17"/>
    </row>
    <row r="15037">
      <c r="F15037" s="17"/>
    </row>
    <row r="15038">
      <c r="F15038" s="17"/>
    </row>
    <row r="15039">
      <c r="F15039" s="17"/>
    </row>
    <row r="15040">
      <c r="F15040" s="17"/>
    </row>
    <row r="15041">
      <c r="F15041" s="17"/>
    </row>
    <row r="15042">
      <c r="F15042" s="17"/>
    </row>
    <row r="15043">
      <c r="F15043" s="17"/>
    </row>
    <row r="15044">
      <c r="F15044" s="17"/>
    </row>
    <row r="15045">
      <c r="F15045" s="17"/>
    </row>
    <row r="15046">
      <c r="F15046" s="17"/>
    </row>
    <row r="15047">
      <c r="F15047" s="17"/>
    </row>
    <row r="15048">
      <c r="F15048" s="17"/>
    </row>
    <row r="15049">
      <c r="F15049" s="17"/>
    </row>
    <row r="15050">
      <c r="F15050" s="17"/>
    </row>
    <row r="15051">
      <c r="F15051" s="17"/>
    </row>
    <row r="15052">
      <c r="F15052" s="17"/>
    </row>
    <row r="15053">
      <c r="F15053" s="17"/>
    </row>
    <row r="15054">
      <c r="F15054" s="17"/>
    </row>
    <row r="15055">
      <c r="F15055" s="17"/>
    </row>
    <row r="15056">
      <c r="F15056" s="17"/>
    </row>
    <row r="15057">
      <c r="F15057" s="17"/>
    </row>
    <row r="15058">
      <c r="F15058" s="17"/>
    </row>
    <row r="15059">
      <c r="F15059" s="17"/>
    </row>
    <row r="15060">
      <c r="F15060" s="17"/>
    </row>
    <row r="15061">
      <c r="F15061" s="17"/>
    </row>
    <row r="15062">
      <c r="F15062" s="17"/>
    </row>
    <row r="15063">
      <c r="F15063" s="17"/>
    </row>
    <row r="15064">
      <c r="F15064" s="17"/>
    </row>
    <row r="15065">
      <c r="F15065" s="17"/>
    </row>
    <row r="15066">
      <c r="F15066" s="17"/>
    </row>
    <row r="15067">
      <c r="F15067" s="17"/>
    </row>
    <row r="15068">
      <c r="F15068" s="17"/>
    </row>
    <row r="15069">
      <c r="F15069" s="17"/>
    </row>
    <row r="15070">
      <c r="F15070" s="17"/>
    </row>
    <row r="15071">
      <c r="F15071" s="17"/>
    </row>
    <row r="15072">
      <c r="F15072" s="17"/>
    </row>
    <row r="15073">
      <c r="F15073" s="17"/>
    </row>
    <row r="15074">
      <c r="F15074" s="17"/>
    </row>
    <row r="15075">
      <c r="F15075" s="17"/>
    </row>
    <row r="15076">
      <c r="F15076" s="17"/>
    </row>
    <row r="15077">
      <c r="F15077" s="17"/>
    </row>
    <row r="15078">
      <c r="F15078" s="17"/>
    </row>
    <row r="15079">
      <c r="F15079" s="17"/>
    </row>
    <row r="15080">
      <c r="F15080" s="17"/>
    </row>
    <row r="15081">
      <c r="F15081" s="17"/>
    </row>
    <row r="15082">
      <c r="F15082" s="17"/>
    </row>
    <row r="15083">
      <c r="F15083" s="17"/>
    </row>
    <row r="15084">
      <c r="F15084" s="17"/>
    </row>
    <row r="15085">
      <c r="F15085" s="17"/>
    </row>
    <row r="15086">
      <c r="F15086" s="17"/>
    </row>
    <row r="15087">
      <c r="F15087" s="17"/>
    </row>
    <row r="15088">
      <c r="F15088" s="17"/>
    </row>
    <row r="15089">
      <c r="F15089" s="17"/>
    </row>
    <row r="15090">
      <c r="F15090" s="17"/>
    </row>
    <row r="15091">
      <c r="F15091" s="17"/>
    </row>
    <row r="15092">
      <c r="F15092" s="17"/>
    </row>
    <row r="15093">
      <c r="F15093" s="17"/>
    </row>
    <row r="15094">
      <c r="F15094" s="17"/>
    </row>
    <row r="15095">
      <c r="F15095" s="17"/>
    </row>
    <row r="15096">
      <c r="F15096" s="17"/>
    </row>
    <row r="15097">
      <c r="F15097" s="17"/>
    </row>
    <row r="15098">
      <c r="F15098" s="17"/>
    </row>
    <row r="15099">
      <c r="F15099" s="17"/>
    </row>
    <row r="15100">
      <c r="F15100" s="17"/>
    </row>
    <row r="15101">
      <c r="F15101" s="17"/>
    </row>
    <row r="15102">
      <c r="F15102" s="17"/>
    </row>
    <row r="15103">
      <c r="F15103" s="17"/>
    </row>
    <row r="15104">
      <c r="F15104" s="17"/>
    </row>
    <row r="15105">
      <c r="F15105" s="17"/>
    </row>
    <row r="15106">
      <c r="F15106" s="17"/>
    </row>
    <row r="15107">
      <c r="F15107" s="17"/>
    </row>
    <row r="15108">
      <c r="F15108" s="17"/>
    </row>
    <row r="15109">
      <c r="F15109" s="17"/>
    </row>
    <row r="15110">
      <c r="F15110" s="17"/>
    </row>
    <row r="15111">
      <c r="F15111" s="17"/>
    </row>
    <row r="15112">
      <c r="F15112" s="17"/>
    </row>
    <row r="15113">
      <c r="F15113" s="17"/>
    </row>
    <row r="15114">
      <c r="F15114" s="17"/>
    </row>
    <row r="15115">
      <c r="F15115" s="17"/>
    </row>
    <row r="15116">
      <c r="F15116" s="17"/>
    </row>
    <row r="15117">
      <c r="F15117" s="17"/>
    </row>
    <row r="15118">
      <c r="F15118" s="17"/>
    </row>
    <row r="15119">
      <c r="F15119" s="17"/>
    </row>
    <row r="15120">
      <c r="F15120" s="17"/>
    </row>
    <row r="15121">
      <c r="F15121" s="17"/>
    </row>
    <row r="15122">
      <c r="F15122" s="17"/>
    </row>
    <row r="15123">
      <c r="F15123" s="17"/>
    </row>
    <row r="15124">
      <c r="F15124" s="17"/>
    </row>
    <row r="15125">
      <c r="F15125" s="17"/>
    </row>
    <row r="15126">
      <c r="F15126" s="17"/>
    </row>
    <row r="15127">
      <c r="F15127" s="17"/>
    </row>
    <row r="15128">
      <c r="F15128" s="17"/>
    </row>
    <row r="15129">
      <c r="F15129" s="17"/>
    </row>
    <row r="15130">
      <c r="F15130" s="17"/>
    </row>
    <row r="15131">
      <c r="F15131" s="17"/>
    </row>
    <row r="15132">
      <c r="F15132" s="17"/>
    </row>
    <row r="15133">
      <c r="F15133" s="17"/>
    </row>
    <row r="15134">
      <c r="F15134" s="17"/>
    </row>
    <row r="15135">
      <c r="F15135" s="17"/>
    </row>
    <row r="15136">
      <c r="F15136" s="17"/>
    </row>
    <row r="15137">
      <c r="F15137" s="17"/>
    </row>
    <row r="15138">
      <c r="F15138" s="17"/>
    </row>
    <row r="15139">
      <c r="F15139" s="17"/>
    </row>
    <row r="15140">
      <c r="F15140" s="17"/>
    </row>
    <row r="15141">
      <c r="F15141" s="17"/>
    </row>
    <row r="15142">
      <c r="F15142" s="17"/>
    </row>
    <row r="15143">
      <c r="F15143" s="17"/>
    </row>
    <row r="15144">
      <c r="F15144" s="17"/>
    </row>
    <row r="15145">
      <c r="F15145" s="17"/>
    </row>
    <row r="15146">
      <c r="F15146" s="17"/>
    </row>
    <row r="15147">
      <c r="F15147" s="17"/>
    </row>
    <row r="15148">
      <c r="F15148" s="17"/>
    </row>
    <row r="15149">
      <c r="F15149" s="17"/>
    </row>
    <row r="15150">
      <c r="F15150" s="17"/>
    </row>
    <row r="15151">
      <c r="F15151" s="17"/>
    </row>
    <row r="15152">
      <c r="F15152" s="17"/>
    </row>
    <row r="15153">
      <c r="F15153" s="17"/>
    </row>
    <row r="15154">
      <c r="F15154" s="17"/>
    </row>
    <row r="15155">
      <c r="F15155" s="17"/>
    </row>
    <row r="15156">
      <c r="F15156" s="17"/>
    </row>
    <row r="15157">
      <c r="F15157" s="17"/>
    </row>
    <row r="15158">
      <c r="F15158" s="17"/>
    </row>
    <row r="15159">
      <c r="F15159" s="17"/>
    </row>
    <row r="15160">
      <c r="F15160" s="17"/>
    </row>
    <row r="15161">
      <c r="F15161" s="17"/>
    </row>
    <row r="15162">
      <c r="F15162" s="17"/>
    </row>
    <row r="15163">
      <c r="F15163" s="17"/>
    </row>
    <row r="15164">
      <c r="F15164" s="17"/>
    </row>
    <row r="15165">
      <c r="F15165" s="17"/>
    </row>
    <row r="15166">
      <c r="F15166" s="17"/>
    </row>
    <row r="15167">
      <c r="F15167" s="17"/>
    </row>
    <row r="15168">
      <c r="F15168" s="17"/>
    </row>
    <row r="15169">
      <c r="F15169" s="17"/>
    </row>
    <row r="15170">
      <c r="F15170" s="17"/>
    </row>
    <row r="15171">
      <c r="F15171" s="17"/>
    </row>
    <row r="15172">
      <c r="F15172" s="17"/>
    </row>
    <row r="15173">
      <c r="F15173" s="17"/>
    </row>
    <row r="15174">
      <c r="F15174" s="17"/>
    </row>
    <row r="15175">
      <c r="F15175" s="17"/>
    </row>
    <row r="15176">
      <c r="F15176" s="17"/>
    </row>
    <row r="15177">
      <c r="F15177" s="17"/>
    </row>
    <row r="15178">
      <c r="F15178" s="17"/>
    </row>
    <row r="15179">
      <c r="F15179" s="17"/>
    </row>
    <row r="15180">
      <c r="F15180" s="17"/>
    </row>
    <row r="15181">
      <c r="F15181" s="17"/>
    </row>
    <row r="15182">
      <c r="F15182" s="17"/>
    </row>
    <row r="15183">
      <c r="F15183" s="17"/>
    </row>
    <row r="15184">
      <c r="F15184" s="17"/>
    </row>
    <row r="15185">
      <c r="F15185" s="17"/>
    </row>
    <row r="15186">
      <c r="F15186" s="17"/>
    </row>
    <row r="15187">
      <c r="F15187" s="17"/>
    </row>
    <row r="15188">
      <c r="F15188" s="17"/>
    </row>
    <row r="15189">
      <c r="F15189" s="17"/>
    </row>
    <row r="15190">
      <c r="F15190" s="17"/>
    </row>
    <row r="15191">
      <c r="F15191" s="17"/>
    </row>
    <row r="15192">
      <c r="F15192" s="17"/>
    </row>
    <row r="15193">
      <c r="F15193" s="17"/>
    </row>
    <row r="15194">
      <c r="F15194" s="17"/>
    </row>
    <row r="15195">
      <c r="F15195" s="17"/>
    </row>
    <row r="15196">
      <c r="F15196" s="17"/>
    </row>
    <row r="15197">
      <c r="F15197" s="17"/>
    </row>
    <row r="15198">
      <c r="F15198" s="17"/>
    </row>
    <row r="15199">
      <c r="F15199" s="17"/>
    </row>
    <row r="15200">
      <c r="F15200" s="17"/>
    </row>
    <row r="15201">
      <c r="F15201" s="17"/>
    </row>
    <row r="15202">
      <c r="F15202" s="17"/>
    </row>
    <row r="15203">
      <c r="F15203" s="17"/>
    </row>
    <row r="15204">
      <c r="F15204" s="17"/>
    </row>
    <row r="15205">
      <c r="F15205" s="17"/>
    </row>
    <row r="15206">
      <c r="F15206" s="17"/>
    </row>
    <row r="15207">
      <c r="F15207" s="17"/>
    </row>
    <row r="15208">
      <c r="F15208" s="17"/>
    </row>
    <row r="15209">
      <c r="F15209" s="17"/>
    </row>
    <row r="15210">
      <c r="F15210" s="17"/>
    </row>
    <row r="15211">
      <c r="F15211" s="17"/>
    </row>
    <row r="15212">
      <c r="F15212" s="17"/>
    </row>
    <row r="15213">
      <c r="F15213" s="17"/>
    </row>
    <row r="15214">
      <c r="F15214" s="17"/>
    </row>
    <row r="15215">
      <c r="F15215" s="17"/>
    </row>
    <row r="15216">
      <c r="F15216" s="17"/>
    </row>
    <row r="15217">
      <c r="F15217" s="17"/>
    </row>
    <row r="15218">
      <c r="F15218" s="17"/>
    </row>
    <row r="15219">
      <c r="F15219" s="17"/>
    </row>
    <row r="15220">
      <c r="F15220" s="17"/>
    </row>
    <row r="15221">
      <c r="F15221" s="17"/>
    </row>
    <row r="15222">
      <c r="F15222" s="17"/>
    </row>
    <row r="15223">
      <c r="F15223" s="17"/>
    </row>
    <row r="15224">
      <c r="F15224" s="17"/>
    </row>
    <row r="15225">
      <c r="F15225" s="17"/>
    </row>
    <row r="15226">
      <c r="F15226" s="17"/>
    </row>
    <row r="15227">
      <c r="F15227" s="17"/>
    </row>
    <row r="15228">
      <c r="F15228" s="17"/>
    </row>
    <row r="15229">
      <c r="F15229" s="17"/>
    </row>
    <row r="15230">
      <c r="F15230" s="17"/>
    </row>
    <row r="15231">
      <c r="F15231" s="17"/>
    </row>
    <row r="15232">
      <c r="F15232" s="17"/>
    </row>
    <row r="15233">
      <c r="F15233" s="17"/>
    </row>
    <row r="15234">
      <c r="F15234" s="17"/>
    </row>
    <row r="15235">
      <c r="F15235" s="17"/>
    </row>
    <row r="15236">
      <c r="F15236" s="17"/>
    </row>
    <row r="15237">
      <c r="F15237" s="17"/>
    </row>
    <row r="15238">
      <c r="F15238" s="17"/>
    </row>
    <row r="15239">
      <c r="F15239" s="17"/>
    </row>
    <row r="15240">
      <c r="F15240" s="17"/>
    </row>
    <row r="15241">
      <c r="F15241" s="17"/>
    </row>
    <row r="15242">
      <c r="F15242" s="17"/>
    </row>
    <row r="15243">
      <c r="F15243" s="17"/>
    </row>
    <row r="15244">
      <c r="F15244" s="17"/>
    </row>
    <row r="15245">
      <c r="F15245" s="17"/>
    </row>
    <row r="15246">
      <c r="F15246" s="17"/>
    </row>
    <row r="15247">
      <c r="F15247" s="17"/>
    </row>
    <row r="15248">
      <c r="F15248" s="17"/>
    </row>
    <row r="15249">
      <c r="F15249" s="17"/>
    </row>
    <row r="15250">
      <c r="F15250" s="17"/>
    </row>
    <row r="15251">
      <c r="F15251" s="17"/>
    </row>
    <row r="15252">
      <c r="F15252" s="17"/>
    </row>
    <row r="15253">
      <c r="F15253" s="17"/>
    </row>
    <row r="15254">
      <c r="F15254" s="17"/>
    </row>
    <row r="15255">
      <c r="F15255" s="17"/>
    </row>
    <row r="15256">
      <c r="F15256" s="17"/>
    </row>
    <row r="15257">
      <c r="F15257" s="17"/>
    </row>
    <row r="15258">
      <c r="F15258" s="17"/>
    </row>
    <row r="15259">
      <c r="F15259" s="17"/>
    </row>
    <row r="15260">
      <c r="F15260" s="17"/>
    </row>
    <row r="15261">
      <c r="F15261" s="17"/>
    </row>
    <row r="15262">
      <c r="F15262" s="17"/>
    </row>
    <row r="15263">
      <c r="F15263" s="17"/>
    </row>
    <row r="15264">
      <c r="F15264" s="17"/>
    </row>
    <row r="15265">
      <c r="F15265" s="17"/>
    </row>
    <row r="15266">
      <c r="F15266" s="17"/>
    </row>
    <row r="15267">
      <c r="F15267" s="17"/>
    </row>
    <row r="15268">
      <c r="F15268" s="17"/>
    </row>
    <row r="15269">
      <c r="F15269" s="17"/>
    </row>
    <row r="15270">
      <c r="F15270" s="17"/>
    </row>
    <row r="15271">
      <c r="F15271" s="17"/>
    </row>
    <row r="15272">
      <c r="F15272" s="17"/>
    </row>
    <row r="15273">
      <c r="F15273" s="17"/>
    </row>
    <row r="15274">
      <c r="F15274" s="17"/>
    </row>
    <row r="15275">
      <c r="F15275" s="17"/>
    </row>
    <row r="15276">
      <c r="F15276" s="17"/>
    </row>
    <row r="15277">
      <c r="F15277" s="17"/>
    </row>
    <row r="15278">
      <c r="F15278" s="17"/>
    </row>
    <row r="15279">
      <c r="F15279" s="17"/>
    </row>
    <row r="15280">
      <c r="F15280" s="17"/>
    </row>
    <row r="15281">
      <c r="F15281" s="17"/>
    </row>
    <row r="15282">
      <c r="F15282" s="17"/>
    </row>
    <row r="15283">
      <c r="F15283" s="17"/>
    </row>
    <row r="15284">
      <c r="F15284" s="17"/>
    </row>
    <row r="15285">
      <c r="F15285" s="17"/>
    </row>
    <row r="15286">
      <c r="F15286" s="17"/>
    </row>
    <row r="15287">
      <c r="F15287" s="17"/>
    </row>
    <row r="15288">
      <c r="F15288" s="17"/>
    </row>
    <row r="15289">
      <c r="F15289" s="17"/>
    </row>
    <row r="15290">
      <c r="F15290" s="17"/>
    </row>
    <row r="15291">
      <c r="F15291" s="17"/>
    </row>
    <row r="15292">
      <c r="F15292" s="17"/>
    </row>
    <row r="15293">
      <c r="F15293" s="17"/>
    </row>
    <row r="15294">
      <c r="F15294" s="17"/>
    </row>
    <row r="15295">
      <c r="F15295" s="17"/>
    </row>
    <row r="15296">
      <c r="F15296" s="17"/>
    </row>
    <row r="15297">
      <c r="F15297" s="17"/>
    </row>
    <row r="15298">
      <c r="F15298" s="17"/>
    </row>
    <row r="15299">
      <c r="F15299" s="17"/>
    </row>
    <row r="15300">
      <c r="F15300" s="17"/>
    </row>
    <row r="15301">
      <c r="F15301" s="17"/>
    </row>
    <row r="15302">
      <c r="F15302" s="17"/>
    </row>
    <row r="15303">
      <c r="F15303" s="17"/>
    </row>
    <row r="15304">
      <c r="F15304" s="17"/>
    </row>
    <row r="15305">
      <c r="F15305" s="17"/>
    </row>
    <row r="15306">
      <c r="F15306" s="17"/>
    </row>
    <row r="15307">
      <c r="F15307" s="17"/>
    </row>
    <row r="15308">
      <c r="F15308" s="17"/>
    </row>
    <row r="15309">
      <c r="F15309" s="17"/>
    </row>
    <row r="15310">
      <c r="F15310" s="17"/>
    </row>
    <row r="15311">
      <c r="F15311" s="17"/>
    </row>
    <row r="15312">
      <c r="F15312" s="17"/>
    </row>
    <row r="15313">
      <c r="F15313" s="17"/>
    </row>
    <row r="15314">
      <c r="F15314" s="17"/>
    </row>
    <row r="15315">
      <c r="F15315" s="17"/>
    </row>
    <row r="15316">
      <c r="F15316" s="17"/>
    </row>
    <row r="15317">
      <c r="F15317" s="17"/>
    </row>
    <row r="15318">
      <c r="F15318" s="17"/>
    </row>
    <row r="15319">
      <c r="F15319" s="17"/>
    </row>
    <row r="15320">
      <c r="F15320" s="17"/>
    </row>
    <row r="15321">
      <c r="F15321" s="17"/>
    </row>
    <row r="15322">
      <c r="F15322" s="17"/>
    </row>
    <row r="15323">
      <c r="F15323" s="17"/>
    </row>
    <row r="15324">
      <c r="F15324" s="17"/>
    </row>
    <row r="15325">
      <c r="F15325" s="17"/>
    </row>
    <row r="15326">
      <c r="F15326" s="17"/>
    </row>
    <row r="15327">
      <c r="F15327" s="17"/>
    </row>
    <row r="15328">
      <c r="F15328" s="17"/>
    </row>
    <row r="15329">
      <c r="F15329" s="17"/>
    </row>
    <row r="15330">
      <c r="F15330" s="17"/>
    </row>
    <row r="15331">
      <c r="F15331" s="17"/>
    </row>
    <row r="15332">
      <c r="F15332" s="17"/>
    </row>
    <row r="15333">
      <c r="F15333" s="17"/>
    </row>
    <row r="15334">
      <c r="F15334" s="17"/>
    </row>
    <row r="15335">
      <c r="F15335" s="17"/>
    </row>
    <row r="15336">
      <c r="F15336" s="17"/>
    </row>
    <row r="15337">
      <c r="F15337" s="17"/>
    </row>
    <row r="15338">
      <c r="F15338" s="17"/>
    </row>
    <row r="15339">
      <c r="F15339" s="17"/>
    </row>
    <row r="15340">
      <c r="F15340" s="17"/>
    </row>
    <row r="15341">
      <c r="F15341" s="17"/>
    </row>
    <row r="15342">
      <c r="F15342" s="17"/>
    </row>
    <row r="15343">
      <c r="F15343" s="17"/>
    </row>
    <row r="15344">
      <c r="F15344" s="17"/>
    </row>
    <row r="15345">
      <c r="F15345" s="17"/>
    </row>
    <row r="15346">
      <c r="F15346" s="17"/>
    </row>
    <row r="15347">
      <c r="F15347" s="17"/>
    </row>
    <row r="15348">
      <c r="F15348" s="17"/>
    </row>
    <row r="15349">
      <c r="F15349" s="17"/>
    </row>
    <row r="15350">
      <c r="F15350" s="17"/>
    </row>
    <row r="15351">
      <c r="F15351" s="17"/>
    </row>
    <row r="15352">
      <c r="F15352" s="17"/>
    </row>
    <row r="15353">
      <c r="F15353" s="17"/>
    </row>
    <row r="15354">
      <c r="F15354" s="17"/>
    </row>
    <row r="15355">
      <c r="F15355" s="17"/>
    </row>
    <row r="15356">
      <c r="F15356" s="17"/>
    </row>
    <row r="15357">
      <c r="F15357" s="17"/>
    </row>
    <row r="15358">
      <c r="F15358" s="17"/>
    </row>
    <row r="15359">
      <c r="F15359" s="17"/>
    </row>
    <row r="15360">
      <c r="F15360" s="17"/>
    </row>
    <row r="15361">
      <c r="F15361" s="17"/>
    </row>
    <row r="15362">
      <c r="F15362" s="17"/>
    </row>
    <row r="15363">
      <c r="F15363" s="17"/>
    </row>
    <row r="15364">
      <c r="F15364" s="17"/>
    </row>
    <row r="15365">
      <c r="F15365" s="17"/>
    </row>
    <row r="15366">
      <c r="F15366" s="17"/>
    </row>
    <row r="15367">
      <c r="F15367" s="17"/>
    </row>
    <row r="15368">
      <c r="F15368" s="17"/>
    </row>
    <row r="15369">
      <c r="F15369" s="17"/>
    </row>
    <row r="15370">
      <c r="F15370" s="17"/>
    </row>
    <row r="15371">
      <c r="F15371" s="17"/>
    </row>
    <row r="15372">
      <c r="F15372" s="17"/>
    </row>
    <row r="15373">
      <c r="F15373" s="17"/>
    </row>
    <row r="15374">
      <c r="F15374" s="17"/>
    </row>
    <row r="15375">
      <c r="F15375" s="17"/>
    </row>
    <row r="15376">
      <c r="F15376" s="17"/>
    </row>
    <row r="15377">
      <c r="F15377" s="17"/>
    </row>
    <row r="15378">
      <c r="F15378" s="17"/>
    </row>
    <row r="15379">
      <c r="F15379" s="17"/>
    </row>
    <row r="15380">
      <c r="F15380" s="17"/>
    </row>
    <row r="15381">
      <c r="F15381" s="17"/>
    </row>
    <row r="15382">
      <c r="F15382" s="17"/>
    </row>
    <row r="15383">
      <c r="F15383" s="17"/>
    </row>
    <row r="15384">
      <c r="F15384" s="17"/>
    </row>
    <row r="15385">
      <c r="F15385" s="17"/>
    </row>
    <row r="15386">
      <c r="F15386" s="17"/>
    </row>
    <row r="15387">
      <c r="F15387" s="17"/>
    </row>
    <row r="15388">
      <c r="F15388" s="17"/>
    </row>
    <row r="15389">
      <c r="F15389" s="17"/>
    </row>
    <row r="15390">
      <c r="F15390" s="17"/>
    </row>
    <row r="15391">
      <c r="F15391" s="17"/>
    </row>
    <row r="15392">
      <c r="F15392" s="17"/>
    </row>
    <row r="15393">
      <c r="F15393" s="17"/>
    </row>
    <row r="15394">
      <c r="F15394" s="17"/>
    </row>
    <row r="15395">
      <c r="F15395" s="17"/>
    </row>
    <row r="15396">
      <c r="F15396" s="17"/>
    </row>
    <row r="15397">
      <c r="F15397" s="17"/>
    </row>
    <row r="15398">
      <c r="F15398" s="17"/>
    </row>
    <row r="15399">
      <c r="F15399" s="17"/>
    </row>
    <row r="15400">
      <c r="F15400" s="17"/>
    </row>
    <row r="15401">
      <c r="F15401" s="17"/>
    </row>
    <row r="15402">
      <c r="F15402" s="17"/>
    </row>
    <row r="15403">
      <c r="F15403" s="17"/>
    </row>
    <row r="15404">
      <c r="F15404" s="17"/>
    </row>
    <row r="15405">
      <c r="F15405" s="17"/>
    </row>
    <row r="15406">
      <c r="F15406" s="17"/>
    </row>
    <row r="15407">
      <c r="F15407" s="17"/>
    </row>
    <row r="15408">
      <c r="F15408" s="17"/>
    </row>
    <row r="15409">
      <c r="F15409" s="17"/>
    </row>
    <row r="15410">
      <c r="F15410" s="17"/>
    </row>
    <row r="15411">
      <c r="F15411" s="17"/>
    </row>
    <row r="15412">
      <c r="F15412" s="17"/>
    </row>
    <row r="15413">
      <c r="F15413" s="17"/>
    </row>
    <row r="15414">
      <c r="F15414" s="17"/>
    </row>
    <row r="15415">
      <c r="F15415" s="17"/>
    </row>
    <row r="15416">
      <c r="F15416" s="17"/>
    </row>
    <row r="15417">
      <c r="F15417" s="17"/>
    </row>
    <row r="15418">
      <c r="F15418" s="17"/>
    </row>
    <row r="15419">
      <c r="F15419" s="17"/>
    </row>
    <row r="15420">
      <c r="F15420" s="17"/>
    </row>
    <row r="15421">
      <c r="F15421" s="17"/>
    </row>
    <row r="15422">
      <c r="F15422" s="17"/>
    </row>
    <row r="15423">
      <c r="F15423" s="17"/>
    </row>
    <row r="15424">
      <c r="F15424" s="17"/>
    </row>
    <row r="15425">
      <c r="F15425" s="17"/>
    </row>
    <row r="15426">
      <c r="F15426" s="17"/>
    </row>
    <row r="15427">
      <c r="F15427" s="17"/>
    </row>
    <row r="15428">
      <c r="F15428" s="17"/>
    </row>
    <row r="15429">
      <c r="F15429" s="17"/>
    </row>
    <row r="15430">
      <c r="F15430" s="17"/>
    </row>
    <row r="15431">
      <c r="F15431" s="17"/>
    </row>
    <row r="15432">
      <c r="F15432" s="17"/>
    </row>
    <row r="15433">
      <c r="F15433" s="17"/>
    </row>
    <row r="15434">
      <c r="F15434" s="17"/>
    </row>
    <row r="15435">
      <c r="F15435" s="17"/>
    </row>
    <row r="15436">
      <c r="F15436" s="17"/>
    </row>
    <row r="15437">
      <c r="F15437" s="17"/>
    </row>
    <row r="15438">
      <c r="F15438" s="17"/>
    </row>
    <row r="15439">
      <c r="F15439" s="17"/>
    </row>
    <row r="15440">
      <c r="F15440" s="17"/>
    </row>
    <row r="15441">
      <c r="F15441" s="17"/>
    </row>
    <row r="15442">
      <c r="F15442" s="17"/>
    </row>
    <row r="15443">
      <c r="F15443" s="17"/>
    </row>
    <row r="15444">
      <c r="F15444" s="17"/>
    </row>
    <row r="15445">
      <c r="F15445" s="17"/>
    </row>
    <row r="15446">
      <c r="F15446" s="17"/>
    </row>
    <row r="15447">
      <c r="F15447" s="17"/>
    </row>
    <row r="15448">
      <c r="F15448" s="17"/>
    </row>
    <row r="15449">
      <c r="F15449" s="17"/>
    </row>
    <row r="15450">
      <c r="F15450" s="17"/>
    </row>
    <row r="15451">
      <c r="F15451" s="17"/>
    </row>
    <row r="15452">
      <c r="F15452" s="17"/>
    </row>
    <row r="15453">
      <c r="F15453" s="17"/>
    </row>
    <row r="15454">
      <c r="F15454" s="17"/>
    </row>
    <row r="15455">
      <c r="F15455" s="17"/>
    </row>
    <row r="15456">
      <c r="F15456" s="17"/>
    </row>
    <row r="15457">
      <c r="F15457" s="17"/>
    </row>
    <row r="15458">
      <c r="F15458" s="17"/>
    </row>
    <row r="15459">
      <c r="F15459" s="17"/>
    </row>
    <row r="15460">
      <c r="F15460" s="17"/>
    </row>
    <row r="15461">
      <c r="F15461" s="17"/>
    </row>
    <row r="15462">
      <c r="F15462" s="17"/>
    </row>
    <row r="15463">
      <c r="F15463" s="17"/>
    </row>
    <row r="15464">
      <c r="F15464" s="17"/>
    </row>
    <row r="15465">
      <c r="F15465" s="17"/>
    </row>
    <row r="15466">
      <c r="F15466" s="17"/>
    </row>
    <row r="15467">
      <c r="F15467" s="17"/>
    </row>
    <row r="15468">
      <c r="F15468" s="17"/>
    </row>
    <row r="15469">
      <c r="F15469" s="17"/>
    </row>
    <row r="15470">
      <c r="F15470" s="17"/>
    </row>
    <row r="15471">
      <c r="F15471" s="17"/>
    </row>
    <row r="15472">
      <c r="F15472" s="17"/>
    </row>
    <row r="15473">
      <c r="F15473" s="17"/>
    </row>
    <row r="15474">
      <c r="F15474" s="17"/>
    </row>
    <row r="15475">
      <c r="F15475" s="17"/>
    </row>
    <row r="15476">
      <c r="F15476" s="17"/>
    </row>
    <row r="15477">
      <c r="F15477" s="17"/>
    </row>
    <row r="15478">
      <c r="F15478" s="17"/>
    </row>
    <row r="15479">
      <c r="F15479" s="17"/>
    </row>
    <row r="15480">
      <c r="F15480" s="17"/>
    </row>
    <row r="15481">
      <c r="F15481" s="17"/>
    </row>
    <row r="15482">
      <c r="F15482" s="17"/>
    </row>
    <row r="15483">
      <c r="F15483" s="17"/>
    </row>
    <row r="15484">
      <c r="F15484" s="17"/>
    </row>
    <row r="15485">
      <c r="F15485" s="17"/>
    </row>
    <row r="15486">
      <c r="F15486" s="17"/>
    </row>
    <row r="15487">
      <c r="F15487" s="17"/>
    </row>
    <row r="15488">
      <c r="F15488" s="17"/>
    </row>
    <row r="15489">
      <c r="F15489" s="17"/>
    </row>
    <row r="15490">
      <c r="F15490" s="17"/>
    </row>
    <row r="15491">
      <c r="F15491" s="17"/>
    </row>
    <row r="15492">
      <c r="F15492" s="17"/>
    </row>
    <row r="15493">
      <c r="F15493" s="17"/>
    </row>
    <row r="15494">
      <c r="F15494" s="17"/>
    </row>
    <row r="15495">
      <c r="F15495" s="17"/>
    </row>
    <row r="15496">
      <c r="F15496" s="17"/>
    </row>
    <row r="15497">
      <c r="F15497" s="17"/>
    </row>
    <row r="15498">
      <c r="F15498" s="17"/>
    </row>
    <row r="15499">
      <c r="F15499" s="17"/>
    </row>
    <row r="15500">
      <c r="F15500" s="17"/>
    </row>
    <row r="15501">
      <c r="F15501" s="17"/>
    </row>
    <row r="15502">
      <c r="F15502" s="17"/>
    </row>
    <row r="15503">
      <c r="F15503" s="17"/>
    </row>
    <row r="15504">
      <c r="F15504" s="17"/>
    </row>
    <row r="15505">
      <c r="F15505" s="17"/>
    </row>
    <row r="15506">
      <c r="F15506" s="17"/>
    </row>
    <row r="15507">
      <c r="F15507" s="17"/>
    </row>
    <row r="15508">
      <c r="F15508" s="17"/>
    </row>
    <row r="15509">
      <c r="F15509" s="17"/>
    </row>
    <row r="15510">
      <c r="F15510" s="17"/>
    </row>
    <row r="15511">
      <c r="F15511" s="17"/>
    </row>
    <row r="15512">
      <c r="F15512" s="17"/>
    </row>
    <row r="15513">
      <c r="F15513" s="17"/>
    </row>
    <row r="15514">
      <c r="F15514" s="17"/>
    </row>
    <row r="15515">
      <c r="F15515" s="17"/>
    </row>
    <row r="15516">
      <c r="F15516" s="17"/>
    </row>
    <row r="15517">
      <c r="F15517" s="17"/>
    </row>
    <row r="15518">
      <c r="F15518" s="17"/>
    </row>
    <row r="15519">
      <c r="F15519" s="17"/>
    </row>
    <row r="15520">
      <c r="F15520" s="17"/>
    </row>
    <row r="15521">
      <c r="F15521" s="17"/>
    </row>
    <row r="15522">
      <c r="F15522" s="17"/>
    </row>
    <row r="15523">
      <c r="F15523" s="17"/>
    </row>
    <row r="15524">
      <c r="F15524" s="17"/>
    </row>
    <row r="15525">
      <c r="F15525" s="17"/>
    </row>
    <row r="15526">
      <c r="F15526" s="17"/>
    </row>
    <row r="15527">
      <c r="F15527" s="17"/>
    </row>
    <row r="15528">
      <c r="F15528" s="17"/>
    </row>
    <row r="15529">
      <c r="F15529" s="17"/>
    </row>
    <row r="15530">
      <c r="F15530" s="17"/>
    </row>
    <row r="15531">
      <c r="F15531" s="17"/>
    </row>
    <row r="15532">
      <c r="F15532" s="17"/>
    </row>
    <row r="15533">
      <c r="F15533" s="17"/>
    </row>
    <row r="15534">
      <c r="F15534" s="17"/>
    </row>
    <row r="15535">
      <c r="F15535" s="17"/>
    </row>
    <row r="15536">
      <c r="F15536" s="17"/>
    </row>
    <row r="15537">
      <c r="F15537" s="17"/>
    </row>
    <row r="15538">
      <c r="F15538" s="17"/>
    </row>
    <row r="15539">
      <c r="F15539" s="17"/>
    </row>
    <row r="15540">
      <c r="F15540" s="17"/>
    </row>
    <row r="15541">
      <c r="F15541" s="17"/>
    </row>
    <row r="15542">
      <c r="F15542" s="17"/>
    </row>
    <row r="15543">
      <c r="F15543" s="17"/>
    </row>
    <row r="15544">
      <c r="F15544" s="17"/>
    </row>
    <row r="15545">
      <c r="F15545" s="17"/>
    </row>
    <row r="15546">
      <c r="F15546" s="17"/>
    </row>
    <row r="15547">
      <c r="F15547" s="17"/>
    </row>
    <row r="15548">
      <c r="F15548" s="17"/>
    </row>
    <row r="15549">
      <c r="F15549" s="17"/>
    </row>
    <row r="15550">
      <c r="F15550" s="17"/>
    </row>
    <row r="15551">
      <c r="F15551" s="17"/>
    </row>
    <row r="15552">
      <c r="F15552" s="17"/>
    </row>
    <row r="15553">
      <c r="F15553" s="17"/>
    </row>
    <row r="15554">
      <c r="F15554" s="17"/>
    </row>
    <row r="15555">
      <c r="F15555" s="17"/>
    </row>
    <row r="15556">
      <c r="F15556" s="17"/>
    </row>
    <row r="15557">
      <c r="F15557" s="17"/>
    </row>
    <row r="15558">
      <c r="F15558" s="17"/>
    </row>
    <row r="15559">
      <c r="F15559" s="17"/>
    </row>
    <row r="15560">
      <c r="F15560" s="17"/>
    </row>
    <row r="15561">
      <c r="F15561" s="17"/>
    </row>
    <row r="15562">
      <c r="F15562" s="17"/>
    </row>
    <row r="15563">
      <c r="F15563" s="17"/>
    </row>
    <row r="15564">
      <c r="F15564" s="17"/>
    </row>
    <row r="15565">
      <c r="F15565" s="17"/>
    </row>
    <row r="15566">
      <c r="F15566" s="17"/>
    </row>
    <row r="15567">
      <c r="F15567" s="17"/>
    </row>
    <row r="15568">
      <c r="F15568" s="17"/>
    </row>
    <row r="15569">
      <c r="F15569" s="17"/>
    </row>
    <row r="15570">
      <c r="F15570" s="17"/>
    </row>
    <row r="15571">
      <c r="F15571" s="17"/>
    </row>
    <row r="15572">
      <c r="F15572" s="17"/>
    </row>
    <row r="15573">
      <c r="F15573" s="17"/>
    </row>
    <row r="15574">
      <c r="F15574" s="17"/>
    </row>
    <row r="15575">
      <c r="F15575" s="17"/>
    </row>
    <row r="15576">
      <c r="F15576" s="17"/>
    </row>
    <row r="15577">
      <c r="F15577" s="17"/>
    </row>
    <row r="15578">
      <c r="F15578" s="17"/>
    </row>
    <row r="15579">
      <c r="F15579" s="17"/>
    </row>
    <row r="15580">
      <c r="F15580" s="17"/>
    </row>
    <row r="15581">
      <c r="F15581" s="17"/>
    </row>
    <row r="15582">
      <c r="F15582" s="17"/>
    </row>
    <row r="15583">
      <c r="F15583" s="17"/>
    </row>
    <row r="15584">
      <c r="F15584" s="17"/>
    </row>
    <row r="15585">
      <c r="F15585" s="17"/>
    </row>
    <row r="15586">
      <c r="F15586" s="17"/>
    </row>
    <row r="15587">
      <c r="F15587" s="17"/>
    </row>
    <row r="15588">
      <c r="F15588" s="17"/>
    </row>
    <row r="15589">
      <c r="F15589" s="17"/>
    </row>
    <row r="15590">
      <c r="F15590" s="17"/>
    </row>
    <row r="15591">
      <c r="F15591" s="17"/>
    </row>
    <row r="15592">
      <c r="F15592" s="17"/>
    </row>
    <row r="15593">
      <c r="F15593" s="17"/>
    </row>
    <row r="15594">
      <c r="F15594" s="17"/>
    </row>
    <row r="15595">
      <c r="F15595" s="17"/>
    </row>
    <row r="15596">
      <c r="F15596" s="17"/>
    </row>
    <row r="15597">
      <c r="F15597" s="17"/>
    </row>
    <row r="15598">
      <c r="F15598" s="17"/>
    </row>
    <row r="15599">
      <c r="F15599" s="17"/>
    </row>
    <row r="15600">
      <c r="F15600" s="17"/>
    </row>
    <row r="15601">
      <c r="F15601" s="17"/>
    </row>
    <row r="15602">
      <c r="F15602" s="17"/>
    </row>
    <row r="15603">
      <c r="F15603" s="17"/>
    </row>
    <row r="15604">
      <c r="F15604" s="17"/>
    </row>
    <row r="15605">
      <c r="F15605" s="17"/>
    </row>
    <row r="15606">
      <c r="F15606" s="17"/>
    </row>
    <row r="15607">
      <c r="F15607" s="17"/>
    </row>
    <row r="15608">
      <c r="F15608" s="17"/>
    </row>
    <row r="15609">
      <c r="F15609" s="17"/>
    </row>
    <row r="15610">
      <c r="F15610" s="17"/>
    </row>
    <row r="15611">
      <c r="F15611" s="17"/>
    </row>
    <row r="15612">
      <c r="F15612" s="17"/>
    </row>
    <row r="15613">
      <c r="F15613" s="17"/>
    </row>
    <row r="15614">
      <c r="F15614" s="17"/>
    </row>
    <row r="15615">
      <c r="F15615" s="17"/>
    </row>
    <row r="15616">
      <c r="F15616" s="17"/>
    </row>
    <row r="15617">
      <c r="F15617" s="17"/>
    </row>
    <row r="15618">
      <c r="F15618" s="17"/>
    </row>
    <row r="15619">
      <c r="F15619" s="17"/>
    </row>
    <row r="15620">
      <c r="F15620" s="17"/>
    </row>
    <row r="15621">
      <c r="F15621" s="17"/>
    </row>
    <row r="15622">
      <c r="F15622" s="17"/>
    </row>
    <row r="15623">
      <c r="F15623" s="17"/>
    </row>
    <row r="15624">
      <c r="F15624" s="17"/>
    </row>
    <row r="15625">
      <c r="F15625" s="17"/>
    </row>
    <row r="15626">
      <c r="F15626" s="17"/>
    </row>
    <row r="15627">
      <c r="F15627" s="17"/>
    </row>
    <row r="15628">
      <c r="F15628" s="17"/>
    </row>
    <row r="15629">
      <c r="F15629" s="17"/>
    </row>
    <row r="15630">
      <c r="F15630" s="17"/>
    </row>
    <row r="15631">
      <c r="F15631" s="17"/>
    </row>
    <row r="15632">
      <c r="F15632" s="17"/>
    </row>
    <row r="15633">
      <c r="F15633" s="17"/>
    </row>
    <row r="15634">
      <c r="F15634" s="17"/>
    </row>
    <row r="15635">
      <c r="F15635" s="17"/>
    </row>
    <row r="15636">
      <c r="F15636" s="17"/>
    </row>
    <row r="15637">
      <c r="F15637" s="17"/>
    </row>
    <row r="15638">
      <c r="F15638" s="17"/>
    </row>
    <row r="15639">
      <c r="F15639" s="17"/>
    </row>
    <row r="15640">
      <c r="F15640" s="17"/>
    </row>
    <row r="15641">
      <c r="F15641" s="17"/>
    </row>
    <row r="15642">
      <c r="F15642" s="17"/>
    </row>
    <row r="15643">
      <c r="F15643" s="17"/>
    </row>
    <row r="15644">
      <c r="F15644" s="17"/>
    </row>
    <row r="15645">
      <c r="F15645" s="17"/>
    </row>
    <row r="15646">
      <c r="F15646" s="17"/>
    </row>
    <row r="15647">
      <c r="F15647" s="17"/>
    </row>
    <row r="15648">
      <c r="F15648" s="17"/>
    </row>
    <row r="15649">
      <c r="F15649" s="17"/>
    </row>
    <row r="15650">
      <c r="F15650" s="17"/>
    </row>
    <row r="15651">
      <c r="F15651" s="17"/>
    </row>
    <row r="15652">
      <c r="F15652" s="17"/>
    </row>
    <row r="15653">
      <c r="F15653" s="17"/>
    </row>
    <row r="15654">
      <c r="F15654" s="17"/>
    </row>
    <row r="15655">
      <c r="F15655" s="17"/>
    </row>
    <row r="15656">
      <c r="F15656" s="17"/>
    </row>
    <row r="15657">
      <c r="F15657" s="17"/>
    </row>
    <row r="15658">
      <c r="F15658" s="17"/>
    </row>
    <row r="15659">
      <c r="F15659" s="17"/>
    </row>
    <row r="15660">
      <c r="F15660" s="17"/>
    </row>
    <row r="15661">
      <c r="F15661" s="17"/>
    </row>
    <row r="15662">
      <c r="F15662" s="17"/>
    </row>
    <row r="15663">
      <c r="F15663" s="17"/>
    </row>
    <row r="15664">
      <c r="F15664" s="17"/>
    </row>
    <row r="15665">
      <c r="F15665" s="17"/>
    </row>
    <row r="15666">
      <c r="F15666" s="17"/>
    </row>
    <row r="15667">
      <c r="F15667" s="17"/>
    </row>
    <row r="15668">
      <c r="F15668" s="17"/>
    </row>
    <row r="15669">
      <c r="F15669" s="17"/>
    </row>
    <row r="15670">
      <c r="F15670" s="17"/>
    </row>
    <row r="15671">
      <c r="F15671" s="17"/>
    </row>
    <row r="15672">
      <c r="F15672" s="17"/>
    </row>
    <row r="15673">
      <c r="F15673" s="17"/>
    </row>
    <row r="15674">
      <c r="F15674" s="17"/>
    </row>
    <row r="15675">
      <c r="F15675" s="17"/>
    </row>
    <row r="15676">
      <c r="F15676" s="17"/>
    </row>
    <row r="15677">
      <c r="F15677" s="17"/>
    </row>
    <row r="15678">
      <c r="F15678" s="17"/>
    </row>
    <row r="15679">
      <c r="F15679" s="17"/>
    </row>
    <row r="15680">
      <c r="F15680" s="17"/>
    </row>
    <row r="15681">
      <c r="F15681" s="17"/>
    </row>
    <row r="15682">
      <c r="F15682" s="17"/>
    </row>
    <row r="15683">
      <c r="F15683" s="17"/>
    </row>
    <row r="15684">
      <c r="F15684" s="17"/>
    </row>
    <row r="15685">
      <c r="F15685" s="17"/>
    </row>
    <row r="15686">
      <c r="F15686" s="17"/>
    </row>
    <row r="15687">
      <c r="F15687" s="17"/>
    </row>
    <row r="15688">
      <c r="F15688" s="17"/>
    </row>
    <row r="15689">
      <c r="F15689" s="17"/>
    </row>
    <row r="15690">
      <c r="F15690" s="17"/>
    </row>
    <row r="15691">
      <c r="F15691" s="17"/>
    </row>
    <row r="15692">
      <c r="F15692" s="17"/>
    </row>
    <row r="15693">
      <c r="F15693" s="17"/>
    </row>
    <row r="15694">
      <c r="F15694" s="17"/>
    </row>
    <row r="15695">
      <c r="F15695" s="17"/>
    </row>
    <row r="15696">
      <c r="F15696" s="17"/>
    </row>
    <row r="15697">
      <c r="F15697" s="17"/>
    </row>
    <row r="15698">
      <c r="F15698" s="17"/>
    </row>
    <row r="15699">
      <c r="F15699" s="17"/>
    </row>
    <row r="15700">
      <c r="F15700" s="17"/>
    </row>
    <row r="15701">
      <c r="F15701" s="17"/>
    </row>
    <row r="15702">
      <c r="F15702" s="17"/>
    </row>
    <row r="15703">
      <c r="F15703" s="17"/>
    </row>
    <row r="15704">
      <c r="F15704" s="17"/>
    </row>
    <row r="15705">
      <c r="F15705" s="17"/>
    </row>
    <row r="15706">
      <c r="F15706" s="17"/>
    </row>
    <row r="15707">
      <c r="F15707" s="17"/>
    </row>
    <row r="15708">
      <c r="F15708" s="17"/>
    </row>
    <row r="15709">
      <c r="F15709" s="17"/>
    </row>
    <row r="15710">
      <c r="F15710" s="17"/>
    </row>
    <row r="15711">
      <c r="F15711" s="17"/>
    </row>
    <row r="15712">
      <c r="F15712" s="17"/>
    </row>
    <row r="15713">
      <c r="F15713" s="17"/>
    </row>
    <row r="15714">
      <c r="F15714" s="17"/>
    </row>
    <row r="15715">
      <c r="F15715" s="17"/>
    </row>
    <row r="15716">
      <c r="F15716" s="17"/>
    </row>
    <row r="15717">
      <c r="F15717" s="17"/>
    </row>
    <row r="15718">
      <c r="F15718" s="17"/>
    </row>
    <row r="15719">
      <c r="F15719" s="17"/>
    </row>
    <row r="15720">
      <c r="F15720" s="17"/>
    </row>
    <row r="15721">
      <c r="F15721" s="17"/>
    </row>
    <row r="15722">
      <c r="F15722" s="17"/>
    </row>
    <row r="15723">
      <c r="F15723" s="17"/>
    </row>
    <row r="15724">
      <c r="F15724" s="17"/>
    </row>
    <row r="15725">
      <c r="F15725" s="17"/>
    </row>
    <row r="15726">
      <c r="F15726" s="17"/>
    </row>
    <row r="15727">
      <c r="F15727" s="17"/>
    </row>
    <row r="15728">
      <c r="F15728" s="17"/>
    </row>
    <row r="15729">
      <c r="F15729" s="17"/>
    </row>
    <row r="15730">
      <c r="F15730" s="17"/>
    </row>
    <row r="15731">
      <c r="F15731" s="17"/>
    </row>
    <row r="15732">
      <c r="F15732" s="17"/>
    </row>
    <row r="15733">
      <c r="F15733" s="17"/>
    </row>
    <row r="15734">
      <c r="F15734" s="17"/>
    </row>
    <row r="15735">
      <c r="F15735" s="17"/>
    </row>
    <row r="15736">
      <c r="F15736" s="17"/>
    </row>
    <row r="15737">
      <c r="F15737" s="17"/>
    </row>
    <row r="15738">
      <c r="F15738" s="17"/>
    </row>
    <row r="15739">
      <c r="F15739" s="17"/>
    </row>
    <row r="15740">
      <c r="F15740" s="17"/>
    </row>
    <row r="15741">
      <c r="F15741" s="17"/>
    </row>
    <row r="15742">
      <c r="F15742" s="17"/>
    </row>
    <row r="15743">
      <c r="F15743" s="17"/>
    </row>
    <row r="15744">
      <c r="F15744" s="17"/>
    </row>
    <row r="15745">
      <c r="F15745" s="17"/>
    </row>
    <row r="15746">
      <c r="F15746" s="17"/>
    </row>
    <row r="15747">
      <c r="F15747" s="17"/>
    </row>
    <row r="15748">
      <c r="F15748" s="17"/>
    </row>
    <row r="15749">
      <c r="F15749" s="17"/>
    </row>
    <row r="15750">
      <c r="F15750" s="17"/>
    </row>
    <row r="15751">
      <c r="F15751" s="17"/>
    </row>
    <row r="15752">
      <c r="F15752" s="17"/>
    </row>
    <row r="15753">
      <c r="F15753" s="17"/>
    </row>
    <row r="15754">
      <c r="F15754" s="17"/>
    </row>
    <row r="15755">
      <c r="F15755" s="17"/>
    </row>
    <row r="15756">
      <c r="F15756" s="17"/>
    </row>
    <row r="15757">
      <c r="F15757" s="17"/>
    </row>
    <row r="15758">
      <c r="F15758" s="17"/>
    </row>
    <row r="15759">
      <c r="F15759" s="17"/>
    </row>
    <row r="15760">
      <c r="F15760" s="17"/>
    </row>
    <row r="15761">
      <c r="F15761" s="17"/>
    </row>
    <row r="15762">
      <c r="F15762" s="17"/>
    </row>
    <row r="15763">
      <c r="F15763" s="17"/>
    </row>
    <row r="15764">
      <c r="F15764" s="17"/>
    </row>
    <row r="15765">
      <c r="F15765" s="17"/>
    </row>
    <row r="15766">
      <c r="F15766" s="17"/>
    </row>
    <row r="15767">
      <c r="F15767" s="17"/>
    </row>
    <row r="15768">
      <c r="F15768" s="17"/>
    </row>
    <row r="15769">
      <c r="F15769" s="17"/>
    </row>
    <row r="15770">
      <c r="F15770" s="17"/>
    </row>
    <row r="15771">
      <c r="F15771" s="17"/>
    </row>
    <row r="15772">
      <c r="F15772" s="17"/>
    </row>
    <row r="15773">
      <c r="F15773" s="17"/>
    </row>
    <row r="15774">
      <c r="F15774" s="17"/>
    </row>
    <row r="15775">
      <c r="F15775" s="17"/>
    </row>
    <row r="15776">
      <c r="F15776" s="17"/>
    </row>
    <row r="15777">
      <c r="F15777" s="17"/>
    </row>
    <row r="15778">
      <c r="F15778" s="17"/>
    </row>
    <row r="15779">
      <c r="F15779" s="17"/>
    </row>
    <row r="15780">
      <c r="F15780" s="17"/>
    </row>
    <row r="15781">
      <c r="F15781" s="17"/>
    </row>
    <row r="15782">
      <c r="F15782" s="17"/>
    </row>
    <row r="15783">
      <c r="F15783" s="17"/>
    </row>
    <row r="15784">
      <c r="F15784" s="17"/>
    </row>
    <row r="15785">
      <c r="F15785" s="17"/>
    </row>
    <row r="15786">
      <c r="F15786" s="17"/>
    </row>
    <row r="15787">
      <c r="F15787" s="17"/>
    </row>
    <row r="15788">
      <c r="F15788" s="17"/>
    </row>
    <row r="15789">
      <c r="F15789" s="17"/>
    </row>
    <row r="15790">
      <c r="F15790" s="17"/>
    </row>
    <row r="15791">
      <c r="F15791" s="17"/>
    </row>
    <row r="15792">
      <c r="F15792" s="17"/>
    </row>
    <row r="15793">
      <c r="F15793" s="17"/>
    </row>
    <row r="15794">
      <c r="F15794" s="17"/>
    </row>
    <row r="15795">
      <c r="F15795" s="17"/>
    </row>
    <row r="15796">
      <c r="F15796" s="17"/>
    </row>
    <row r="15797">
      <c r="F15797" s="17"/>
    </row>
    <row r="15798">
      <c r="F15798" s="17"/>
    </row>
    <row r="15799">
      <c r="F15799" s="17"/>
    </row>
    <row r="15800">
      <c r="F15800" s="17"/>
    </row>
    <row r="15801">
      <c r="F15801" s="17"/>
    </row>
    <row r="15802">
      <c r="F15802" s="17"/>
    </row>
    <row r="15803">
      <c r="F15803" s="17"/>
    </row>
    <row r="15804">
      <c r="F15804" s="17"/>
    </row>
    <row r="15805">
      <c r="F15805" s="17"/>
    </row>
    <row r="15806">
      <c r="F15806" s="17"/>
    </row>
    <row r="15807">
      <c r="F15807" s="17"/>
    </row>
    <row r="15808">
      <c r="F15808" s="17"/>
    </row>
    <row r="15809">
      <c r="F15809" s="17"/>
    </row>
    <row r="15810">
      <c r="F15810" s="17"/>
    </row>
    <row r="15811">
      <c r="F15811" s="17"/>
    </row>
    <row r="15812">
      <c r="F15812" s="17"/>
    </row>
    <row r="15813">
      <c r="F15813" s="17"/>
    </row>
    <row r="15814">
      <c r="F15814" s="17"/>
    </row>
    <row r="15815">
      <c r="F15815" s="17"/>
    </row>
    <row r="15816">
      <c r="F15816" s="17"/>
    </row>
    <row r="15817">
      <c r="F15817" s="17"/>
    </row>
    <row r="15818">
      <c r="F15818" s="17"/>
    </row>
    <row r="15819">
      <c r="F15819" s="17"/>
    </row>
    <row r="15820">
      <c r="F15820" s="17"/>
    </row>
    <row r="15821">
      <c r="F15821" s="17"/>
    </row>
    <row r="15822">
      <c r="F15822" s="17"/>
    </row>
    <row r="15823">
      <c r="F15823" s="17"/>
    </row>
    <row r="15824">
      <c r="F15824" s="17"/>
    </row>
    <row r="15825">
      <c r="F15825" s="17"/>
    </row>
    <row r="15826">
      <c r="F15826" s="17"/>
    </row>
    <row r="15827">
      <c r="F15827" s="17"/>
    </row>
    <row r="15828">
      <c r="F15828" s="17"/>
    </row>
    <row r="15829">
      <c r="F15829" s="17"/>
    </row>
    <row r="15830">
      <c r="F15830" s="17"/>
    </row>
    <row r="15831">
      <c r="F15831" s="17"/>
    </row>
    <row r="15832">
      <c r="F15832" s="17"/>
    </row>
    <row r="15833">
      <c r="F15833" s="17"/>
    </row>
    <row r="15834">
      <c r="F15834" s="17"/>
    </row>
    <row r="15835">
      <c r="F15835" s="17"/>
    </row>
    <row r="15836">
      <c r="F15836" s="17"/>
    </row>
    <row r="15837">
      <c r="F15837" s="17"/>
    </row>
    <row r="15838">
      <c r="F15838" s="17"/>
    </row>
    <row r="15839">
      <c r="F15839" s="17"/>
    </row>
    <row r="15840">
      <c r="F15840" s="17"/>
    </row>
    <row r="15841">
      <c r="F15841" s="17"/>
    </row>
    <row r="15842">
      <c r="F15842" s="17"/>
    </row>
    <row r="15843">
      <c r="F15843" s="17"/>
    </row>
    <row r="15844">
      <c r="F15844" s="17"/>
    </row>
    <row r="15845">
      <c r="F15845" s="17"/>
    </row>
    <row r="15846">
      <c r="F15846" s="17"/>
    </row>
    <row r="15847">
      <c r="F15847" s="17"/>
    </row>
    <row r="15848">
      <c r="F15848" s="17"/>
    </row>
    <row r="15849">
      <c r="F15849" s="17"/>
    </row>
    <row r="15850">
      <c r="F15850" s="17"/>
    </row>
    <row r="15851">
      <c r="F15851" s="17"/>
    </row>
    <row r="15852">
      <c r="F15852" s="17"/>
    </row>
    <row r="15853">
      <c r="F15853" s="17"/>
    </row>
    <row r="15854">
      <c r="F15854" s="17"/>
    </row>
    <row r="15855">
      <c r="F15855" s="17"/>
    </row>
    <row r="15856">
      <c r="F15856" s="17"/>
    </row>
    <row r="15857">
      <c r="F15857" s="17"/>
    </row>
    <row r="15858">
      <c r="F15858" s="17"/>
    </row>
    <row r="15859">
      <c r="F15859" s="17"/>
    </row>
    <row r="15860">
      <c r="F15860" s="17"/>
    </row>
    <row r="15861">
      <c r="F15861" s="17"/>
    </row>
    <row r="15862">
      <c r="F15862" s="17"/>
    </row>
    <row r="15863">
      <c r="F15863" s="17"/>
    </row>
    <row r="15864">
      <c r="F15864" s="17"/>
    </row>
    <row r="15865">
      <c r="F15865" s="17"/>
    </row>
    <row r="15866">
      <c r="F15866" s="17"/>
    </row>
    <row r="15867">
      <c r="F15867" s="17"/>
    </row>
    <row r="15868">
      <c r="F15868" s="17"/>
    </row>
    <row r="15869">
      <c r="F15869" s="17"/>
    </row>
    <row r="15870">
      <c r="F15870" s="17"/>
    </row>
    <row r="15871">
      <c r="F15871" s="17"/>
    </row>
    <row r="15872">
      <c r="F15872" s="17"/>
    </row>
    <row r="15873">
      <c r="F15873" s="17"/>
    </row>
    <row r="15874">
      <c r="F15874" s="17"/>
    </row>
    <row r="15875">
      <c r="F15875" s="17"/>
    </row>
    <row r="15876">
      <c r="F15876" s="17"/>
    </row>
    <row r="15877">
      <c r="F15877" s="17"/>
    </row>
    <row r="15878">
      <c r="F15878" s="17"/>
    </row>
    <row r="15879">
      <c r="F15879" s="17"/>
    </row>
    <row r="15880">
      <c r="F15880" s="17"/>
    </row>
    <row r="15881">
      <c r="F15881" s="17"/>
    </row>
    <row r="15882">
      <c r="F15882" s="17"/>
    </row>
    <row r="15883">
      <c r="F15883" s="17"/>
    </row>
    <row r="15884">
      <c r="F15884" s="17"/>
    </row>
    <row r="15885">
      <c r="F15885" s="17"/>
    </row>
    <row r="15886">
      <c r="F15886" s="17"/>
    </row>
    <row r="15887">
      <c r="F15887" s="17"/>
    </row>
    <row r="15888">
      <c r="F15888" s="17"/>
    </row>
    <row r="15889">
      <c r="F15889" s="17"/>
    </row>
    <row r="15890">
      <c r="F15890" s="17"/>
    </row>
    <row r="15891">
      <c r="F15891" s="17"/>
    </row>
    <row r="15892">
      <c r="F15892" s="17"/>
    </row>
    <row r="15893">
      <c r="F15893" s="17"/>
    </row>
    <row r="15894">
      <c r="F15894" s="17"/>
    </row>
    <row r="15895">
      <c r="F15895" s="17"/>
    </row>
    <row r="15896">
      <c r="F15896" s="17"/>
    </row>
    <row r="15897">
      <c r="F15897" s="17"/>
    </row>
    <row r="15898">
      <c r="F15898" s="17"/>
    </row>
    <row r="15899">
      <c r="F15899" s="17"/>
    </row>
    <row r="15900">
      <c r="F15900" s="17"/>
    </row>
    <row r="15901">
      <c r="F15901" s="17"/>
    </row>
    <row r="15902">
      <c r="F15902" s="17"/>
    </row>
    <row r="15903">
      <c r="F15903" s="17"/>
    </row>
    <row r="15904">
      <c r="F15904" s="17"/>
    </row>
    <row r="15905">
      <c r="F15905" s="17"/>
    </row>
    <row r="15906">
      <c r="F15906" s="17"/>
    </row>
    <row r="15907">
      <c r="F15907" s="17"/>
    </row>
    <row r="15908">
      <c r="F15908" s="17"/>
    </row>
    <row r="15909">
      <c r="F15909" s="17"/>
    </row>
    <row r="15910">
      <c r="F15910" s="17"/>
    </row>
    <row r="15911">
      <c r="F15911" s="17"/>
    </row>
    <row r="15912">
      <c r="F15912" s="17"/>
    </row>
    <row r="15913">
      <c r="F15913" s="17"/>
    </row>
    <row r="15914">
      <c r="F15914" s="17"/>
    </row>
    <row r="15915">
      <c r="F15915" s="17"/>
    </row>
    <row r="15916">
      <c r="F15916" s="17"/>
    </row>
    <row r="15917">
      <c r="F15917" s="17"/>
    </row>
    <row r="15918">
      <c r="F15918" s="17"/>
    </row>
    <row r="15919">
      <c r="F15919" s="17"/>
    </row>
    <row r="15920">
      <c r="F15920" s="17"/>
    </row>
    <row r="15921">
      <c r="F15921" s="17"/>
    </row>
    <row r="15922">
      <c r="F15922" s="17"/>
    </row>
    <row r="15923">
      <c r="F15923" s="17"/>
    </row>
    <row r="15924">
      <c r="F15924" s="17"/>
    </row>
    <row r="15925">
      <c r="F15925" s="17"/>
    </row>
    <row r="15926">
      <c r="F15926" s="17"/>
    </row>
    <row r="15927">
      <c r="F15927" s="17"/>
    </row>
    <row r="15928">
      <c r="F15928" s="17"/>
    </row>
    <row r="15929">
      <c r="F15929" s="17"/>
    </row>
    <row r="15930">
      <c r="F15930" s="17"/>
    </row>
    <row r="15931">
      <c r="F15931" s="17"/>
    </row>
    <row r="15932">
      <c r="F15932" s="17"/>
    </row>
    <row r="15933">
      <c r="F15933" s="17"/>
    </row>
    <row r="15934">
      <c r="F15934" s="17"/>
    </row>
    <row r="15935">
      <c r="F15935" s="17"/>
    </row>
    <row r="15936">
      <c r="F15936" s="17"/>
    </row>
    <row r="15937">
      <c r="F15937" s="17"/>
    </row>
    <row r="15938">
      <c r="F15938" s="17"/>
    </row>
    <row r="15939">
      <c r="F15939" s="17"/>
    </row>
    <row r="15940">
      <c r="F15940" s="17"/>
    </row>
    <row r="15941">
      <c r="F15941" s="17"/>
    </row>
    <row r="15942">
      <c r="F15942" s="17"/>
    </row>
    <row r="15943">
      <c r="F15943" s="17"/>
    </row>
    <row r="15944">
      <c r="F15944" s="17"/>
    </row>
    <row r="15945">
      <c r="F15945" s="17"/>
    </row>
    <row r="15946">
      <c r="F15946" s="17"/>
    </row>
    <row r="15947">
      <c r="F15947" s="17"/>
    </row>
    <row r="15948">
      <c r="F15948" s="17"/>
    </row>
    <row r="15949">
      <c r="F15949" s="17"/>
    </row>
    <row r="15950">
      <c r="F15950" s="17"/>
    </row>
    <row r="15951">
      <c r="F15951" s="17"/>
    </row>
    <row r="15952">
      <c r="F15952" s="17"/>
    </row>
    <row r="15953">
      <c r="F15953" s="17"/>
    </row>
    <row r="15954">
      <c r="F15954" s="17"/>
    </row>
    <row r="15955">
      <c r="F15955" s="17"/>
    </row>
    <row r="15956">
      <c r="F15956" s="17"/>
    </row>
    <row r="15957">
      <c r="F15957" s="17"/>
    </row>
    <row r="15958">
      <c r="F15958" s="17"/>
    </row>
    <row r="15959">
      <c r="F15959" s="17"/>
    </row>
    <row r="15960">
      <c r="F15960" s="17"/>
    </row>
    <row r="15961">
      <c r="F15961" s="17"/>
    </row>
    <row r="15962">
      <c r="F15962" s="17"/>
    </row>
    <row r="15963">
      <c r="F15963" s="17"/>
    </row>
    <row r="15964">
      <c r="F15964" s="17"/>
    </row>
    <row r="15965">
      <c r="F15965" s="17"/>
    </row>
    <row r="15966">
      <c r="F15966" s="17"/>
    </row>
    <row r="15967">
      <c r="F15967" s="17"/>
    </row>
    <row r="15968">
      <c r="F15968" s="17"/>
    </row>
    <row r="15969">
      <c r="F15969" s="17"/>
    </row>
    <row r="15970">
      <c r="F15970" s="17"/>
    </row>
    <row r="15971">
      <c r="F15971" s="17"/>
    </row>
    <row r="15972">
      <c r="F15972" s="17"/>
    </row>
    <row r="15973">
      <c r="F15973" s="17"/>
    </row>
    <row r="15974">
      <c r="F15974" s="17"/>
    </row>
    <row r="15975">
      <c r="F15975" s="17"/>
    </row>
    <row r="15976">
      <c r="F15976" s="17"/>
    </row>
    <row r="15977">
      <c r="F15977" s="17"/>
    </row>
    <row r="15978">
      <c r="F15978" s="17"/>
    </row>
    <row r="15979">
      <c r="F15979" s="17"/>
    </row>
    <row r="15980">
      <c r="F15980" s="17"/>
    </row>
    <row r="15981">
      <c r="F15981" s="17"/>
    </row>
    <row r="15982">
      <c r="F15982" s="17"/>
    </row>
    <row r="15983">
      <c r="F15983" s="17"/>
    </row>
    <row r="15984">
      <c r="F15984" s="17"/>
    </row>
    <row r="15985">
      <c r="F15985" s="17"/>
    </row>
    <row r="15986">
      <c r="F15986" s="17"/>
    </row>
    <row r="15987">
      <c r="F15987" s="17"/>
    </row>
    <row r="15988">
      <c r="F15988" s="17"/>
    </row>
    <row r="15989">
      <c r="F15989" s="17"/>
    </row>
    <row r="15990">
      <c r="F15990" s="17"/>
    </row>
    <row r="15991">
      <c r="F15991" s="17"/>
    </row>
    <row r="15992">
      <c r="F15992" s="17"/>
    </row>
    <row r="15993">
      <c r="F15993" s="17"/>
    </row>
    <row r="15994">
      <c r="F15994" s="17"/>
    </row>
    <row r="15995">
      <c r="F15995" s="17"/>
    </row>
    <row r="15996">
      <c r="F15996" s="17"/>
    </row>
    <row r="15997">
      <c r="F15997" s="17"/>
    </row>
    <row r="15998">
      <c r="F15998" s="17"/>
    </row>
    <row r="15999">
      <c r="F15999" s="17"/>
    </row>
    <row r="16000">
      <c r="F16000" s="17"/>
    </row>
    <row r="16001">
      <c r="F16001" s="17"/>
    </row>
    <row r="16002">
      <c r="F16002" s="17"/>
    </row>
    <row r="16003">
      <c r="F16003" s="17"/>
    </row>
    <row r="16004">
      <c r="F16004" s="17"/>
    </row>
    <row r="16005">
      <c r="F16005" s="17"/>
    </row>
    <row r="16006">
      <c r="F16006" s="17"/>
    </row>
    <row r="16007">
      <c r="F16007" s="17"/>
    </row>
    <row r="16008">
      <c r="F16008" s="17"/>
    </row>
    <row r="16009">
      <c r="F16009" s="17"/>
    </row>
    <row r="16010">
      <c r="F16010" s="17"/>
    </row>
    <row r="16011">
      <c r="F16011" s="17"/>
    </row>
    <row r="16012">
      <c r="F16012" s="17"/>
    </row>
    <row r="16013">
      <c r="F16013" s="17"/>
    </row>
    <row r="16014">
      <c r="F16014" s="17"/>
    </row>
    <row r="16015">
      <c r="F16015" s="17"/>
    </row>
    <row r="16016">
      <c r="F16016" s="17"/>
    </row>
    <row r="16017">
      <c r="F16017" s="17"/>
    </row>
    <row r="16018">
      <c r="F16018" s="17"/>
    </row>
    <row r="16019">
      <c r="F16019" s="17"/>
    </row>
    <row r="16020">
      <c r="F16020" s="17"/>
    </row>
    <row r="16021">
      <c r="F16021" s="17"/>
    </row>
    <row r="16022">
      <c r="F16022" s="17"/>
    </row>
    <row r="16023">
      <c r="F16023" s="17"/>
    </row>
    <row r="16024">
      <c r="F16024" s="17"/>
    </row>
    <row r="16025">
      <c r="F16025" s="17"/>
    </row>
    <row r="16026">
      <c r="F16026" s="17"/>
    </row>
    <row r="16027">
      <c r="F16027" s="17"/>
    </row>
    <row r="16028">
      <c r="F16028" s="17"/>
    </row>
    <row r="16029">
      <c r="F16029" s="17"/>
    </row>
    <row r="16030">
      <c r="F16030" s="17"/>
    </row>
    <row r="16031">
      <c r="F16031" s="17"/>
    </row>
    <row r="16032">
      <c r="F16032" s="17"/>
    </row>
    <row r="16033">
      <c r="F16033" s="17"/>
    </row>
    <row r="16034">
      <c r="F16034" s="17"/>
    </row>
    <row r="16035">
      <c r="F16035" s="17"/>
    </row>
    <row r="16036">
      <c r="F16036" s="17"/>
    </row>
    <row r="16037">
      <c r="F16037" s="17"/>
    </row>
    <row r="16038">
      <c r="F16038" s="17"/>
    </row>
    <row r="16039">
      <c r="F16039" s="17"/>
    </row>
    <row r="16040">
      <c r="F16040" s="17"/>
    </row>
    <row r="16041">
      <c r="F16041" s="17"/>
    </row>
    <row r="16042">
      <c r="F16042" s="17"/>
    </row>
    <row r="16043">
      <c r="F16043" s="17"/>
    </row>
    <row r="16044">
      <c r="F16044" s="17"/>
    </row>
    <row r="16045">
      <c r="F16045" s="17"/>
    </row>
    <row r="16046">
      <c r="F16046" s="17"/>
    </row>
    <row r="16047">
      <c r="F16047" s="17"/>
    </row>
    <row r="16048">
      <c r="F16048" s="17"/>
    </row>
    <row r="16049">
      <c r="F16049" s="17"/>
    </row>
    <row r="16050">
      <c r="F16050" s="17"/>
    </row>
    <row r="16051">
      <c r="F16051" s="17"/>
    </row>
    <row r="16052">
      <c r="F16052" s="17"/>
    </row>
    <row r="16053">
      <c r="F16053" s="17"/>
    </row>
    <row r="16054">
      <c r="F16054" s="17"/>
    </row>
    <row r="16055">
      <c r="F16055" s="17"/>
    </row>
    <row r="16056">
      <c r="F16056" s="17"/>
    </row>
    <row r="16057">
      <c r="F16057" s="17"/>
    </row>
    <row r="16058">
      <c r="F16058" s="17"/>
    </row>
    <row r="16059">
      <c r="F16059" s="17"/>
    </row>
    <row r="16060">
      <c r="F16060" s="17"/>
    </row>
    <row r="16061">
      <c r="F16061" s="17"/>
    </row>
    <row r="16062">
      <c r="F16062" s="17"/>
    </row>
    <row r="16063">
      <c r="F16063" s="17"/>
    </row>
    <row r="16064">
      <c r="F16064" s="17"/>
    </row>
    <row r="16065">
      <c r="F16065" s="17"/>
    </row>
    <row r="16066">
      <c r="F16066" s="17"/>
    </row>
    <row r="16067">
      <c r="F16067" s="17"/>
    </row>
    <row r="16068">
      <c r="F16068" s="17"/>
    </row>
    <row r="16069">
      <c r="F16069" s="17"/>
    </row>
    <row r="16070">
      <c r="F16070" s="17"/>
    </row>
    <row r="16071">
      <c r="F16071" s="17"/>
    </row>
    <row r="16072">
      <c r="F16072" s="17"/>
    </row>
    <row r="16073">
      <c r="F16073" s="17"/>
    </row>
    <row r="16074">
      <c r="F16074" s="17"/>
    </row>
    <row r="16075">
      <c r="F16075" s="17"/>
    </row>
    <row r="16076">
      <c r="F16076" s="17"/>
    </row>
    <row r="16077">
      <c r="F16077" s="17"/>
    </row>
    <row r="16078">
      <c r="F16078" s="17"/>
    </row>
    <row r="16079">
      <c r="F16079" s="17"/>
    </row>
    <row r="16080">
      <c r="F16080" s="17"/>
    </row>
    <row r="16081">
      <c r="F16081" s="17"/>
    </row>
    <row r="16082">
      <c r="F16082" s="17"/>
    </row>
    <row r="16083">
      <c r="F16083" s="17"/>
    </row>
    <row r="16084">
      <c r="F16084" s="17"/>
    </row>
    <row r="16085">
      <c r="F16085" s="17"/>
    </row>
    <row r="16086">
      <c r="F16086" s="17"/>
    </row>
    <row r="16087">
      <c r="F16087" s="17"/>
    </row>
    <row r="16088">
      <c r="F16088" s="17"/>
    </row>
    <row r="16089">
      <c r="F16089" s="17"/>
    </row>
    <row r="16090">
      <c r="F16090" s="17"/>
    </row>
    <row r="16091">
      <c r="F16091" s="17"/>
    </row>
    <row r="16092">
      <c r="F16092" s="17"/>
    </row>
    <row r="16093">
      <c r="F16093" s="17"/>
    </row>
    <row r="16094">
      <c r="F16094" s="17"/>
    </row>
    <row r="16095">
      <c r="F16095" s="17"/>
    </row>
    <row r="16096">
      <c r="F16096" s="17"/>
    </row>
    <row r="16097">
      <c r="F16097" s="17"/>
    </row>
    <row r="16098">
      <c r="F16098" s="17"/>
    </row>
    <row r="16099">
      <c r="F16099" s="17"/>
    </row>
    <row r="16100">
      <c r="F16100" s="17"/>
    </row>
    <row r="16101">
      <c r="F16101" s="17"/>
    </row>
    <row r="16102">
      <c r="F16102" s="17"/>
    </row>
    <row r="16103">
      <c r="F16103" s="17"/>
    </row>
    <row r="16104">
      <c r="F16104" s="17"/>
    </row>
    <row r="16105">
      <c r="F16105" s="17"/>
    </row>
    <row r="16106">
      <c r="F16106" s="17"/>
    </row>
    <row r="16107">
      <c r="F16107" s="17"/>
    </row>
    <row r="16108">
      <c r="F16108" s="17"/>
    </row>
    <row r="16109">
      <c r="F16109" s="17"/>
    </row>
    <row r="16110">
      <c r="F16110" s="17"/>
    </row>
    <row r="16111">
      <c r="F16111" s="17"/>
    </row>
    <row r="16112">
      <c r="F16112" s="17"/>
    </row>
    <row r="16113">
      <c r="F16113" s="17"/>
    </row>
    <row r="16114">
      <c r="F16114" s="17"/>
    </row>
    <row r="16115">
      <c r="F16115" s="17"/>
    </row>
    <row r="16116">
      <c r="F16116" s="17"/>
    </row>
    <row r="16117">
      <c r="F16117" s="17"/>
    </row>
    <row r="16118">
      <c r="F16118" s="17"/>
    </row>
    <row r="16119">
      <c r="F16119" s="17"/>
    </row>
    <row r="16120">
      <c r="F16120" s="17"/>
    </row>
    <row r="16121">
      <c r="F16121" s="17"/>
    </row>
    <row r="16122">
      <c r="F16122" s="17"/>
    </row>
    <row r="16123">
      <c r="F16123" s="17"/>
    </row>
    <row r="16124">
      <c r="F16124" s="17"/>
    </row>
    <row r="16125">
      <c r="F16125" s="17"/>
    </row>
    <row r="16126">
      <c r="F16126" s="17"/>
    </row>
    <row r="16127">
      <c r="F16127" s="17"/>
    </row>
    <row r="16128">
      <c r="F16128" s="17"/>
    </row>
    <row r="16129">
      <c r="F16129" s="17"/>
    </row>
    <row r="16130">
      <c r="F16130" s="17"/>
    </row>
    <row r="16131">
      <c r="F16131" s="17"/>
    </row>
    <row r="16132">
      <c r="F16132" s="17"/>
    </row>
    <row r="16133">
      <c r="F16133" s="17"/>
    </row>
    <row r="16134">
      <c r="F16134" s="17"/>
    </row>
    <row r="16135">
      <c r="F16135" s="17"/>
    </row>
    <row r="16136">
      <c r="F16136" s="17"/>
    </row>
    <row r="16137">
      <c r="F16137" s="17"/>
    </row>
    <row r="16138">
      <c r="F16138" s="17"/>
    </row>
    <row r="16139">
      <c r="F16139" s="17"/>
    </row>
    <row r="16140">
      <c r="F16140" s="17"/>
    </row>
    <row r="16141">
      <c r="F16141" s="17"/>
    </row>
    <row r="16142">
      <c r="F16142" s="17"/>
    </row>
    <row r="16143">
      <c r="F16143" s="17"/>
    </row>
    <row r="16144">
      <c r="F16144" s="17"/>
    </row>
    <row r="16145">
      <c r="F16145" s="17"/>
    </row>
    <row r="16146">
      <c r="F16146" s="17"/>
    </row>
    <row r="16147">
      <c r="F16147" s="17"/>
    </row>
    <row r="16148">
      <c r="F16148" s="17"/>
    </row>
    <row r="16149">
      <c r="F16149" s="17"/>
    </row>
    <row r="16150">
      <c r="F16150" s="17"/>
    </row>
    <row r="16151">
      <c r="F16151" s="17"/>
    </row>
    <row r="16152">
      <c r="F16152" s="17"/>
    </row>
    <row r="16153">
      <c r="F16153" s="17"/>
    </row>
    <row r="16154">
      <c r="F16154" s="17"/>
    </row>
    <row r="16155">
      <c r="F16155" s="17"/>
    </row>
    <row r="16156">
      <c r="F16156" s="17"/>
    </row>
    <row r="16157">
      <c r="F16157" s="17"/>
    </row>
    <row r="16158">
      <c r="F16158" s="17"/>
    </row>
    <row r="16159">
      <c r="F16159" s="17"/>
    </row>
    <row r="16160">
      <c r="F16160" s="17"/>
    </row>
    <row r="16161">
      <c r="F16161" s="17"/>
    </row>
    <row r="16162">
      <c r="F16162" s="17"/>
    </row>
    <row r="16163">
      <c r="F16163" s="17"/>
    </row>
    <row r="16164">
      <c r="F16164" s="17"/>
    </row>
    <row r="16165">
      <c r="F16165" s="17"/>
    </row>
    <row r="16166">
      <c r="F16166" s="17"/>
    </row>
    <row r="16167">
      <c r="F16167" s="17"/>
    </row>
    <row r="16168">
      <c r="F16168" s="17"/>
    </row>
    <row r="16169">
      <c r="F16169" s="17"/>
    </row>
    <row r="16170">
      <c r="F16170" s="17"/>
    </row>
    <row r="16171">
      <c r="F16171" s="17"/>
    </row>
    <row r="16172">
      <c r="F16172" s="17"/>
    </row>
    <row r="16173">
      <c r="F16173" s="17"/>
    </row>
    <row r="16174">
      <c r="F16174" s="17"/>
    </row>
    <row r="16175">
      <c r="F16175" s="17"/>
    </row>
    <row r="16176">
      <c r="F16176" s="17"/>
    </row>
    <row r="16177">
      <c r="F16177" s="17"/>
    </row>
    <row r="16178">
      <c r="F16178" s="17"/>
    </row>
    <row r="16179">
      <c r="F16179" s="17"/>
    </row>
    <row r="16180">
      <c r="F16180" s="17"/>
    </row>
    <row r="16181">
      <c r="F16181" s="17"/>
    </row>
    <row r="16182">
      <c r="F16182" s="17"/>
    </row>
    <row r="16183">
      <c r="F16183" s="17"/>
    </row>
    <row r="16184">
      <c r="F16184" s="17"/>
    </row>
    <row r="16185">
      <c r="F16185" s="17"/>
    </row>
    <row r="16186">
      <c r="F16186" s="17"/>
    </row>
    <row r="16187">
      <c r="F16187" s="17"/>
    </row>
    <row r="16188">
      <c r="F16188" s="17"/>
    </row>
    <row r="16189">
      <c r="F16189" s="17"/>
    </row>
    <row r="16190">
      <c r="F16190" s="17"/>
    </row>
    <row r="16191">
      <c r="F16191" s="17"/>
    </row>
    <row r="16192">
      <c r="F16192" s="17"/>
    </row>
    <row r="16193">
      <c r="F16193" s="17"/>
    </row>
    <row r="16194">
      <c r="F16194" s="17"/>
    </row>
    <row r="16195">
      <c r="F16195" s="17"/>
    </row>
    <row r="16196">
      <c r="F16196" s="17"/>
    </row>
    <row r="16197">
      <c r="F16197" s="17"/>
    </row>
    <row r="16198">
      <c r="F16198" s="17"/>
    </row>
    <row r="16199">
      <c r="F16199" s="17"/>
    </row>
    <row r="16200">
      <c r="F16200" s="17"/>
    </row>
    <row r="16201">
      <c r="F16201" s="17"/>
    </row>
    <row r="16202">
      <c r="F16202" s="17"/>
    </row>
    <row r="16203">
      <c r="F16203" s="17"/>
    </row>
    <row r="16204">
      <c r="F16204" s="17"/>
    </row>
    <row r="16205">
      <c r="F16205" s="17"/>
    </row>
    <row r="16206">
      <c r="F16206" s="17"/>
    </row>
    <row r="16207">
      <c r="F16207" s="17"/>
    </row>
    <row r="16208">
      <c r="F16208" s="17"/>
    </row>
    <row r="16209">
      <c r="F16209" s="17"/>
    </row>
    <row r="16210">
      <c r="F16210" s="17"/>
    </row>
    <row r="16211">
      <c r="F16211" s="17"/>
    </row>
    <row r="16212">
      <c r="F16212" s="17"/>
    </row>
    <row r="16213">
      <c r="F16213" s="17"/>
    </row>
    <row r="16214">
      <c r="F16214" s="17"/>
    </row>
    <row r="16215">
      <c r="F16215" s="17"/>
    </row>
    <row r="16216">
      <c r="F16216" s="17"/>
    </row>
    <row r="16217">
      <c r="F16217" s="17"/>
    </row>
    <row r="16218">
      <c r="F16218" s="17"/>
    </row>
    <row r="16219">
      <c r="F16219" s="17"/>
    </row>
    <row r="16220">
      <c r="F16220" s="17"/>
    </row>
    <row r="16221">
      <c r="F16221" s="17"/>
    </row>
    <row r="16222">
      <c r="F16222" s="17"/>
    </row>
    <row r="16223">
      <c r="F16223" s="17"/>
    </row>
    <row r="16224">
      <c r="F16224" s="17"/>
    </row>
    <row r="16225">
      <c r="F16225" s="17"/>
    </row>
    <row r="16226">
      <c r="F16226" s="17"/>
    </row>
    <row r="16227">
      <c r="F16227" s="17"/>
    </row>
    <row r="16228">
      <c r="F16228" s="17"/>
    </row>
    <row r="16229">
      <c r="F16229" s="17"/>
    </row>
    <row r="16230">
      <c r="F16230" s="17"/>
    </row>
    <row r="16231">
      <c r="F16231" s="17"/>
    </row>
    <row r="16232">
      <c r="F16232" s="17"/>
    </row>
    <row r="16233">
      <c r="F16233" s="17"/>
    </row>
    <row r="16234">
      <c r="F16234" s="17"/>
    </row>
    <row r="16235">
      <c r="F16235" s="17"/>
    </row>
    <row r="16236">
      <c r="F16236" s="17"/>
    </row>
    <row r="16237">
      <c r="F16237" s="17"/>
    </row>
    <row r="16238">
      <c r="F16238" s="17"/>
    </row>
    <row r="16239">
      <c r="F16239" s="17"/>
    </row>
    <row r="16240">
      <c r="F16240" s="17"/>
    </row>
    <row r="16241">
      <c r="F16241" s="17"/>
    </row>
    <row r="16242">
      <c r="F16242" s="17"/>
    </row>
    <row r="16243">
      <c r="F16243" s="17"/>
    </row>
    <row r="16244">
      <c r="F16244" s="17"/>
    </row>
    <row r="16245">
      <c r="F16245" s="17"/>
    </row>
    <row r="16246">
      <c r="F16246" s="17"/>
    </row>
    <row r="16247">
      <c r="F16247" s="17"/>
    </row>
    <row r="16248">
      <c r="F16248" s="17"/>
    </row>
    <row r="16249">
      <c r="F16249" s="17"/>
    </row>
    <row r="16250">
      <c r="F16250" s="17"/>
    </row>
    <row r="16251">
      <c r="F16251" s="17"/>
    </row>
    <row r="16252">
      <c r="F16252" s="17"/>
    </row>
    <row r="16253">
      <c r="F16253" s="17"/>
    </row>
    <row r="16254">
      <c r="F16254" s="17"/>
    </row>
    <row r="16255">
      <c r="F16255" s="17"/>
    </row>
    <row r="16256">
      <c r="F16256" s="17"/>
    </row>
    <row r="16257">
      <c r="F16257" s="17"/>
    </row>
    <row r="16258">
      <c r="F16258" s="17"/>
    </row>
    <row r="16259">
      <c r="F16259" s="17"/>
    </row>
    <row r="16260">
      <c r="F16260" s="17"/>
    </row>
    <row r="16261">
      <c r="F16261" s="17"/>
    </row>
    <row r="16262">
      <c r="F16262" s="17"/>
    </row>
    <row r="16263">
      <c r="F16263" s="17"/>
    </row>
    <row r="16264">
      <c r="F16264" s="17"/>
    </row>
    <row r="16265">
      <c r="F16265" s="17"/>
    </row>
    <row r="16266">
      <c r="F16266" s="17"/>
    </row>
    <row r="16267">
      <c r="F16267" s="17"/>
    </row>
    <row r="16268">
      <c r="F16268" s="17"/>
    </row>
    <row r="16269">
      <c r="F16269" s="17"/>
    </row>
    <row r="16270">
      <c r="F16270" s="17"/>
    </row>
    <row r="16271">
      <c r="F16271" s="17"/>
    </row>
    <row r="16272">
      <c r="F16272" s="17"/>
    </row>
    <row r="16273">
      <c r="F16273" s="17"/>
    </row>
    <row r="16274">
      <c r="F16274" s="17"/>
    </row>
    <row r="16275">
      <c r="F16275" s="17"/>
    </row>
    <row r="16276">
      <c r="F16276" s="17"/>
    </row>
    <row r="16277">
      <c r="F16277" s="17"/>
    </row>
    <row r="16278">
      <c r="F16278" s="17"/>
    </row>
    <row r="16279">
      <c r="F16279" s="17"/>
    </row>
    <row r="16280">
      <c r="F16280" s="17"/>
    </row>
    <row r="16281">
      <c r="F16281" s="17"/>
    </row>
    <row r="16282">
      <c r="F16282" s="17"/>
    </row>
    <row r="16283">
      <c r="F16283" s="17"/>
    </row>
    <row r="16284">
      <c r="F16284" s="17"/>
    </row>
    <row r="16285">
      <c r="F16285" s="17"/>
    </row>
    <row r="16286">
      <c r="F16286" s="17"/>
    </row>
    <row r="16287">
      <c r="F16287" s="17"/>
    </row>
    <row r="16288">
      <c r="F16288" s="17"/>
    </row>
    <row r="16289">
      <c r="F16289" s="17"/>
    </row>
    <row r="16290">
      <c r="F16290" s="17"/>
    </row>
    <row r="16291">
      <c r="F16291" s="17"/>
    </row>
    <row r="16292">
      <c r="F16292" s="17"/>
    </row>
    <row r="16293">
      <c r="F16293" s="17"/>
    </row>
    <row r="16294">
      <c r="F16294" s="17"/>
    </row>
    <row r="16295">
      <c r="F16295" s="17"/>
    </row>
    <row r="16296">
      <c r="F16296" s="17"/>
    </row>
    <row r="16297">
      <c r="F16297" s="17"/>
    </row>
    <row r="16298">
      <c r="F16298" s="17"/>
    </row>
    <row r="16299">
      <c r="F16299" s="17"/>
    </row>
    <row r="16300">
      <c r="F16300" s="17"/>
    </row>
    <row r="16301">
      <c r="F16301" s="17"/>
    </row>
    <row r="16302">
      <c r="F16302" s="17"/>
    </row>
    <row r="16303">
      <c r="F16303" s="17"/>
    </row>
    <row r="16304">
      <c r="F16304" s="17"/>
    </row>
    <row r="16305">
      <c r="F16305" s="17"/>
    </row>
    <row r="16306">
      <c r="F16306" s="17"/>
    </row>
    <row r="16307">
      <c r="F16307" s="17"/>
    </row>
    <row r="16308">
      <c r="F16308" s="17"/>
    </row>
    <row r="16309">
      <c r="F16309" s="17"/>
    </row>
    <row r="16310">
      <c r="F16310" s="17"/>
    </row>
    <row r="16311">
      <c r="F16311" s="17"/>
    </row>
    <row r="16312">
      <c r="F16312" s="17"/>
    </row>
    <row r="16313">
      <c r="F16313" s="17"/>
    </row>
    <row r="16314">
      <c r="F16314" s="17"/>
    </row>
    <row r="16315">
      <c r="F16315" s="17"/>
    </row>
    <row r="16316">
      <c r="F16316" s="17"/>
    </row>
    <row r="16317">
      <c r="F16317" s="17"/>
    </row>
    <row r="16318">
      <c r="F16318" s="17"/>
    </row>
    <row r="16319">
      <c r="F16319" s="17"/>
    </row>
    <row r="16320">
      <c r="F16320" s="17"/>
    </row>
    <row r="16321">
      <c r="F16321" s="17"/>
    </row>
    <row r="16322">
      <c r="F16322" s="17"/>
    </row>
    <row r="16323">
      <c r="F16323" s="17"/>
    </row>
    <row r="16324">
      <c r="F16324" s="17"/>
    </row>
    <row r="16325">
      <c r="F16325" s="17"/>
    </row>
    <row r="16326">
      <c r="F16326" s="17"/>
    </row>
    <row r="16327">
      <c r="F16327" s="17"/>
    </row>
    <row r="16328">
      <c r="F16328" s="17"/>
    </row>
    <row r="16329">
      <c r="F16329" s="17"/>
    </row>
    <row r="16330">
      <c r="F16330" s="17"/>
    </row>
    <row r="16331">
      <c r="F16331" s="17"/>
    </row>
    <row r="16332">
      <c r="F16332" s="17"/>
    </row>
    <row r="16333">
      <c r="F16333" s="17"/>
    </row>
    <row r="16334">
      <c r="F16334" s="17"/>
    </row>
    <row r="16335">
      <c r="F16335" s="17"/>
    </row>
    <row r="16336">
      <c r="F16336" s="17"/>
    </row>
    <row r="16337">
      <c r="F16337" s="17"/>
    </row>
    <row r="16338">
      <c r="F16338" s="17"/>
    </row>
    <row r="16339">
      <c r="F16339" s="17"/>
    </row>
    <row r="16340">
      <c r="F16340" s="17"/>
    </row>
    <row r="16341">
      <c r="F16341" s="17"/>
    </row>
    <row r="16342">
      <c r="F16342" s="17"/>
    </row>
    <row r="16343">
      <c r="F16343" s="17"/>
    </row>
    <row r="16344">
      <c r="F16344" s="17"/>
    </row>
    <row r="16345">
      <c r="F16345" s="17"/>
    </row>
    <row r="16346">
      <c r="F16346" s="17"/>
    </row>
    <row r="16347">
      <c r="F16347" s="17"/>
    </row>
    <row r="16348">
      <c r="F16348" s="17"/>
    </row>
    <row r="16349">
      <c r="F16349" s="17"/>
    </row>
    <row r="16350">
      <c r="F16350" s="17"/>
    </row>
    <row r="16351">
      <c r="F16351" s="17"/>
    </row>
    <row r="16352">
      <c r="F16352" s="17"/>
    </row>
    <row r="16353">
      <c r="F16353" s="17"/>
    </row>
    <row r="16354">
      <c r="F16354" s="17"/>
    </row>
    <row r="16355">
      <c r="F16355" s="17"/>
    </row>
    <row r="16356">
      <c r="F16356" s="17"/>
    </row>
    <row r="16357">
      <c r="F16357" s="17"/>
    </row>
    <row r="16358">
      <c r="F16358" s="17"/>
    </row>
    <row r="16359">
      <c r="F16359" s="17"/>
    </row>
    <row r="16360">
      <c r="F16360" s="17"/>
    </row>
    <row r="16361">
      <c r="F16361" s="17"/>
    </row>
    <row r="16362">
      <c r="F16362" s="17"/>
    </row>
    <row r="16363">
      <c r="F16363" s="17"/>
    </row>
    <row r="16364">
      <c r="F16364" s="17"/>
    </row>
    <row r="16365">
      <c r="F16365" s="17"/>
    </row>
    <row r="16366">
      <c r="F16366" s="17"/>
    </row>
    <row r="16367">
      <c r="F16367" s="17"/>
    </row>
    <row r="16368">
      <c r="F16368" s="17"/>
    </row>
    <row r="16369">
      <c r="F16369" s="17"/>
    </row>
    <row r="16370">
      <c r="F16370" s="17"/>
    </row>
    <row r="16371">
      <c r="F16371" s="17"/>
    </row>
    <row r="16372">
      <c r="F16372" s="17"/>
    </row>
    <row r="16373">
      <c r="F16373" s="17"/>
    </row>
    <row r="16374">
      <c r="F16374" s="17"/>
    </row>
    <row r="16375">
      <c r="F16375" s="17"/>
    </row>
    <row r="16376">
      <c r="F16376" s="17"/>
    </row>
    <row r="16377">
      <c r="F16377" s="17"/>
    </row>
    <row r="16378">
      <c r="F16378" s="17"/>
    </row>
    <row r="16379">
      <c r="F16379" s="17"/>
    </row>
    <row r="16380">
      <c r="F16380" s="17"/>
    </row>
    <row r="16381">
      <c r="F16381" s="17"/>
    </row>
    <row r="16382">
      <c r="F16382" s="17"/>
    </row>
    <row r="16383">
      <c r="F16383" s="17"/>
    </row>
    <row r="16384">
      <c r="F16384" s="17"/>
    </row>
    <row r="16385">
      <c r="F16385" s="17"/>
    </row>
    <row r="16386">
      <c r="F16386" s="17"/>
    </row>
    <row r="16387">
      <c r="F16387" s="17"/>
    </row>
    <row r="16388">
      <c r="F16388" s="17"/>
    </row>
    <row r="16389">
      <c r="F16389" s="17"/>
    </row>
    <row r="16390">
      <c r="F16390" s="17"/>
    </row>
    <row r="16391">
      <c r="F16391" s="17"/>
    </row>
    <row r="16392">
      <c r="F16392" s="17"/>
    </row>
    <row r="16393">
      <c r="F16393" s="17"/>
    </row>
    <row r="16394">
      <c r="F16394" s="17"/>
    </row>
    <row r="16395">
      <c r="F16395" s="17"/>
    </row>
    <row r="16396">
      <c r="F16396" s="17"/>
    </row>
    <row r="16397">
      <c r="F16397" s="17"/>
    </row>
    <row r="16398">
      <c r="F16398" s="17"/>
    </row>
    <row r="16399">
      <c r="F16399" s="17"/>
    </row>
    <row r="16400">
      <c r="F16400" s="17"/>
    </row>
    <row r="16401">
      <c r="F16401" s="17"/>
    </row>
    <row r="16402">
      <c r="F16402" s="17"/>
    </row>
    <row r="16403">
      <c r="F16403" s="17"/>
    </row>
    <row r="16404">
      <c r="F16404" s="17"/>
    </row>
    <row r="16405">
      <c r="F16405" s="17"/>
    </row>
    <row r="16406">
      <c r="F16406" s="17"/>
    </row>
    <row r="16407">
      <c r="F16407" s="17"/>
    </row>
    <row r="16408">
      <c r="F16408" s="17"/>
    </row>
    <row r="16409">
      <c r="F16409" s="17"/>
    </row>
    <row r="16410">
      <c r="F16410" s="17"/>
    </row>
    <row r="16411">
      <c r="F16411" s="17"/>
    </row>
    <row r="16412">
      <c r="F16412" s="17"/>
    </row>
    <row r="16413">
      <c r="F16413" s="17"/>
    </row>
    <row r="16414">
      <c r="F16414" s="17"/>
    </row>
    <row r="16415">
      <c r="F16415" s="17"/>
    </row>
    <row r="16416">
      <c r="F16416" s="17"/>
    </row>
    <row r="16417">
      <c r="F16417" s="17"/>
    </row>
    <row r="16418">
      <c r="F16418" s="17"/>
    </row>
    <row r="16419">
      <c r="F16419" s="17"/>
    </row>
    <row r="16420">
      <c r="F16420" s="17"/>
    </row>
    <row r="16421">
      <c r="F16421" s="17"/>
    </row>
    <row r="16422">
      <c r="F16422" s="17"/>
    </row>
    <row r="16423">
      <c r="F16423" s="17"/>
    </row>
    <row r="16424">
      <c r="F16424" s="17"/>
    </row>
    <row r="16425">
      <c r="F16425" s="17"/>
    </row>
    <row r="16426">
      <c r="F16426" s="17"/>
    </row>
    <row r="16427">
      <c r="F16427" s="17"/>
    </row>
    <row r="16428">
      <c r="F16428" s="17"/>
    </row>
    <row r="16429">
      <c r="F16429" s="17"/>
    </row>
    <row r="16430">
      <c r="F16430" s="17"/>
    </row>
    <row r="16431">
      <c r="F16431" s="17"/>
    </row>
    <row r="16432">
      <c r="F16432" s="17"/>
    </row>
    <row r="16433">
      <c r="F16433" s="17"/>
    </row>
    <row r="16434">
      <c r="F16434" s="17"/>
    </row>
    <row r="16435">
      <c r="F16435" s="17"/>
    </row>
    <row r="16436">
      <c r="F16436" s="17"/>
    </row>
    <row r="16437">
      <c r="F16437" s="17"/>
    </row>
    <row r="16438">
      <c r="F16438" s="17"/>
    </row>
    <row r="16439">
      <c r="F16439" s="17"/>
    </row>
    <row r="16440">
      <c r="F16440" s="17"/>
    </row>
    <row r="16441">
      <c r="F16441" s="17"/>
    </row>
    <row r="16442">
      <c r="F16442" s="17"/>
    </row>
    <row r="16443">
      <c r="F16443" s="17"/>
    </row>
    <row r="16444">
      <c r="F16444" s="17"/>
    </row>
    <row r="16445">
      <c r="F16445" s="17"/>
    </row>
    <row r="16446">
      <c r="F16446" s="17"/>
    </row>
    <row r="16447">
      <c r="F16447" s="17"/>
    </row>
    <row r="16448">
      <c r="F16448" s="17"/>
    </row>
    <row r="16449">
      <c r="F16449" s="17"/>
    </row>
    <row r="16450">
      <c r="F16450" s="17"/>
    </row>
    <row r="16451">
      <c r="F16451" s="17"/>
    </row>
    <row r="16452">
      <c r="F16452" s="17"/>
    </row>
    <row r="16453">
      <c r="F16453" s="17"/>
    </row>
    <row r="16454">
      <c r="F16454" s="17"/>
    </row>
    <row r="16455">
      <c r="F16455" s="17"/>
    </row>
    <row r="16456">
      <c r="F16456" s="17"/>
    </row>
    <row r="16457">
      <c r="F16457" s="17"/>
    </row>
    <row r="16458">
      <c r="F16458" s="17"/>
    </row>
    <row r="16459">
      <c r="F16459" s="17"/>
    </row>
    <row r="16460">
      <c r="F16460" s="17"/>
    </row>
    <row r="16461">
      <c r="F16461" s="17"/>
    </row>
    <row r="16462">
      <c r="F16462" s="17"/>
    </row>
    <row r="16463">
      <c r="F16463" s="17"/>
    </row>
    <row r="16464">
      <c r="F16464" s="17"/>
    </row>
    <row r="16465">
      <c r="F16465" s="17"/>
    </row>
    <row r="16466">
      <c r="F16466" s="17"/>
    </row>
    <row r="16467">
      <c r="F16467" s="17"/>
    </row>
    <row r="16468">
      <c r="F16468" s="17"/>
    </row>
    <row r="16469">
      <c r="F16469" s="17"/>
    </row>
    <row r="16470">
      <c r="F16470" s="17"/>
    </row>
    <row r="16471">
      <c r="F16471" s="17"/>
    </row>
    <row r="16472">
      <c r="F16472" s="17"/>
    </row>
    <row r="16473">
      <c r="F16473" s="17"/>
    </row>
    <row r="16474">
      <c r="F16474" s="17"/>
    </row>
    <row r="16475">
      <c r="F16475" s="17"/>
    </row>
    <row r="16476">
      <c r="F16476" s="17"/>
    </row>
    <row r="16477">
      <c r="F16477" s="17"/>
    </row>
    <row r="16478">
      <c r="F16478" s="17"/>
    </row>
    <row r="16479">
      <c r="F16479" s="17"/>
    </row>
    <row r="16480">
      <c r="F16480" s="17"/>
    </row>
    <row r="16481">
      <c r="F16481" s="17"/>
    </row>
    <row r="16482">
      <c r="F16482" s="17"/>
    </row>
    <row r="16483">
      <c r="F16483" s="17"/>
    </row>
    <row r="16484">
      <c r="F16484" s="17"/>
    </row>
    <row r="16485">
      <c r="F16485" s="17"/>
    </row>
    <row r="16486">
      <c r="F16486" s="17"/>
    </row>
    <row r="16487">
      <c r="F16487" s="17"/>
    </row>
    <row r="16488">
      <c r="F16488" s="17"/>
    </row>
    <row r="16489">
      <c r="F16489" s="17"/>
    </row>
    <row r="16490">
      <c r="F16490" s="17"/>
    </row>
    <row r="16491">
      <c r="F16491" s="17"/>
    </row>
    <row r="16492">
      <c r="F16492" s="17"/>
    </row>
    <row r="16493">
      <c r="F16493" s="17"/>
    </row>
    <row r="16494">
      <c r="F16494" s="17"/>
    </row>
    <row r="16495">
      <c r="F16495" s="17"/>
    </row>
    <row r="16496">
      <c r="F16496" s="17"/>
    </row>
    <row r="16497">
      <c r="F16497" s="17"/>
    </row>
    <row r="16498">
      <c r="F16498" s="17"/>
    </row>
    <row r="16499">
      <c r="F16499" s="17"/>
    </row>
    <row r="16500">
      <c r="F16500" s="17"/>
    </row>
    <row r="16501">
      <c r="F16501" s="17"/>
    </row>
    <row r="16502">
      <c r="F16502" s="17"/>
    </row>
    <row r="16503">
      <c r="F16503" s="17"/>
    </row>
    <row r="16504">
      <c r="F16504" s="17"/>
    </row>
    <row r="16505">
      <c r="F16505" s="17"/>
    </row>
    <row r="16506">
      <c r="F16506" s="17"/>
    </row>
    <row r="16507">
      <c r="F16507" s="17"/>
    </row>
    <row r="16508">
      <c r="F16508" s="17"/>
    </row>
    <row r="16509">
      <c r="F16509" s="17"/>
    </row>
    <row r="16510">
      <c r="F16510" s="17"/>
    </row>
    <row r="16511">
      <c r="F16511" s="17"/>
    </row>
    <row r="16512">
      <c r="F16512" s="17"/>
    </row>
    <row r="16513">
      <c r="F16513" s="17"/>
    </row>
    <row r="16514">
      <c r="F16514" s="17"/>
    </row>
    <row r="16515">
      <c r="F16515" s="17"/>
    </row>
    <row r="16516">
      <c r="F16516" s="17"/>
    </row>
    <row r="16517">
      <c r="F16517" s="17"/>
    </row>
    <row r="16518">
      <c r="F16518" s="17"/>
    </row>
    <row r="16519">
      <c r="F16519" s="17"/>
    </row>
    <row r="16520">
      <c r="F16520" s="17"/>
    </row>
    <row r="16521">
      <c r="F16521" s="17"/>
    </row>
    <row r="16522">
      <c r="F16522" s="17"/>
    </row>
    <row r="16523">
      <c r="F16523" s="17"/>
    </row>
    <row r="16524">
      <c r="F16524" s="17"/>
    </row>
    <row r="16525">
      <c r="F16525" s="17"/>
    </row>
    <row r="16526">
      <c r="F16526" s="17"/>
    </row>
    <row r="16527">
      <c r="F16527" s="17"/>
    </row>
    <row r="16528">
      <c r="F16528" s="17"/>
    </row>
    <row r="16529">
      <c r="F16529" s="17"/>
    </row>
    <row r="16530">
      <c r="F16530" s="17"/>
    </row>
    <row r="16531">
      <c r="F16531" s="17"/>
    </row>
    <row r="16532">
      <c r="F16532" s="17"/>
    </row>
    <row r="16533">
      <c r="F16533" s="17"/>
    </row>
    <row r="16534">
      <c r="F16534" s="17"/>
    </row>
    <row r="16535">
      <c r="F16535" s="17"/>
    </row>
    <row r="16536">
      <c r="F16536" s="17"/>
    </row>
    <row r="16537">
      <c r="F16537" s="17"/>
    </row>
    <row r="16538">
      <c r="F16538" s="17"/>
    </row>
    <row r="16539">
      <c r="F16539" s="17"/>
    </row>
    <row r="16540">
      <c r="F16540" s="17"/>
    </row>
    <row r="16541">
      <c r="F16541" s="17"/>
    </row>
    <row r="16542">
      <c r="F16542" s="17"/>
    </row>
    <row r="16543">
      <c r="F16543" s="17"/>
    </row>
    <row r="16544">
      <c r="F16544" s="17"/>
    </row>
    <row r="16545">
      <c r="F16545" s="17"/>
    </row>
    <row r="16546">
      <c r="F16546" s="17"/>
    </row>
    <row r="16547">
      <c r="F16547" s="17"/>
    </row>
    <row r="16548">
      <c r="F16548" s="17"/>
    </row>
    <row r="16549">
      <c r="F16549" s="17"/>
    </row>
    <row r="16550">
      <c r="F16550" s="17"/>
    </row>
    <row r="16551">
      <c r="F16551" s="17"/>
    </row>
    <row r="16552">
      <c r="F16552" s="17"/>
    </row>
    <row r="16553">
      <c r="F16553" s="17"/>
    </row>
    <row r="16554">
      <c r="F16554" s="17"/>
    </row>
    <row r="16555">
      <c r="F16555" s="17"/>
    </row>
    <row r="16556">
      <c r="F16556" s="17"/>
    </row>
    <row r="16557">
      <c r="F16557" s="17"/>
    </row>
    <row r="16558">
      <c r="F16558" s="17"/>
    </row>
    <row r="16559">
      <c r="F16559" s="17"/>
    </row>
    <row r="16560">
      <c r="F16560" s="17"/>
    </row>
    <row r="16561">
      <c r="F16561" s="17"/>
    </row>
    <row r="16562">
      <c r="F16562" s="17"/>
    </row>
    <row r="16563">
      <c r="F16563" s="17"/>
    </row>
    <row r="16564">
      <c r="F16564" s="17"/>
    </row>
    <row r="16565">
      <c r="F16565" s="17"/>
    </row>
    <row r="16566">
      <c r="F16566" s="17"/>
    </row>
    <row r="16567">
      <c r="F16567" s="17"/>
    </row>
    <row r="16568">
      <c r="F16568" s="17"/>
    </row>
    <row r="16569">
      <c r="F16569" s="17"/>
    </row>
    <row r="16570">
      <c r="F16570" s="17"/>
    </row>
    <row r="16571">
      <c r="F16571" s="17"/>
    </row>
    <row r="16572">
      <c r="F16572" s="17"/>
    </row>
    <row r="16573">
      <c r="F16573" s="17"/>
    </row>
    <row r="16574">
      <c r="F16574" s="17"/>
    </row>
    <row r="16575">
      <c r="F16575" s="17"/>
    </row>
    <row r="16576">
      <c r="F16576" s="17"/>
    </row>
    <row r="16577">
      <c r="F16577" s="17"/>
    </row>
    <row r="16578">
      <c r="F16578" s="17"/>
    </row>
    <row r="16579">
      <c r="F16579" s="17"/>
    </row>
    <row r="16580">
      <c r="F16580" s="17"/>
    </row>
    <row r="16581">
      <c r="F16581" s="17"/>
    </row>
    <row r="16582">
      <c r="F16582" s="17"/>
    </row>
    <row r="16583">
      <c r="F16583" s="17"/>
    </row>
    <row r="16584">
      <c r="F16584" s="17"/>
    </row>
    <row r="16585">
      <c r="F16585" s="17"/>
    </row>
    <row r="16586">
      <c r="F16586" s="17"/>
    </row>
    <row r="16587">
      <c r="F16587" s="17"/>
    </row>
    <row r="16588">
      <c r="F16588" s="17"/>
    </row>
    <row r="16589">
      <c r="F16589" s="17"/>
    </row>
    <row r="16590">
      <c r="F16590" s="17"/>
    </row>
    <row r="16591">
      <c r="F16591" s="17"/>
    </row>
    <row r="16592">
      <c r="F16592" s="17"/>
    </row>
    <row r="16593">
      <c r="F16593" s="17"/>
    </row>
    <row r="16594">
      <c r="F16594" s="17"/>
    </row>
    <row r="16595">
      <c r="F16595" s="17"/>
    </row>
    <row r="16596">
      <c r="F16596" s="17"/>
    </row>
    <row r="16597">
      <c r="F16597" s="17"/>
    </row>
    <row r="16598">
      <c r="F16598" s="17"/>
    </row>
    <row r="16599">
      <c r="F16599" s="17"/>
    </row>
    <row r="16600">
      <c r="F16600" s="17"/>
    </row>
    <row r="16601">
      <c r="F16601" s="17"/>
    </row>
    <row r="16602">
      <c r="F16602" s="17"/>
    </row>
    <row r="16603">
      <c r="F16603" s="17"/>
    </row>
    <row r="16604">
      <c r="F16604" s="17"/>
    </row>
    <row r="16605">
      <c r="F16605" s="17"/>
    </row>
    <row r="16606">
      <c r="F16606" s="17"/>
    </row>
    <row r="16607">
      <c r="F16607" s="17"/>
    </row>
    <row r="16608">
      <c r="F16608" s="17"/>
    </row>
    <row r="16609">
      <c r="F16609" s="17"/>
    </row>
    <row r="16610">
      <c r="F16610" s="17"/>
    </row>
    <row r="16611">
      <c r="F16611" s="17"/>
    </row>
    <row r="16612">
      <c r="F16612" s="17"/>
    </row>
    <row r="16613">
      <c r="F16613" s="17"/>
    </row>
    <row r="16614">
      <c r="F16614" s="17"/>
    </row>
    <row r="16615">
      <c r="F16615" s="17"/>
    </row>
    <row r="16616">
      <c r="F16616" s="17"/>
    </row>
    <row r="16617">
      <c r="F16617" s="17"/>
    </row>
    <row r="16618">
      <c r="F16618" s="17"/>
    </row>
    <row r="16619">
      <c r="F16619" s="17"/>
    </row>
    <row r="16620">
      <c r="F16620" s="17"/>
    </row>
    <row r="16621">
      <c r="F16621" s="17"/>
    </row>
    <row r="16622">
      <c r="F16622" s="17"/>
    </row>
    <row r="16623">
      <c r="F16623" s="17"/>
    </row>
    <row r="16624">
      <c r="F16624" s="17"/>
    </row>
    <row r="16625">
      <c r="F16625" s="17"/>
    </row>
    <row r="16626">
      <c r="F16626" s="17"/>
    </row>
    <row r="16627">
      <c r="F16627" s="17"/>
    </row>
    <row r="16628">
      <c r="F16628" s="17"/>
    </row>
    <row r="16629">
      <c r="F16629" s="17"/>
    </row>
    <row r="16630">
      <c r="F16630" s="17"/>
    </row>
    <row r="16631">
      <c r="F16631" s="17"/>
    </row>
    <row r="16632">
      <c r="F16632" s="17"/>
    </row>
    <row r="16633">
      <c r="F16633" s="17"/>
    </row>
    <row r="16634">
      <c r="F16634" s="17"/>
    </row>
    <row r="16635">
      <c r="F16635" s="17"/>
    </row>
    <row r="16636">
      <c r="F16636" s="17"/>
    </row>
    <row r="16637">
      <c r="F16637" s="17"/>
    </row>
    <row r="16638">
      <c r="F16638" s="17"/>
    </row>
    <row r="16639">
      <c r="F16639" s="17"/>
    </row>
    <row r="16640">
      <c r="F16640" s="17"/>
    </row>
    <row r="16641">
      <c r="F16641" s="17"/>
    </row>
    <row r="16642">
      <c r="F16642" s="17"/>
    </row>
    <row r="16643">
      <c r="F16643" s="17"/>
    </row>
    <row r="16644">
      <c r="F16644" s="17"/>
    </row>
    <row r="16645">
      <c r="F16645" s="17"/>
    </row>
    <row r="16646">
      <c r="F16646" s="17"/>
    </row>
    <row r="16647">
      <c r="F16647" s="17"/>
    </row>
    <row r="16648">
      <c r="F16648" s="17"/>
    </row>
    <row r="16649">
      <c r="F16649" s="17"/>
    </row>
    <row r="16650">
      <c r="F16650" s="17"/>
    </row>
    <row r="16651">
      <c r="F16651" s="17"/>
    </row>
    <row r="16652">
      <c r="F16652" s="17"/>
    </row>
    <row r="16653">
      <c r="F16653" s="17"/>
    </row>
    <row r="16654">
      <c r="F16654" s="17"/>
    </row>
    <row r="16655">
      <c r="F16655" s="17"/>
    </row>
    <row r="16656">
      <c r="F16656" s="17"/>
    </row>
    <row r="16657">
      <c r="F16657" s="17"/>
    </row>
    <row r="16658">
      <c r="F16658" s="17"/>
    </row>
    <row r="16659">
      <c r="F16659" s="17"/>
    </row>
    <row r="16660">
      <c r="F16660" s="17"/>
    </row>
    <row r="16661">
      <c r="F16661" s="17"/>
    </row>
    <row r="16662">
      <c r="F16662" s="17"/>
    </row>
    <row r="16663">
      <c r="F16663" s="17"/>
    </row>
    <row r="16664">
      <c r="F16664" s="17"/>
    </row>
    <row r="16665">
      <c r="F16665" s="17"/>
    </row>
    <row r="16666">
      <c r="F16666" s="17"/>
    </row>
    <row r="16667">
      <c r="F16667" s="17"/>
    </row>
    <row r="16668">
      <c r="F16668" s="17"/>
    </row>
    <row r="16669">
      <c r="F16669" s="17"/>
    </row>
    <row r="16670">
      <c r="F16670" s="17"/>
    </row>
    <row r="16671">
      <c r="F16671" s="17"/>
    </row>
    <row r="16672">
      <c r="F16672" s="17"/>
    </row>
    <row r="16673">
      <c r="F16673" s="17"/>
    </row>
    <row r="16674">
      <c r="F16674" s="17"/>
    </row>
    <row r="16675">
      <c r="F16675" s="17"/>
    </row>
    <row r="16676">
      <c r="F16676" s="17"/>
    </row>
    <row r="16677">
      <c r="F16677" s="17"/>
    </row>
    <row r="16678">
      <c r="F16678" s="17"/>
    </row>
    <row r="16679">
      <c r="F16679" s="17"/>
    </row>
    <row r="16680">
      <c r="F16680" s="17"/>
    </row>
    <row r="16681">
      <c r="F16681" s="17"/>
    </row>
    <row r="16682">
      <c r="F16682" s="17"/>
    </row>
    <row r="16683">
      <c r="F16683" s="17"/>
    </row>
    <row r="16684">
      <c r="F16684" s="17"/>
    </row>
    <row r="16685">
      <c r="F16685" s="17"/>
    </row>
    <row r="16686">
      <c r="F16686" s="17"/>
    </row>
    <row r="16687">
      <c r="F16687" s="17"/>
    </row>
    <row r="16688">
      <c r="F16688" s="17"/>
    </row>
    <row r="16689">
      <c r="F16689" s="17"/>
    </row>
    <row r="16690">
      <c r="F16690" s="17"/>
    </row>
    <row r="16691">
      <c r="F16691" s="17"/>
    </row>
    <row r="16692">
      <c r="F16692" s="17"/>
    </row>
    <row r="16693">
      <c r="F16693" s="17"/>
    </row>
    <row r="16694">
      <c r="F16694" s="17"/>
    </row>
    <row r="16695">
      <c r="F16695" s="17"/>
    </row>
    <row r="16696">
      <c r="F16696" s="17"/>
    </row>
    <row r="16697">
      <c r="F16697" s="17"/>
    </row>
    <row r="16698">
      <c r="F16698" s="17"/>
    </row>
    <row r="16699">
      <c r="F16699" s="17"/>
    </row>
    <row r="16700">
      <c r="F16700" s="17"/>
    </row>
    <row r="16701">
      <c r="F16701" s="17"/>
    </row>
    <row r="16702">
      <c r="F16702" s="17"/>
    </row>
    <row r="16703">
      <c r="F16703" s="17"/>
    </row>
    <row r="16704">
      <c r="F16704" s="17"/>
    </row>
    <row r="16705">
      <c r="F16705" s="17"/>
    </row>
    <row r="16706">
      <c r="F16706" s="17"/>
    </row>
    <row r="16707">
      <c r="F16707" s="17"/>
    </row>
    <row r="16708">
      <c r="F16708" s="17"/>
    </row>
    <row r="16709">
      <c r="F16709" s="17"/>
    </row>
    <row r="16710">
      <c r="F16710" s="17"/>
    </row>
    <row r="16711">
      <c r="F16711" s="17"/>
    </row>
    <row r="16712">
      <c r="F16712" s="17"/>
    </row>
    <row r="16713">
      <c r="F16713" s="17"/>
    </row>
    <row r="16714">
      <c r="F16714" s="17"/>
    </row>
    <row r="16715">
      <c r="F16715" s="17"/>
    </row>
    <row r="16716">
      <c r="F16716" s="17"/>
    </row>
    <row r="16717">
      <c r="F16717" s="17"/>
    </row>
    <row r="16718">
      <c r="F16718" s="17"/>
    </row>
    <row r="16719">
      <c r="F16719" s="17"/>
    </row>
    <row r="16720">
      <c r="F16720" s="17"/>
    </row>
    <row r="16721">
      <c r="F16721" s="17"/>
    </row>
    <row r="16722">
      <c r="F16722" s="17"/>
    </row>
    <row r="16723">
      <c r="F16723" s="17"/>
    </row>
    <row r="16724">
      <c r="F16724" s="17"/>
    </row>
    <row r="16725">
      <c r="F16725" s="17"/>
    </row>
    <row r="16726">
      <c r="F16726" s="17"/>
    </row>
    <row r="16727">
      <c r="F16727" s="17"/>
    </row>
    <row r="16728">
      <c r="F16728" s="17"/>
    </row>
    <row r="16729">
      <c r="F16729" s="17"/>
    </row>
    <row r="16730">
      <c r="F16730" s="17"/>
    </row>
    <row r="16731">
      <c r="F16731" s="17"/>
    </row>
    <row r="16732">
      <c r="F16732" s="17"/>
    </row>
    <row r="16733">
      <c r="F16733" s="17"/>
    </row>
    <row r="16734">
      <c r="F16734" s="17"/>
    </row>
    <row r="16735">
      <c r="F16735" s="17"/>
    </row>
    <row r="16736">
      <c r="F16736" s="17"/>
    </row>
    <row r="16737">
      <c r="F16737" s="17"/>
    </row>
    <row r="16738">
      <c r="F16738" s="17"/>
    </row>
    <row r="16739">
      <c r="F16739" s="17"/>
    </row>
    <row r="16740">
      <c r="F16740" s="17"/>
    </row>
    <row r="16741">
      <c r="F16741" s="17"/>
    </row>
    <row r="16742">
      <c r="F16742" s="17"/>
    </row>
    <row r="16743">
      <c r="F16743" s="17"/>
    </row>
    <row r="16744">
      <c r="F16744" s="17"/>
    </row>
    <row r="16745">
      <c r="F16745" s="17"/>
    </row>
    <row r="16746">
      <c r="F16746" s="17"/>
    </row>
    <row r="16747">
      <c r="F16747" s="17"/>
    </row>
    <row r="16748">
      <c r="F16748" s="17"/>
    </row>
    <row r="16749">
      <c r="F16749" s="17"/>
    </row>
    <row r="16750">
      <c r="F16750" s="17"/>
    </row>
    <row r="16751">
      <c r="F16751" s="17"/>
    </row>
    <row r="16752">
      <c r="F16752" s="17"/>
    </row>
    <row r="16753">
      <c r="F16753" s="17"/>
    </row>
    <row r="16754">
      <c r="F16754" s="17"/>
    </row>
    <row r="16755">
      <c r="F16755" s="17"/>
    </row>
    <row r="16756">
      <c r="F16756" s="17"/>
    </row>
    <row r="16757">
      <c r="F16757" s="17"/>
    </row>
    <row r="16758">
      <c r="F16758" s="17"/>
    </row>
    <row r="16759">
      <c r="F16759" s="17"/>
    </row>
    <row r="16760">
      <c r="F16760" s="17"/>
    </row>
    <row r="16761">
      <c r="F16761" s="17"/>
    </row>
    <row r="16762">
      <c r="F16762" s="17"/>
    </row>
    <row r="16763">
      <c r="F16763" s="17"/>
    </row>
    <row r="16764">
      <c r="F16764" s="17"/>
    </row>
    <row r="16765">
      <c r="F16765" s="17"/>
    </row>
    <row r="16766">
      <c r="F16766" s="17"/>
    </row>
    <row r="16767">
      <c r="F16767" s="17"/>
    </row>
    <row r="16768">
      <c r="F16768" s="17"/>
    </row>
    <row r="16769">
      <c r="F16769" s="17"/>
    </row>
    <row r="16770">
      <c r="F16770" s="17"/>
    </row>
    <row r="16771">
      <c r="F16771" s="17"/>
    </row>
    <row r="16772">
      <c r="F16772" s="17"/>
    </row>
    <row r="16773">
      <c r="F16773" s="17"/>
    </row>
    <row r="16774">
      <c r="F16774" s="17"/>
    </row>
    <row r="16775">
      <c r="F16775" s="17"/>
    </row>
    <row r="16776">
      <c r="F16776" s="17"/>
    </row>
    <row r="16777">
      <c r="F16777" s="17"/>
    </row>
    <row r="16778">
      <c r="F16778" s="17"/>
    </row>
    <row r="16779">
      <c r="F16779" s="17"/>
    </row>
    <row r="16780">
      <c r="F16780" s="17"/>
    </row>
    <row r="16781">
      <c r="F16781" s="17"/>
    </row>
    <row r="16782">
      <c r="F16782" s="17"/>
    </row>
    <row r="16783">
      <c r="F16783" s="17"/>
    </row>
    <row r="16784">
      <c r="F16784" s="17"/>
    </row>
    <row r="16785">
      <c r="F16785" s="17"/>
    </row>
    <row r="16786">
      <c r="F16786" s="17"/>
    </row>
    <row r="16787">
      <c r="F16787" s="17"/>
    </row>
    <row r="16788">
      <c r="F16788" s="17"/>
    </row>
    <row r="16789">
      <c r="F16789" s="17"/>
    </row>
    <row r="16790">
      <c r="F16790" s="17"/>
    </row>
    <row r="16791">
      <c r="F16791" s="17"/>
    </row>
    <row r="16792">
      <c r="F16792" s="17"/>
    </row>
    <row r="16793">
      <c r="F16793" s="17"/>
    </row>
    <row r="16794">
      <c r="F16794" s="17"/>
    </row>
    <row r="16795">
      <c r="F16795" s="17"/>
    </row>
    <row r="16796">
      <c r="F16796" s="17"/>
    </row>
    <row r="16797">
      <c r="F16797" s="17"/>
    </row>
    <row r="16798">
      <c r="F16798" s="17"/>
    </row>
    <row r="16799">
      <c r="F16799" s="17"/>
    </row>
    <row r="16800">
      <c r="F16800" s="17"/>
    </row>
    <row r="16801">
      <c r="F16801" s="17"/>
    </row>
    <row r="16802">
      <c r="F16802" s="17"/>
    </row>
    <row r="16803">
      <c r="F16803" s="17"/>
    </row>
    <row r="16804">
      <c r="F16804" s="17"/>
    </row>
    <row r="16805">
      <c r="F16805" s="17"/>
    </row>
    <row r="16806">
      <c r="F16806" s="17"/>
    </row>
    <row r="16807">
      <c r="F16807" s="17"/>
    </row>
    <row r="16808">
      <c r="F16808" s="17"/>
    </row>
    <row r="16809">
      <c r="F16809" s="17"/>
    </row>
    <row r="16810">
      <c r="F16810" s="17"/>
    </row>
    <row r="16811">
      <c r="F16811" s="17"/>
    </row>
    <row r="16812">
      <c r="F16812" s="17"/>
    </row>
    <row r="16813">
      <c r="F16813" s="17"/>
    </row>
    <row r="16814">
      <c r="F16814" s="17"/>
    </row>
    <row r="16815">
      <c r="F16815" s="17"/>
    </row>
    <row r="16816">
      <c r="F16816" s="17"/>
    </row>
    <row r="16817">
      <c r="F16817" s="17"/>
    </row>
    <row r="16818">
      <c r="F16818" s="17"/>
    </row>
    <row r="16819">
      <c r="F16819" s="17"/>
    </row>
    <row r="16820">
      <c r="F16820" s="17"/>
    </row>
    <row r="16821">
      <c r="F16821" s="17"/>
    </row>
    <row r="16822">
      <c r="F16822" s="17"/>
    </row>
    <row r="16823">
      <c r="F16823" s="17"/>
    </row>
    <row r="16824">
      <c r="F16824" s="17"/>
    </row>
    <row r="16825">
      <c r="F16825" s="17"/>
    </row>
    <row r="16826">
      <c r="F16826" s="17"/>
    </row>
    <row r="16827">
      <c r="F16827" s="17"/>
    </row>
    <row r="16828">
      <c r="F16828" s="17"/>
    </row>
    <row r="16829">
      <c r="F16829" s="17"/>
    </row>
    <row r="16830">
      <c r="F16830" s="17"/>
    </row>
    <row r="16831">
      <c r="F16831" s="17"/>
    </row>
    <row r="16832">
      <c r="F16832" s="17"/>
    </row>
    <row r="16833">
      <c r="F16833" s="17"/>
    </row>
    <row r="16834">
      <c r="F16834" s="17"/>
    </row>
    <row r="16835">
      <c r="F16835" s="17"/>
    </row>
    <row r="16836">
      <c r="F16836" s="17"/>
    </row>
    <row r="16837">
      <c r="F16837" s="17"/>
    </row>
    <row r="16838">
      <c r="F16838" s="17"/>
    </row>
    <row r="16839">
      <c r="F16839" s="17"/>
    </row>
    <row r="16840">
      <c r="F16840" s="17"/>
    </row>
    <row r="16841">
      <c r="F16841" s="17"/>
    </row>
    <row r="16842">
      <c r="F16842" s="17"/>
    </row>
    <row r="16843">
      <c r="F16843" s="17"/>
    </row>
    <row r="16844">
      <c r="F16844" s="17"/>
    </row>
    <row r="16845">
      <c r="F16845" s="17"/>
    </row>
    <row r="16846">
      <c r="F16846" s="17"/>
    </row>
    <row r="16847">
      <c r="F16847" s="17"/>
    </row>
    <row r="16848">
      <c r="F16848" s="17"/>
    </row>
    <row r="16849">
      <c r="F16849" s="17"/>
    </row>
    <row r="16850">
      <c r="F16850" s="17"/>
    </row>
    <row r="16851">
      <c r="F16851" s="17"/>
    </row>
    <row r="16852">
      <c r="F16852" s="17"/>
    </row>
    <row r="16853">
      <c r="F16853" s="17"/>
    </row>
    <row r="16854">
      <c r="F16854" s="17"/>
    </row>
    <row r="16855">
      <c r="F16855" s="17"/>
    </row>
    <row r="16856">
      <c r="F16856" s="17"/>
    </row>
    <row r="16857">
      <c r="F16857" s="17"/>
    </row>
    <row r="16858">
      <c r="F16858" s="17"/>
    </row>
    <row r="16859">
      <c r="F16859" s="17"/>
    </row>
    <row r="16860">
      <c r="F16860" s="17"/>
    </row>
    <row r="16861">
      <c r="F16861" s="17"/>
    </row>
    <row r="16862">
      <c r="F16862" s="17"/>
    </row>
    <row r="16863">
      <c r="F16863" s="17"/>
    </row>
    <row r="16864">
      <c r="F16864" s="17"/>
    </row>
    <row r="16865">
      <c r="F16865" s="17"/>
    </row>
    <row r="16866">
      <c r="F16866" s="17"/>
    </row>
    <row r="16867">
      <c r="F16867" s="17"/>
    </row>
    <row r="16868">
      <c r="F16868" s="17"/>
    </row>
    <row r="16869">
      <c r="F16869" s="17"/>
    </row>
    <row r="16870">
      <c r="F16870" s="17"/>
    </row>
    <row r="16871">
      <c r="F16871" s="17"/>
    </row>
    <row r="16872">
      <c r="F16872" s="17"/>
    </row>
    <row r="16873">
      <c r="F16873" s="17"/>
    </row>
    <row r="16874">
      <c r="F16874" s="17"/>
    </row>
    <row r="16875">
      <c r="F16875" s="17"/>
    </row>
    <row r="16876">
      <c r="F16876" s="17"/>
    </row>
    <row r="16877">
      <c r="F16877" s="17"/>
    </row>
    <row r="16878">
      <c r="F16878" s="17"/>
    </row>
    <row r="16879">
      <c r="F16879" s="17"/>
    </row>
    <row r="16880">
      <c r="F16880" s="17"/>
    </row>
    <row r="16881">
      <c r="F16881" s="17"/>
    </row>
    <row r="16882">
      <c r="F16882" s="17"/>
    </row>
    <row r="16883">
      <c r="F16883" s="17"/>
    </row>
    <row r="16884">
      <c r="F16884" s="17"/>
    </row>
    <row r="16885">
      <c r="F16885" s="17"/>
    </row>
    <row r="16886">
      <c r="F16886" s="17"/>
    </row>
    <row r="16887">
      <c r="F16887" s="17"/>
    </row>
    <row r="16888">
      <c r="F16888" s="17"/>
    </row>
    <row r="16889">
      <c r="F16889" s="17"/>
    </row>
    <row r="16890">
      <c r="F16890" s="17"/>
    </row>
    <row r="16891">
      <c r="F16891" s="17"/>
    </row>
    <row r="16892">
      <c r="F16892" s="17"/>
    </row>
    <row r="16893">
      <c r="F16893" s="17"/>
    </row>
    <row r="16894">
      <c r="F16894" s="17"/>
    </row>
    <row r="16895">
      <c r="F16895" s="17"/>
    </row>
    <row r="16896">
      <c r="F16896" s="17"/>
    </row>
    <row r="16897">
      <c r="F16897" s="17"/>
    </row>
    <row r="16898">
      <c r="F16898" s="17"/>
    </row>
    <row r="16899">
      <c r="F16899" s="17"/>
    </row>
    <row r="16900">
      <c r="F16900" s="17"/>
    </row>
    <row r="16901">
      <c r="F16901" s="17"/>
    </row>
    <row r="16902">
      <c r="F16902" s="17"/>
    </row>
    <row r="16903">
      <c r="F16903" s="17"/>
    </row>
    <row r="16904">
      <c r="F16904" s="17"/>
    </row>
    <row r="16905">
      <c r="F16905" s="17"/>
    </row>
    <row r="16906">
      <c r="F16906" s="17"/>
    </row>
    <row r="16907">
      <c r="F16907" s="17"/>
    </row>
    <row r="16908">
      <c r="F16908" s="17"/>
    </row>
    <row r="16909">
      <c r="F16909" s="17"/>
    </row>
    <row r="16910">
      <c r="F16910" s="17"/>
    </row>
    <row r="16911">
      <c r="F16911" s="17"/>
    </row>
    <row r="16912">
      <c r="F16912" s="17"/>
    </row>
    <row r="16913">
      <c r="F16913" s="17"/>
    </row>
    <row r="16914">
      <c r="F16914" s="17"/>
    </row>
    <row r="16915">
      <c r="F16915" s="17"/>
    </row>
    <row r="16916">
      <c r="F16916" s="17"/>
    </row>
    <row r="16917">
      <c r="F16917" s="17"/>
    </row>
    <row r="16918">
      <c r="F16918" s="17"/>
    </row>
    <row r="16919">
      <c r="F16919" s="17"/>
    </row>
    <row r="16920">
      <c r="F16920" s="17"/>
    </row>
    <row r="16921">
      <c r="F16921" s="17"/>
    </row>
    <row r="16922">
      <c r="F16922" s="17"/>
    </row>
    <row r="16923">
      <c r="F16923" s="17"/>
    </row>
    <row r="16924">
      <c r="F16924" s="17"/>
    </row>
    <row r="16925">
      <c r="F16925" s="17"/>
    </row>
    <row r="16926">
      <c r="F16926" s="17"/>
    </row>
    <row r="16927">
      <c r="F16927" s="17"/>
    </row>
    <row r="16928">
      <c r="F16928" s="17"/>
    </row>
    <row r="16929">
      <c r="F16929" s="17"/>
    </row>
    <row r="16930">
      <c r="F16930" s="17"/>
    </row>
    <row r="16931">
      <c r="F16931" s="17"/>
    </row>
    <row r="16932">
      <c r="F16932" s="17"/>
    </row>
    <row r="16933">
      <c r="F16933" s="17"/>
    </row>
    <row r="16934">
      <c r="F16934" s="17"/>
    </row>
    <row r="16935">
      <c r="F16935" s="17"/>
    </row>
    <row r="16936">
      <c r="F16936" s="17"/>
    </row>
    <row r="16937">
      <c r="F16937" s="17"/>
    </row>
    <row r="16938">
      <c r="F16938" s="17"/>
    </row>
    <row r="16939">
      <c r="F16939" s="17"/>
    </row>
    <row r="16940">
      <c r="F16940" s="17"/>
    </row>
    <row r="16941">
      <c r="F16941" s="17"/>
    </row>
    <row r="16942">
      <c r="F16942" s="17"/>
    </row>
    <row r="16943">
      <c r="F16943" s="17"/>
    </row>
    <row r="16944">
      <c r="F16944" s="17"/>
    </row>
    <row r="16945">
      <c r="F16945" s="17"/>
    </row>
    <row r="16946">
      <c r="F16946" s="17"/>
    </row>
    <row r="16947">
      <c r="F16947" s="17"/>
    </row>
    <row r="16948">
      <c r="F16948" s="17"/>
    </row>
    <row r="16949">
      <c r="F16949" s="17"/>
    </row>
    <row r="16950">
      <c r="F16950" s="17"/>
    </row>
    <row r="16951">
      <c r="F16951" s="17"/>
    </row>
    <row r="16952">
      <c r="F16952" s="17"/>
    </row>
    <row r="16953">
      <c r="F16953" s="17"/>
    </row>
    <row r="16954">
      <c r="F16954" s="17"/>
    </row>
    <row r="16955">
      <c r="F16955" s="17"/>
    </row>
    <row r="16956">
      <c r="F16956" s="17"/>
    </row>
    <row r="16957">
      <c r="F16957" s="17"/>
    </row>
    <row r="16958">
      <c r="F16958" s="17"/>
    </row>
    <row r="16959">
      <c r="F16959" s="17"/>
    </row>
    <row r="16960">
      <c r="F16960" s="17"/>
    </row>
    <row r="16961">
      <c r="F16961" s="17"/>
    </row>
    <row r="16962">
      <c r="F16962" s="17"/>
    </row>
    <row r="16963">
      <c r="F16963" s="17"/>
    </row>
    <row r="16964">
      <c r="F16964" s="17"/>
    </row>
    <row r="16965">
      <c r="F16965" s="17"/>
    </row>
    <row r="16966">
      <c r="F16966" s="17"/>
    </row>
    <row r="16967">
      <c r="F16967" s="17"/>
    </row>
    <row r="16968">
      <c r="F16968" s="17"/>
    </row>
    <row r="16969">
      <c r="F16969" s="17"/>
    </row>
    <row r="16970">
      <c r="F16970" s="17"/>
    </row>
    <row r="16971">
      <c r="F16971" s="17"/>
    </row>
    <row r="16972">
      <c r="F16972" s="17"/>
    </row>
    <row r="16973">
      <c r="F16973" s="17"/>
    </row>
    <row r="16974">
      <c r="F16974" s="17"/>
    </row>
    <row r="16975">
      <c r="F16975" s="17"/>
    </row>
    <row r="16976">
      <c r="F16976" s="17"/>
    </row>
    <row r="16977">
      <c r="F16977" s="17"/>
    </row>
    <row r="16978">
      <c r="F16978" s="17"/>
    </row>
    <row r="16979">
      <c r="F16979" s="17"/>
    </row>
    <row r="16980">
      <c r="F16980" s="17"/>
    </row>
    <row r="16981">
      <c r="F16981" s="17"/>
    </row>
    <row r="16982">
      <c r="F16982" s="17"/>
    </row>
    <row r="16983">
      <c r="F16983" s="17"/>
    </row>
    <row r="16984">
      <c r="F16984" s="17"/>
    </row>
    <row r="16985">
      <c r="F16985" s="17"/>
    </row>
    <row r="16986">
      <c r="F16986" s="17"/>
    </row>
    <row r="16987">
      <c r="F16987" s="17"/>
    </row>
    <row r="16988">
      <c r="F16988" s="17"/>
    </row>
    <row r="16989">
      <c r="F16989" s="17"/>
    </row>
    <row r="16990">
      <c r="F16990" s="17"/>
    </row>
    <row r="16991">
      <c r="F16991" s="17"/>
    </row>
    <row r="16992">
      <c r="F16992" s="17"/>
    </row>
    <row r="16993">
      <c r="F16993" s="17"/>
    </row>
    <row r="16994">
      <c r="F16994" s="17"/>
    </row>
    <row r="16995">
      <c r="F16995" s="17"/>
    </row>
    <row r="16996">
      <c r="F16996" s="17"/>
    </row>
    <row r="16997">
      <c r="F16997" s="17"/>
    </row>
    <row r="16998">
      <c r="F16998" s="17"/>
    </row>
    <row r="16999">
      <c r="F16999" s="17"/>
    </row>
    <row r="17000">
      <c r="F17000" s="17"/>
    </row>
    <row r="17001">
      <c r="F17001" s="17"/>
    </row>
    <row r="17002">
      <c r="F17002" s="17"/>
    </row>
    <row r="17003">
      <c r="F17003" s="17"/>
    </row>
    <row r="17004">
      <c r="F17004" s="17"/>
    </row>
    <row r="17005">
      <c r="F17005" s="17"/>
    </row>
    <row r="17006">
      <c r="F17006" s="17"/>
    </row>
    <row r="17007">
      <c r="F17007" s="17"/>
    </row>
    <row r="17008">
      <c r="F17008" s="17"/>
    </row>
    <row r="17009">
      <c r="F17009" s="17"/>
    </row>
    <row r="17010">
      <c r="F17010" s="17"/>
    </row>
    <row r="17011">
      <c r="F17011" s="17"/>
    </row>
    <row r="17012">
      <c r="F17012" s="17"/>
    </row>
    <row r="17013">
      <c r="F17013" s="17"/>
    </row>
    <row r="17014">
      <c r="F17014" s="17"/>
    </row>
    <row r="17015">
      <c r="F17015" s="17"/>
    </row>
    <row r="17016">
      <c r="F17016" s="17"/>
    </row>
    <row r="17017">
      <c r="F17017" s="17"/>
    </row>
    <row r="17018">
      <c r="F17018" s="17"/>
    </row>
    <row r="17019">
      <c r="F17019" s="17"/>
    </row>
    <row r="17020">
      <c r="F17020" s="17"/>
    </row>
    <row r="17021">
      <c r="F17021" s="17"/>
    </row>
    <row r="17022">
      <c r="F17022" s="17"/>
    </row>
    <row r="17023">
      <c r="F17023" s="17"/>
    </row>
    <row r="17024">
      <c r="F17024" s="17"/>
    </row>
    <row r="17025">
      <c r="F17025" s="17"/>
    </row>
    <row r="17026">
      <c r="F17026" s="17"/>
    </row>
    <row r="17027">
      <c r="F17027" s="17"/>
    </row>
    <row r="17028">
      <c r="F17028" s="17"/>
    </row>
    <row r="17029">
      <c r="F17029" s="17"/>
    </row>
    <row r="17030">
      <c r="F17030" s="17"/>
    </row>
    <row r="17031">
      <c r="F17031" s="17"/>
    </row>
    <row r="17032">
      <c r="F17032" s="17"/>
    </row>
    <row r="17033">
      <c r="F17033" s="17"/>
    </row>
    <row r="17034">
      <c r="F17034" s="17"/>
    </row>
    <row r="17035">
      <c r="F17035" s="17"/>
    </row>
    <row r="17036">
      <c r="F17036" s="17"/>
    </row>
    <row r="17037">
      <c r="F17037" s="17"/>
    </row>
    <row r="17038">
      <c r="F17038" s="17"/>
    </row>
    <row r="17039">
      <c r="F17039" s="17"/>
    </row>
    <row r="17040">
      <c r="F17040" s="17"/>
    </row>
    <row r="17041">
      <c r="F17041" s="17"/>
    </row>
    <row r="17042">
      <c r="F17042" s="17"/>
    </row>
    <row r="17043">
      <c r="F17043" s="17"/>
    </row>
    <row r="17044">
      <c r="F17044" s="17"/>
    </row>
    <row r="17045">
      <c r="F17045" s="17"/>
    </row>
    <row r="17046">
      <c r="F17046" s="17"/>
    </row>
    <row r="17047">
      <c r="F17047" s="17"/>
    </row>
    <row r="17048">
      <c r="F17048" s="17"/>
    </row>
    <row r="17049">
      <c r="F17049" s="17"/>
    </row>
    <row r="17050">
      <c r="F17050" s="17"/>
    </row>
    <row r="17051">
      <c r="F17051" s="17"/>
    </row>
    <row r="17052">
      <c r="F17052" s="17"/>
    </row>
    <row r="17053">
      <c r="F17053" s="17"/>
    </row>
    <row r="17054">
      <c r="F17054" s="17"/>
    </row>
    <row r="17055">
      <c r="F17055" s="17"/>
    </row>
    <row r="17056">
      <c r="F17056" s="17"/>
    </row>
    <row r="17057">
      <c r="F17057" s="17"/>
    </row>
    <row r="17058">
      <c r="F17058" s="17"/>
    </row>
    <row r="17059">
      <c r="F17059" s="17"/>
    </row>
    <row r="17060">
      <c r="F17060" s="17"/>
    </row>
    <row r="17061">
      <c r="F17061" s="17"/>
    </row>
    <row r="17062">
      <c r="F17062" s="17"/>
    </row>
    <row r="17063">
      <c r="F17063" s="17"/>
    </row>
    <row r="17064">
      <c r="F17064" s="17"/>
    </row>
    <row r="17065">
      <c r="F17065" s="17"/>
    </row>
    <row r="17066">
      <c r="F17066" s="17"/>
    </row>
    <row r="17067">
      <c r="F17067" s="17"/>
    </row>
    <row r="17068">
      <c r="F17068" s="17"/>
    </row>
    <row r="17069">
      <c r="F17069" s="17"/>
    </row>
    <row r="17070">
      <c r="F17070" s="17"/>
    </row>
    <row r="17071">
      <c r="F17071" s="17"/>
    </row>
    <row r="17072">
      <c r="F17072" s="17"/>
    </row>
    <row r="17073">
      <c r="F17073" s="17"/>
    </row>
    <row r="17074">
      <c r="F17074" s="17"/>
    </row>
    <row r="17075">
      <c r="F17075" s="17"/>
    </row>
    <row r="17076">
      <c r="F17076" s="17"/>
    </row>
    <row r="17077">
      <c r="F17077" s="17"/>
    </row>
    <row r="17078">
      <c r="F17078" s="17"/>
    </row>
    <row r="17079">
      <c r="F17079" s="17"/>
    </row>
    <row r="17080">
      <c r="F17080" s="17"/>
    </row>
    <row r="17081">
      <c r="F17081" s="17"/>
    </row>
    <row r="17082">
      <c r="F17082" s="17"/>
    </row>
    <row r="17083">
      <c r="F17083" s="17"/>
    </row>
    <row r="17084">
      <c r="F17084" s="17"/>
    </row>
    <row r="17085">
      <c r="F17085" s="17"/>
    </row>
    <row r="17086">
      <c r="F17086" s="17"/>
    </row>
    <row r="17087">
      <c r="F17087" s="17"/>
    </row>
    <row r="17088">
      <c r="F17088" s="17"/>
    </row>
    <row r="17089">
      <c r="F17089" s="17"/>
    </row>
    <row r="17090">
      <c r="F17090" s="17"/>
    </row>
    <row r="17091">
      <c r="F17091" s="17"/>
    </row>
    <row r="17092">
      <c r="F17092" s="17"/>
    </row>
    <row r="17093">
      <c r="F17093" s="17"/>
    </row>
    <row r="17094">
      <c r="F17094" s="17"/>
    </row>
    <row r="17095">
      <c r="F17095" s="17"/>
    </row>
    <row r="17096">
      <c r="F17096" s="17"/>
    </row>
    <row r="17097">
      <c r="F17097" s="17"/>
    </row>
    <row r="17098">
      <c r="F17098" s="17"/>
    </row>
    <row r="17099">
      <c r="F17099" s="17"/>
    </row>
    <row r="17100">
      <c r="F17100" s="17"/>
    </row>
    <row r="17101">
      <c r="F17101" s="17"/>
    </row>
    <row r="17102">
      <c r="F17102" s="17"/>
    </row>
    <row r="17103">
      <c r="F17103" s="17"/>
    </row>
    <row r="17104">
      <c r="F17104" s="17"/>
    </row>
    <row r="17105">
      <c r="F17105" s="17"/>
    </row>
    <row r="17106">
      <c r="F17106" s="17"/>
    </row>
    <row r="17107">
      <c r="F17107" s="17"/>
    </row>
    <row r="17108">
      <c r="F17108" s="17"/>
    </row>
    <row r="17109">
      <c r="F17109" s="17"/>
    </row>
    <row r="17110">
      <c r="F17110" s="17"/>
    </row>
    <row r="17111">
      <c r="F17111" s="17"/>
    </row>
    <row r="17112">
      <c r="F17112" s="17"/>
    </row>
    <row r="17113">
      <c r="F17113" s="17"/>
    </row>
    <row r="17114">
      <c r="F17114" s="17"/>
    </row>
    <row r="17115">
      <c r="F17115" s="17"/>
    </row>
    <row r="17116">
      <c r="F17116" s="17"/>
    </row>
    <row r="17117">
      <c r="F17117" s="17"/>
    </row>
    <row r="17118">
      <c r="F17118" s="17"/>
    </row>
    <row r="17119">
      <c r="F17119" s="17"/>
    </row>
    <row r="17120">
      <c r="F17120" s="17"/>
    </row>
    <row r="17121">
      <c r="F17121" s="17"/>
    </row>
    <row r="17122">
      <c r="F17122" s="17"/>
    </row>
    <row r="17123">
      <c r="F17123" s="17"/>
    </row>
    <row r="17124">
      <c r="F17124" s="17"/>
    </row>
    <row r="17125">
      <c r="F17125" s="17"/>
    </row>
    <row r="17126">
      <c r="F17126" s="17"/>
    </row>
    <row r="17127">
      <c r="F17127" s="17"/>
    </row>
    <row r="17128">
      <c r="F17128" s="17"/>
    </row>
    <row r="17129">
      <c r="F17129" s="17"/>
    </row>
    <row r="17130">
      <c r="F17130" s="17"/>
    </row>
    <row r="17131">
      <c r="F17131" s="17"/>
    </row>
    <row r="17132">
      <c r="F17132" s="17"/>
    </row>
    <row r="17133">
      <c r="F17133" s="17"/>
    </row>
    <row r="17134">
      <c r="F17134" s="17"/>
    </row>
    <row r="17135">
      <c r="F17135" s="17"/>
    </row>
    <row r="17136">
      <c r="F17136" s="17"/>
    </row>
    <row r="17137">
      <c r="F17137" s="17"/>
    </row>
    <row r="17138">
      <c r="F17138" s="17"/>
    </row>
    <row r="17139">
      <c r="F17139" s="17"/>
    </row>
    <row r="17140">
      <c r="F17140" s="17"/>
    </row>
    <row r="17141">
      <c r="F17141" s="17"/>
    </row>
    <row r="17142">
      <c r="F17142" s="17"/>
    </row>
    <row r="17143">
      <c r="F17143" s="17"/>
    </row>
    <row r="17144">
      <c r="F17144" s="17"/>
    </row>
    <row r="17145">
      <c r="F17145" s="17"/>
    </row>
    <row r="17146">
      <c r="F17146" s="17"/>
    </row>
    <row r="17147">
      <c r="F17147" s="17"/>
    </row>
    <row r="17148">
      <c r="F17148" s="17"/>
    </row>
    <row r="17149">
      <c r="F17149" s="17"/>
    </row>
    <row r="17150">
      <c r="F17150" s="17"/>
    </row>
    <row r="17151">
      <c r="F17151" s="17"/>
    </row>
    <row r="17152">
      <c r="F17152" s="17"/>
    </row>
    <row r="17153">
      <c r="F17153" s="17"/>
    </row>
    <row r="17154">
      <c r="F17154" s="17"/>
    </row>
    <row r="17155">
      <c r="F17155" s="17"/>
    </row>
    <row r="17156">
      <c r="F17156" s="17"/>
    </row>
    <row r="17157">
      <c r="F17157" s="17"/>
    </row>
    <row r="17158">
      <c r="F17158" s="17"/>
    </row>
    <row r="17159">
      <c r="F17159" s="17"/>
    </row>
    <row r="17160">
      <c r="F17160" s="17"/>
    </row>
    <row r="17161">
      <c r="F17161" s="17"/>
    </row>
    <row r="17162">
      <c r="F17162" s="17"/>
    </row>
    <row r="17163">
      <c r="F17163" s="17"/>
    </row>
    <row r="17164">
      <c r="F17164" s="17"/>
    </row>
    <row r="17165">
      <c r="F17165" s="17"/>
    </row>
    <row r="17166">
      <c r="F17166" s="17"/>
    </row>
    <row r="17167">
      <c r="F17167" s="17"/>
    </row>
    <row r="17168">
      <c r="F17168" s="17"/>
    </row>
    <row r="17169">
      <c r="F17169" s="17"/>
    </row>
    <row r="17170">
      <c r="F17170" s="17"/>
    </row>
    <row r="17171">
      <c r="F17171" s="17"/>
    </row>
    <row r="17172">
      <c r="F17172" s="17"/>
    </row>
    <row r="17173">
      <c r="F17173" s="17"/>
    </row>
    <row r="17174">
      <c r="F17174" s="17"/>
    </row>
    <row r="17175">
      <c r="F17175" s="17"/>
    </row>
    <row r="17176">
      <c r="F17176" s="17"/>
    </row>
    <row r="17177">
      <c r="F17177" s="17"/>
    </row>
    <row r="17178">
      <c r="F17178" s="17"/>
    </row>
    <row r="17179">
      <c r="F17179" s="17"/>
    </row>
    <row r="17180">
      <c r="F17180" s="17"/>
    </row>
    <row r="17181">
      <c r="F17181" s="17"/>
    </row>
    <row r="17182">
      <c r="F17182" s="17"/>
    </row>
    <row r="17183">
      <c r="F17183" s="17"/>
    </row>
    <row r="17184">
      <c r="F17184" s="17"/>
    </row>
    <row r="17185">
      <c r="F17185" s="17"/>
    </row>
    <row r="17186">
      <c r="F17186" s="17"/>
    </row>
    <row r="17187">
      <c r="F17187" s="17"/>
    </row>
    <row r="17188">
      <c r="F17188" s="17"/>
    </row>
    <row r="17189">
      <c r="F17189" s="17"/>
    </row>
    <row r="17190">
      <c r="F17190" s="17"/>
    </row>
    <row r="17191">
      <c r="F17191" s="17"/>
    </row>
    <row r="17192">
      <c r="F17192" s="17"/>
    </row>
    <row r="17193">
      <c r="F17193" s="17"/>
    </row>
    <row r="17194">
      <c r="F17194" s="17"/>
    </row>
    <row r="17195">
      <c r="F17195" s="17"/>
    </row>
    <row r="17196">
      <c r="F17196" s="17"/>
    </row>
    <row r="17197">
      <c r="F17197" s="17"/>
    </row>
    <row r="17198">
      <c r="F17198" s="17"/>
    </row>
    <row r="17199">
      <c r="F17199" s="17"/>
    </row>
    <row r="17200">
      <c r="F17200" s="17"/>
    </row>
    <row r="17201">
      <c r="F17201" s="17"/>
    </row>
    <row r="17202">
      <c r="F17202" s="17"/>
    </row>
    <row r="17203">
      <c r="F17203" s="17"/>
    </row>
    <row r="17204">
      <c r="F17204" s="17"/>
    </row>
    <row r="17205">
      <c r="F17205" s="17"/>
    </row>
    <row r="17206">
      <c r="F17206" s="17"/>
    </row>
    <row r="17207">
      <c r="F17207" s="17"/>
    </row>
    <row r="17208">
      <c r="F17208" s="17"/>
    </row>
    <row r="17209">
      <c r="F17209" s="17"/>
    </row>
    <row r="17210">
      <c r="F17210" s="17"/>
    </row>
    <row r="17211">
      <c r="F17211" s="17"/>
    </row>
    <row r="17212">
      <c r="F17212" s="17"/>
    </row>
    <row r="17213">
      <c r="F17213" s="17"/>
    </row>
    <row r="17214">
      <c r="F17214" s="17"/>
    </row>
    <row r="17215">
      <c r="F17215" s="17"/>
    </row>
    <row r="17216">
      <c r="F17216" s="17"/>
    </row>
    <row r="17217">
      <c r="F17217" s="17"/>
    </row>
    <row r="17218">
      <c r="F17218" s="17"/>
    </row>
    <row r="17219">
      <c r="F17219" s="17"/>
    </row>
    <row r="17220">
      <c r="F17220" s="17"/>
    </row>
    <row r="17221">
      <c r="F17221" s="17"/>
    </row>
    <row r="17222">
      <c r="F17222" s="17"/>
    </row>
    <row r="17223">
      <c r="F17223" s="17"/>
    </row>
    <row r="17224">
      <c r="F17224" s="17"/>
    </row>
    <row r="17225">
      <c r="F17225" s="17"/>
    </row>
    <row r="17226">
      <c r="F17226" s="17"/>
    </row>
    <row r="17227">
      <c r="F17227" s="17"/>
    </row>
    <row r="17228">
      <c r="F17228" s="17"/>
    </row>
    <row r="17229">
      <c r="F17229" s="17"/>
    </row>
    <row r="17230">
      <c r="F17230" s="17"/>
    </row>
    <row r="17231">
      <c r="F17231" s="17"/>
    </row>
    <row r="17232">
      <c r="F17232" s="17"/>
    </row>
    <row r="17233">
      <c r="F17233" s="17"/>
    </row>
    <row r="17234">
      <c r="F17234" s="17"/>
    </row>
    <row r="17235">
      <c r="F17235" s="17"/>
    </row>
    <row r="17236">
      <c r="F17236" s="17"/>
    </row>
    <row r="17237">
      <c r="F17237" s="17"/>
    </row>
    <row r="17238">
      <c r="F17238" s="17"/>
    </row>
    <row r="17239">
      <c r="F17239" s="17"/>
    </row>
    <row r="17240">
      <c r="F17240" s="17"/>
    </row>
    <row r="17241">
      <c r="F17241" s="17"/>
    </row>
    <row r="17242">
      <c r="F17242" s="17"/>
    </row>
    <row r="17243">
      <c r="F17243" s="17"/>
    </row>
    <row r="17244">
      <c r="F17244" s="17"/>
    </row>
    <row r="17245">
      <c r="F17245" s="17"/>
    </row>
    <row r="17246">
      <c r="F17246" s="17"/>
    </row>
    <row r="17247">
      <c r="F17247" s="17"/>
    </row>
    <row r="17248">
      <c r="F17248" s="17"/>
    </row>
    <row r="17249">
      <c r="F17249" s="17"/>
    </row>
    <row r="17250">
      <c r="F17250" s="17"/>
    </row>
    <row r="17251">
      <c r="F17251" s="17"/>
    </row>
    <row r="17252">
      <c r="F17252" s="17"/>
    </row>
    <row r="17253">
      <c r="F17253" s="17"/>
    </row>
    <row r="17254">
      <c r="F17254" s="17"/>
    </row>
    <row r="17255">
      <c r="F17255" s="17"/>
    </row>
    <row r="17256">
      <c r="F17256" s="17"/>
    </row>
    <row r="17257">
      <c r="F17257" s="17"/>
    </row>
    <row r="17258">
      <c r="F17258" s="17"/>
    </row>
    <row r="17259">
      <c r="F17259" s="17"/>
    </row>
    <row r="17260">
      <c r="F17260" s="17"/>
    </row>
    <row r="17261">
      <c r="F17261" s="17"/>
    </row>
    <row r="17262">
      <c r="F17262" s="17"/>
    </row>
    <row r="17263">
      <c r="F17263" s="17"/>
    </row>
    <row r="17264">
      <c r="F17264" s="17"/>
    </row>
    <row r="17265">
      <c r="F17265" s="17"/>
    </row>
    <row r="17266">
      <c r="F17266" s="17"/>
    </row>
    <row r="17267">
      <c r="F17267" s="17"/>
    </row>
    <row r="17268">
      <c r="F17268" s="17"/>
    </row>
    <row r="17269">
      <c r="F17269" s="17"/>
    </row>
    <row r="17270">
      <c r="F17270" s="17"/>
    </row>
    <row r="17271">
      <c r="F17271" s="17"/>
    </row>
    <row r="17272">
      <c r="F17272" s="17"/>
    </row>
    <row r="17273">
      <c r="F17273" s="17"/>
    </row>
    <row r="17274">
      <c r="F17274" s="17"/>
    </row>
    <row r="17275">
      <c r="F17275" s="17"/>
    </row>
    <row r="17276">
      <c r="F17276" s="17"/>
    </row>
    <row r="17277">
      <c r="F17277" s="17"/>
    </row>
    <row r="17278">
      <c r="F17278" s="17"/>
    </row>
    <row r="17279">
      <c r="F17279" s="17"/>
    </row>
    <row r="17280">
      <c r="F17280" s="17"/>
    </row>
    <row r="17281">
      <c r="F17281" s="17"/>
    </row>
    <row r="17282">
      <c r="F17282" s="17"/>
    </row>
    <row r="17283">
      <c r="F17283" s="17"/>
    </row>
    <row r="17284">
      <c r="F17284" s="17"/>
    </row>
    <row r="17285">
      <c r="F17285" s="17"/>
    </row>
    <row r="17286">
      <c r="F17286" s="17"/>
    </row>
    <row r="17287">
      <c r="F17287" s="17"/>
    </row>
    <row r="17288">
      <c r="F17288" s="17"/>
    </row>
    <row r="17289">
      <c r="F17289" s="17"/>
    </row>
    <row r="17290">
      <c r="F17290" s="17"/>
    </row>
    <row r="17291">
      <c r="F17291" s="17"/>
    </row>
    <row r="17292">
      <c r="F17292" s="17"/>
    </row>
    <row r="17293">
      <c r="F17293" s="17"/>
    </row>
    <row r="17294">
      <c r="F17294" s="17"/>
    </row>
    <row r="17295">
      <c r="F17295" s="17"/>
    </row>
    <row r="17296">
      <c r="F17296" s="17"/>
    </row>
    <row r="17297">
      <c r="F17297" s="17"/>
    </row>
    <row r="17298">
      <c r="F17298" s="17"/>
    </row>
    <row r="17299">
      <c r="F17299" s="17"/>
    </row>
    <row r="17300">
      <c r="F17300" s="17"/>
    </row>
    <row r="17301">
      <c r="F17301" s="17"/>
    </row>
    <row r="17302">
      <c r="F17302" s="17"/>
    </row>
    <row r="17303">
      <c r="F17303" s="17"/>
    </row>
    <row r="17304">
      <c r="F17304" s="17"/>
    </row>
    <row r="17305">
      <c r="F17305" s="17"/>
    </row>
    <row r="17306">
      <c r="F17306" s="17"/>
    </row>
    <row r="17307">
      <c r="F17307" s="17"/>
    </row>
    <row r="17308">
      <c r="F17308" s="17"/>
    </row>
    <row r="17309">
      <c r="F17309" s="17"/>
    </row>
    <row r="17310">
      <c r="F17310" s="17"/>
    </row>
    <row r="17311">
      <c r="F17311" s="17"/>
    </row>
    <row r="17312">
      <c r="F17312" s="17"/>
    </row>
    <row r="17313">
      <c r="F17313" s="17"/>
    </row>
    <row r="17314">
      <c r="F17314" s="17"/>
    </row>
    <row r="17315">
      <c r="F17315" s="17"/>
    </row>
    <row r="17316">
      <c r="F17316" s="17"/>
    </row>
    <row r="17317">
      <c r="F17317" s="17"/>
    </row>
    <row r="17318">
      <c r="F17318" s="17"/>
    </row>
    <row r="17319">
      <c r="F17319" s="17"/>
    </row>
    <row r="17320">
      <c r="F17320" s="17"/>
    </row>
    <row r="17321">
      <c r="F17321" s="17"/>
    </row>
    <row r="17322">
      <c r="F17322" s="17"/>
    </row>
    <row r="17323">
      <c r="F17323" s="17"/>
    </row>
    <row r="17324">
      <c r="F17324" s="17"/>
    </row>
    <row r="17325">
      <c r="F17325" s="17"/>
    </row>
    <row r="17326">
      <c r="F17326" s="17"/>
    </row>
    <row r="17327">
      <c r="F17327" s="17"/>
    </row>
    <row r="17328">
      <c r="F17328" s="17"/>
    </row>
    <row r="17329">
      <c r="F17329" s="17"/>
    </row>
    <row r="17330">
      <c r="F17330" s="17"/>
    </row>
    <row r="17331">
      <c r="F17331" s="17"/>
    </row>
    <row r="17332">
      <c r="F17332" s="17"/>
    </row>
    <row r="17333">
      <c r="F17333" s="17"/>
    </row>
    <row r="17334">
      <c r="F17334" s="17"/>
    </row>
    <row r="17335">
      <c r="F17335" s="17"/>
    </row>
    <row r="17336">
      <c r="F17336" s="17"/>
    </row>
    <row r="17337">
      <c r="F17337" s="17"/>
    </row>
    <row r="17338">
      <c r="F17338" s="17"/>
    </row>
    <row r="17339">
      <c r="F17339" s="17"/>
    </row>
    <row r="17340">
      <c r="F17340" s="17"/>
    </row>
    <row r="17341">
      <c r="F17341" s="17"/>
    </row>
    <row r="17342">
      <c r="F17342" s="17"/>
    </row>
    <row r="17343">
      <c r="F17343" s="17"/>
    </row>
    <row r="17344">
      <c r="F17344" s="17"/>
    </row>
    <row r="17345">
      <c r="F17345" s="17"/>
    </row>
    <row r="17346">
      <c r="F17346" s="17"/>
    </row>
    <row r="17347">
      <c r="F17347" s="17"/>
    </row>
    <row r="17348">
      <c r="F17348" s="17"/>
    </row>
    <row r="17349">
      <c r="F17349" s="17"/>
    </row>
    <row r="17350">
      <c r="F17350" s="17"/>
    </row>
    <row r="17351">
      <c r="F17351" s="17"/>
    </row>
    <row r="17352">
      <c r="F17352" s="17"/>
    </row>
    <row r="17353">
      <c r="F17353" s="17"/>
    </row>
    <row r="17354">
      <c r="F17354" s="17"/>
    </row>
    <row r="17355">
      <c r="F17355" s="17"/>
    </row>
    <row r="17356">
      <c r="F17356" s="17"/>
    </row>
    <row r="17357">
      <c r="F17357" s="17"/>
    </row>
    <row r="17358">
      <c r="F17358" s="17"/>
    </row>
    <row r="17359">
      <c r="F17359" s="17"/>
    </row>
    <row r="17360">
      <c r="F17360" s="17"/>
    </row>
    <row r="17361">
      <c r="F17361" s="17"/>
    </row>
    <row r="17362">
      <c r="F17362" s="17"/>
    </row>
    <row r="17363">
      <c r="F17363" s="17"/>
    </row>
    <row r="17364">
      <c r="F17364" s="17"/>
    </row>
    <row r="17365">
      <c r="F17365" s="17"/>
    </row>
    <row r="17366">
      <c r="F17366" s="17"/>
    </row>
    <row r="17367">
      <c r="F17367" s="17"/>
    </row>
    <row r="17368">
      <c r="F17368" s="17"/>
    </row>
    <row r="17369">
      <c r="F17369" s="17"/>
    </row>
    <row r="17370">
      <c r="F17370" s="17"/>
    </row>
    <row r="17371">
      <c r="F17371" s="17"/>
    </row>
    <row r="17372">
      <c r="F17372" s="17"/>
    </row>
    <row r="17373">
      <c r="F17373" s="17"/>
    </row>
    <row r="17374">
      <c r="F17374" s="17"/>
    </row>
    <row r="17375">
      <c r="F17375" s="17"/>
    </row>
    <row r="17376">
      <c r="F17376" s="17"/>
    </row>
    <row r="17377">
      <c r="F17377" s="17"/>
    </row>
    <row r="17378">
      <c r="F17378" s="17"/>
    </row>
    <row r="17379">
      <c r="F17379" s="17"/>
    </row>
    <row r="17380">
      <c r="F17380" s="17"/>
    </row>
    <row r="17381">
      <c r="F17381" s="17"/>
    </row>
    <row r="17382">
      <c r="F17382" s="17"/>
    </row>
    <row r="17383">
      <c r="F17383" s="17"/>
    </row>
    <row r="17384">
      <c r="F17384" s="17"/>
    </row>
    <row r="17385">
      <c r="F17385" s="17"/>
    </row>
    <row r="17386">
      <c r="F17386" s="17"/>
    </row>
    <row r="17387">
      <c r="F17387" s="17"/>
    </row>
    <row r="17388">
      <c r="F17388" s="17"/>
    </row>
    <row r="17389">
      <c r="F17389" s="17"/>
    </row>
    <row r="17390">
      <c r="F17390" s="17"/>
    </row>
    <row r="17391">
      <c r="F17391" s="17"/>
    </row>
    <row r="17392">
      <c r="F17392" s="17"/>
    </row>
    <row r="17393">
      <c r="F17393" s="17"/>
    </row>
    <row r="17394">
      <c r="F17394" s="17"/>
    </row>
    <row r="17395">
      <c r="F17395" s="17"/>
    </row>
    <row r="17396">
      <c r="F17396" s="17"/>
    </row>
    <row r="17397">
      <c r="F17397" s="17"/>
    </row>
    <row r="17398">
      <c r="F17398" s="17"/>
    </row>
    <row r="17399">
      <c r="F17399" s="17"/>
    </row>
    <row r="17400">
      <c r="F17400" s="17"/>
    </row>
    <row r="17401">
      <c r="F17401" s="17"/>
    </row>
    <row r="17402">
      <c r="F17402" s="17"/>
    </row>
    <row r="17403">
      <c r="F17403" s="17"/>
    </row>
    <row r="17404">
      <c r="F17404" s="17"/>
    </row>
    <row r="17405">
      <c r="F17405" s="17"/>
    </row>
    <row r="17406">
      <c r="F17406" s="17"/>
    </row>
    <row r="17407">
      <c r="F17407" s="17"/>
    </row>
    <row r="17408">
      <c r="F17408" s="17"/>
    </row>
    <row r="17409">
      <c r="F17409" s="17"/>
    </row>
    <row r="17410">
      <c r="F17410" s="17"/>
    </row>
    <row r="17411">
      <c r="F17411" s="17"/>
    </row>
    <row r="17412">
      <c r="F17412" s="17"/>
    </row>
    <row r="17413">
      <c r="F17413" s="17"/>
    </row>
    <row r="17414">
      <c r="F17414" s="17"/>
    </row>
    <row r="17415">
      <c r="F17415" s="17"/>
    </row>
    <row r="17416">
      <c r="F17416" s="17"/>
    </row>
    <row r="17417">
      <c r="F17417" s="17"/>
    </row>
    <row r="17418">
      <c r="F17418" s="17"/>
    </row>
    <row r="17419">
      <c r="F17419" s="17"/>
    </row>
    <row r="17420">
      <c r="F17420" s="17"/>
    </row>
    <row r="17421">
      <c r="F17421" s="17"/>
    </row>
    <row r="17422">
      <c r="F17422" s="17"/>
    </row>
    <row r="17423">
      <c r="F17423" s="17"/>
    </row>
    <row r="17424">
      <c r="F17424" s="17"/>
    </row>
    <row r="17425">
      <c r="F17425" s="17"/>
    </row>
    <row r="17426">
      <c r="F17426" s="17"/>
    </row>
    <row r="17427">
      <c r="F17427" s="17"/>
    </row>
    <row r="17428">
      <c r="F17428" s="17"/>
    </row>
    <row r="17429">
      <c r="F17429" s="17"/>
    </row>
    <row r="17430">
      <c r="F17430" s="17"/>
    </row>
    <row r="17431">
      <c r="F17431" s="17"/>
    </row>
    <row r="17432">
      <c r="F17432" s="17"/>
    </row>
    <row r="17433">
      <c r="F17433" s="17"/>
    </row>
    <row r="17434">
      <c r="F17434" s="17"/>
    </row>
    <row r="17435">
      <c r="F17435" s="17"/>
    </row>
    <row r="17436">
      <c r="F17436" s="17"/>
    </row>
    <row r="17437">
      <c r="F17437" s="17"/>
    </row>
    <row r="17438">
      <c r="F17438" s="17"/>
    </row>
    <row r="17439">
      <c r="F17439" s="17"/>
    </row>
    <row r="17440">
      <c r="F17440" s="17"/>
    </row>
    <row r="17441">
      <c r="F17441" s="17"/>
    </row>
    <row r="17442">
      <c r="F17442" s="17"/>
    </row>
    <row r="17443">
      <c r="F17443" s="17"/>
    </row>
    <row r="17444">
      <c r="F17444" s="17"/>
    </row>
    <row r="17445">
      <c r="F17445" s="17"/>
    </row>
    <row r="17446">
      <c r="F17446" s="17"/>
    </row>
    <row r="17447">
      <c r="F17447" s="17"/>
    </row>
    <row r="17448">
      <c r="F17448" s="17"/>
    </row>
    <row r="17449">
      <c r="F17449" s="17"/>
    </row>
    <row r="17450">
      <c r="F17450" s="17"/>
    </row>
    <row r="17451">
      <c r="F17451" s="17"/>
    </row>
    <row r="17452">
      <c r="F17452" s="17"/>
    </row>
    <row r="17453">
      <c r="F17453" s="17"/>
    </row>
    <row r="17454">
      <c r="F17454" s="17"/>
    </row>
    <row r="17455">
      <c r="F17455" s="17"/>
    </row>
    <row r="17456">
      <c r="F17456" s="17"/>
    </row>
    <row r="17457">
      <c r="F17457" s="17"/>
    </row>
    <row r="17458">
      <c r="F17458" s="17"/>
    </row>
    <row r="17459">
      <c r="F17459" s="17"/>
    </row>
    <row r="17460">
      <c r="F17460" s="17"/>
    </row>
    <row r="17461">
      <c r="F17461" s="17"/>
    </row>
    <row r="17462">
      <c r="F17462" s="17"/>
    </row>
    <row r="17463">
      <c r="F17463" s="17"/>
    </row>
    <row r="17464">
      <c r="F17464" s="17"/>
    </row>
    <row r="17465">
      <c r="F17465" s="17"/>
    </row>
    <row r="17466">
      <c r="F17466" s="17"/>
    </row>
    <row r="17467">
      <c r="F17467" s="17"/>
    </row>
    <row r="17468">
      <c r="F17468" s="17"/>
    </row>
    <row r="17469">
      <c r="F17469" s="17"/>
    </row>
    <row r="17470">
      <c r="F17470" s="17"/>
    </row>
    <row r="17471">
      <c r="F17471" s="17"/>
    </row>
    <row r="17472">
      <c r="F17472" s="17"/>
    </row>
    <row r="17473">
      <c r="F17473" s="17"/>
    </row>
    <row r="17474">
      <c r="F17474" s="17"/>
    </row>
    <row r="17475">
      <c r="F17475" s="17"/>
    </row>
    <row r="17476">
      <c r="F17476" s="17"/>
    </row>
    <row r="17477">
      <c r="F17477" s="17"/>
    </row>
    <row r="17478">
      <c r="F17478" s="17"/>
    </row>
    <row r="17479">
      <c r="F17479" s="17"/>
    </row>
    <row r="17480">
      <c r="F17480" s="17"/>
    </row>
    <row r="17481">
      <c r="F17481" s="17"/>
    </row>
    <row r="17482">
      <c r="F17482" s="17"/>
    </row>
    <row r="17483">
      <c r="F17483" s="17"/>
    </row>
    <row r="17484">
      <c r="F17484" s="17"/>
    </row>
    <row r="17485">
      <c r="F17485" s="17"/>
    </row>
    <row r="17486">
      <c r="F17486" s="17"/>
    </row>
    <row r="17487">
      <c r="F17487" s="17"/>
    </row>
    <row r="17488">
      <c r="F17488" s="17"/>
    </row>
    <row r="17489">
      <c r="F17489" s="17"/>
    </row>
    <row r="17490">
      <c r="F17490" s="17"/>
    </row>
    <row r="17491">
      <c r="F17491" s="17"/>
    </row>
    <row r="17492">
      <c r="F17492" s="17"/>
    </row>
    <row r="17493">
      <c r="F17493" s="17"/>
    </row>
    <row r="17494">
      <c r="F17494" s="17"/>
    </row>
    <row r="17495">
      <c r="F17495" s="17"/>
    </row>
    <row r="17496">
      <c r="F17496" s="17"/>
    </row>
    <row r="17497">
      <c r="F17497" s="17"/>
    </row>
    <row r="17498">
      <c r="F17498" s="17"/>
    </row>
    <row r="17499">
      <c r="F17499" s="17"/>
    </row>
    <row r="17500">
      <c r="F17500" s="17"/>
    </row>
    <row r="17501">
      <c r="F17501" s="17"/>
    </row>
    <row r="17502">
      <c r="F17502" s="17"/>
    </row>
    <row r="17503">
      <c r="F17503" s="17"/>
    </row>
    <row r="17504">
      <c r="F17504" s="17"/>
    </row>
    <row r="17505">
      <c r="F17505" s="17"/>
    </row>
    <row r="17506">
      <c r="F17506" s="17"/>
    </row>
    <row r="17507">
      <c r="F17507" s="17"/>
    </row>
    <row r="17508">
      <c r="F17508" s="17"/>
    </row>
    <row r="17509">
      <c r="F17509" s="17"/>
    </row>
    <row r="17510">
      <c r="F17510" s="17"/>
    </row>
    <row r="17511">
      <c r="F17511" s="17"/>
    </row>
    <row r="17512">
      <c r="F17512" s="17"/>
    </row>
    <row r="17513">
      <c r="F17513" s="17"/>
    </row>
    <row r="17514">
      <c r="F17514" s="17"/>
    </row>
    <row r="17515">
      <c r="F17515" s="17"/>
    </row>
    <row r="17516">
      <c r="F17516" s="17"/>
    </row>
    <row r="17517">
      <c r="F17517" s="17"/>
    </row>
    <row r="17518">
      <c r="F17518" s="17"/>
    </row>
    <row r="17519">
      <c r="F17519" s="17"/>
    </row>
    <row r="17520">
      <c r="F17520" s="17"/>
    </row>
    <row r="17521">
      <c r="F17521" s="17"/>
    </row>
    <row r="17522">
      <c r="F17522" s="17"/>
    </row>
    <row r="17523">
      <c r="F17523" s="17"/>
    </row>
    <row r="17524">
      <c r="F17524" s="17"/>
    </row>
    <row r="17525">
      <c r="F17525" s="17"/>
    </row>
    <row r="17526">
      <c r="F17526" s="17"/>
    </row>
    <row r="17527">
      <c r="F17527" s="17"/>
    </row>
    <row r="17528">
      <c r="F17528" s="17"/>
    </row>
    <row r="17529">
      <c r="F17529" s="17"/>
    </row>
    <row r="17530">
      <c r="F17530" s="17"/>
    </row>
    <row r="17531">
      <c r="F17531" s="17"/>
    </row>
    <row r="17532">
      <c r="F17532" s="17"/>
    </row>
    <row r="17533">
      <c r="F17533" s="17"/>
    </row>
    <row r="17534">
      <c r="F17534" s="17"/>
    </row>
    <row r="17535">
      <c r="F17535" s="17"/>
    </row>
    <row r="17536">
      <c r="F17536" s="17"/>
    </row>
    <row r="17537">
      <c r="F17537" s="17"/>
    </row>
    <row r="17538">
      <c r="F17538" s="17"/>
    </row>
    <row r="17539">
      <c r="F17539" s="17"/>
    </row>
    <row r="17540">
      <c r="F17540" s="17"/>
    </row>
    <row r="17541">
      <c r="F17541" s="17"/>
    </row>
    <row r="17542">
      <c r="F17542" s="17"/>
    </row>
    <row r="17543">
      <c r="F17543" s="17"/>
    </row>
    <row r="17544">
      <c r="F17544" s="17"/>
    </row>
    <row r="17545">
      <c r="F17545" s="17"/>
    </row>
    <row r="17546">
      <c r="F17546" s="17"/>
    </row>
    <row r="17547">
      <c r="F17547" s="17"/>
    </row>
    <row r="17548">
      <c r="F17548" s="17"/>
    </row>
    <row r="17549">
      <c r="F17549" s="17"/>
    </row>
    <row r="17550">
      <c r="F17550" s="17"/>
    </row>
    <row r="17551">
      <c r="F17551" s="17"/>
    </row>
    <row r="17552">
      <c r="F17552" s="17"/>
    </row>
    <row r="17553">
      <c r="F17553" s="17"/>
    </row>
    <row r="17554">
      <c r="F17554" s="17"/>
    </row>
    <row r="17555">
      <c r="F17555" s="17"/>
    </row>
    <row r="17556">
      <c r="F17556" s="17"/>
    </row>
    <row r="17557">
      <c r="F17557" s="17"/>
    </row>
    <row r="17558">
      <c r="F17558" s="17"/>
    </row>
    <row r="17559">
      <c r="F17559" s="17"/>
    </row>
    <row r="17560">
      <c r="F17560" s="17"/>
    </row>
    <row r="17561">
      <c r="F17561" s="17"/>
    </row>
    <row r="17562">
      <c r="F17562" s="17"/>
    </row>
    <row r="17563">
      <c r="F17563" s="17"/>
    </row>
    <row r="17564">
      <c r="F17564" s="17"/>
    </row>
    <row r="17565">
      <c r="F17565" s="17"/>
    </row>
    <row r="17566">
      <c r="F17566" s="17"/>
    </row>
    <row r="17567">
      <c r="F17567" s="17"/>
    </row>
    <row r="17568">
      <c r="F17568" s="17"/>
    </row>
    <row r="17569">
      <c r="F17569" s="17"/>
    </row>
    <row r="17570">
      <c r="F17570" s="17"/>
    </row>
    <row r="17571">
      <c r="F17571" s="17"/>
    </row>
    <row r="17572">
      <c r="F17572" s="17"/>
    </row>
    <row r="17573">
      <c r="F17573" s="17"/>
    </row>
    <row r="17574">
      <c r="F17574" s="17"/>
    </row>
    <row r="17575">
      <c r="F17575" s="17"/>
    </row>
    <row r="17576">
      <c r="F17576" s="17"/>
    </row>
    <row r="17577">
      <c r="F17577" s="17"/>
    </row>
    <row r="17578">
      <c r="F17578" s="17"/>
    </row>
    <row r="17579">
      <c r="F17579" s="17"/>
    </row>
    <row r="17580">
      <c r="F17580" s="17"/>
    </row>
    <row r="17581">
      <c r="F17581" s="17"/>
    </row>
    <row r="17582">
      <c r="F17582" s="17"/>
    </row>
    <row r="17583">
      <c r="F17583" s="17"/>
    </row>
    <row r="17584">
      <c r="F17584" s="17"/>
    </row>
    <row r="17585">
      <c r="F17585" s="17"/>
    </row>
    <row r="17586">
      <c r="F17586" s="17"/>
    </row>
    <row r="17587">
      <c r="F17587" s="17"/>
    </row>
    <row r="17588">
      <c r="F17588" s="17"/>
    </row>
    <row r="17589">
      <c r="F17589" s="17"/>
    </row>
    <row r="17590">
      <c r="F17590" s="17"/>
    </row>
    <row r="17591">
      <c r="F17591" s="17"/>
    </row>
    <row r="17592">
      <c r="F17592" s="17"/>
    </row>
    <row r="17593">
      <c r="F17593" s="17"/>
    </row>
    <row r="17594">
      <c r="F17594" s="17"/>
    </row>
    <row r="17595">
      <c r="F17595" s="17"/>
    </row>
    <row r="17596">
      <c r="F17596" s="17"/>
    </row>
    <row r="17597">
      <c r="F17597" s="17"/>
    </row>
    <row r="17598">
      <c r="F17598" s="17"/>
    </row>
    <row r="17599">
      <c r="F17599" s="17"/>
    </row>
    <row r="17600">
      <c r="F17600" s="17"/>
    </row>
    <row r="17601">
      <c r="F17601" s="17"/>
    </row>
    <row r="17602">
      <c r="F17602" s="17"/>
    </row>
    <row r="17603">
      <c r="F17603" s="17"/>
    </row>
    <row r="17604">
      <c r="F17604" s="17"/>
    </row>
    <row r="17605">
      <c r="F17605" s="17"/>
    </row>
    <row r="17606">
      <c r="F17606" s="17"/>
    </row>
    <row r="17607">
      <c r="F17607" s="17"/>
    </row>
    <row r="17608">
      <c r="F17608" s="17"/>
    </row>
    <row r="17609">
      <c r="F17609" s="17"/>
    </row>
    <row r="17610">
      <c r="F17610" s="17"/>
    </row>
    <row r="17611">
      <c r="F17611" s="17"/>
    </row>
    <row r="17612">
      <c r="F17612" s="17"/>
    </row>
    <row r="17613">
      <c r="F17613" s="17"/>
    </row>
    <row r="17614">
      <c r="F17614" s="17"/>
    </row>
    <row r="17615">
      <c r="F17615" s="17"/>
    </row>
    <row r="17616">
      <c r="F17616" s="17"/>
    </row>
    <row r="17617">
      <c r="F17617" s="17"/>
    </row>
    <row r="17618">
      <c r="F17618" s="17"/>
    </row>
    <row r="17619">
      <c r="F17619" s="17"/>
    </row>
    <row r="17620">
      <c r="F17620" s="17"/>
    </row>
    <row r="17621">
      <c r="F17621" s="17"/>
    </row>
    <row r="17622">
      <c r="F17622" s="17"/>
    </row>
    <row r="17623">
      <c r="F17623" s="17"/>
    </row>
    <row r="17624">
      <c r="F17624" s="17"/>
    </row>
    <row r="17625">
      <c r="F17625" s="17"/>
    </row>
    <row r="17626">
      <c r="F17626" s="17"/>
    </row>
    <row r="17627">
      <c r="F17627" s="17"/>
    </row>
    <row r="17628">
      <c r="F17628" s="17"/>
    </row>
    <row r="17629">
      <c r="F17629" s="17"/>
    </row>
    <row r="17630">
      <c r="F17630" s="17"/>
    </row>
    <row r="17631">
      <c r="F17631" s="17"/>
    </row>
    <row r="17632">
      <c r="F17632" s="17"/>
    </row>
    <row r="17633">
      <c r="F17633" s="17"/>
    </row>
    <row r="17634">
      <c r="F17634" s="17"/>
    </row>
    <row r="17635">
      <c r="F17635" s="17"/>
    </row>
    <row r="17636">
      <c r="F17636" s="17"/>
    </row>
    <row r="17637">
      <c r="F17637" s="17"/>
    </row>
    <row r="17638">
      <c r="F17638" s="17"/>
    </row>
    <row r="17639">
      <c r="F17639" s="17"/>
    </row>
    <row r="17640">
      <c r="F17640" s="17"/>
    </row>
    <row r="17641">
      <c r="F17641" s="17"/>
    </row>
    <row r="17642">
      <c r="F17642" s="17"/>
    </row>
    <row r="17643">
      <c r="F17643" s="17"/>
    </row>
    <row r="17644">
      <c r="F17644" s="17"/>
    </row>
    <row r="17645">
      <c r="F17645" s="17"/>
    </row>
    <row r="17646">
      <c r="F17646" s="17"/>
    </row>
    <row r="17647">
      <c r="F17647" s="17"/>
    </row>
    <row r="17648">
      <c r="F17648" s="17"/>
    </row>
    <row r="17649">
      <c r="F17649" s="17"/>
    </row>
    <row r="17650">
      <c r="F17650" s="17"/>
    </row>
    <row r="17651">
      <c r="F17651" s="17"/>
    </row>
    <row r="17652">
      <c r="F17652" s="17"/>
    </row>
    <row r="17653">
      <c r="F17653" s="17"/>
    </row>
    <row r="17654">
      <c r="F17654" s="17"/>
    </row>
    <row r="17655">
      <c r="F17655" s="17"/>
    </row>
    <row r="17656">
      <c r="F17656" s="17"/>
    </row>
    <row r="17657">
      <c r="F17657" s="17"/>
    </row>
    <row r="17658">
      <c r="F17658" s="17"/>
    </row>
    <row r="17659">
      <c r="F17659" s="17"/>
    </row>
    <row r="17660">
      <c r="F17660" s="17"/>
    </row>
    <row r="17661">
      <c r="F17661" s="17"/>
    </row>
    <row r="17662">
      <c r="F17662" s="17"/>
    </row>
    <row r="17663">
      <c r="F17663" s="17"/>
    </row>
    <row r="17664">
      <c r="F17664" s="17"/>
    </row>
    <row r="17665">
      <c r="F17665" s="17"/>
    </row>
    <row r="17666">
      <c r="F17666" s="17"/>
    </row>
    <row r="17667">
      <c r="F17667" s="17"/>
    </row>
    <row r="17668">
      <c r="F17668" s="17"/>
    </row>
    <row r="17669">
      <c r="F17669" s="17"/>
    </row>
    <row r="17670">
      <c r="F17670" s="17"/>
    </row>
    <row r="17671">
      <c r="F17671" s="17"/>
    </row>
    <row r="17672">
      <c r="F17672" s="17"/>
    </row>
    <row r="17673">
      <c r="F17673" s="17"/>
    </row>
    <row r="17674">
      <c r="F17674" s="17"/>
    </row>
    <row r="17675">
      <c r="F17675" s="17"/>
    </row>
    <row r="17676">
      <c r="F17676" s="17"/>
    </row>
    <row r="17677">
      <c r="F17677" s="17"/>
    </row>
    <row r="17678">
      <c r="F17678" s="17"/>
    </row>
    <row r="17679">
      <c r="F17679" s="17"/>
    </row>
    <row r="17680">
      <c r="F17680" s="17"/>
    </row>
    <row r="17681">
      <c r="F17681" s="17"/>
    </row>
    <row r="17682">
      <c r="F17682" s="17"/>
    </row>
    <row r="17683">
      <c r="F17683" s="17"/>
    </row>
    <row r="17684">
      <c r="F17684" s="17"/>
    </row>
    <row r="17685">
      <c r="F17685" s="17"/>
    </row>
    <row r="17686">
      <c r="F17686" s="17"/>
    </row>
    <row r="17687">
      <c r="F17687" s="17"/>
    </row>
    <row r="17688">
      <c r="F17688" s="17"/>
    </row>
    <row r="17689">
      <c r="F17689" s="17"/>
    </row>
    <row r="17690">
      <c r="F17690" s="17"/>
    </row>
    <row r="17691">
      <c r="F17691" s="17"/>
    </row>
    <row r="17692">
      <c r="F17692" s="17"/>
    </row>
    <row r="17693">
      <c r="F17693" s="17"/>
    </row>
    <row r="17694">
      <c r="F17694" s="17"/>
    </row>
    <row r="17695">
      <c r="F17695" s="17"/>
    </row>
    <row r="17696">
      <c r="F17696" s="17"/>
    </row>
    <row r="17697">
      <c r="F17697" s="17"/>
    </row>
    <row r="17698">
      <c r="F17698" s="17"/>
    </row>
    <row r="17699">
      <c r="F17699" s="17"/>
    </row>
    <row r="17700">
      <c r="F17700" s="17"/>
    </row>
    <row r="17701">
      <c r="F17701" s="17"/>
    </row>
    <row r="17702">
      <c r="F17702" s="17"/>
    </row>
    <row r="17703">
      <c r="F17703" s="17"/>
    </row>
    <row r="17704">
      <c r="F17704" s="17"/>
    </row>
    <row r="17705">
      <c r="F17705" s="17"/>
    </row>
    <row r="17706">
      <c r="F17706" s="17"/>
    </row>
    <row r="17707">
      <c r="F17707" s="17"/>
    </row>
    <row r="17708">
      <c r="F17708" s="17"/>
    </row>
    <row r="17709">
      <c r="F17709" s="17"/>
    </row>
    <row r="17710">
      <c r="F17710" s="17"/>
    </row>
    <row r="17711">
      <c r="F17711" s="17"/>
    </row>
    <row r="17712">
      <c r="F17712" s="17"/>
    </row>
    <row r="17713">
      <c r="F17713" s="17"/>
    </row>
    <row r="17714">
      <c r="F17714" s="17"/>
    </row>
    <row r="17715">
      <c r="F17715" s="17"/>
    </row>
    <row r="17716">
      <c r="F17716" s="17"/>
    </row>
    <row r="17717">
      <c r="F17717" s="17"/>
    </row>
    <row r="17718">
      <c r="F17718" s="17"/>
    </row>
    <row r="17719">
      <c r="F17719" s="17"/>
    </row>
    <row r="17720">
      <c r="F17720" s="17"/>
    </row>
    <row r="17721">
      <c r="F17721" s="17"/>
    </row>
    <row r="17722">
      <c r="F17722" s="17"/>
    </row>
    <row r="17723">
      <c r="F17723" s="17"/>
    </row>
    <row r="17724">
      <c r="F17724" s="17"/>
    </row>
    <row r="17725">
      <c r="F17725" s="17"/>
    </row>
    <row r="17726">
      <c r="F17726" s="17"/>
    </row>
    <row r="17727">
      <c r="F17727" s="17"/>
    </row>
    <row r="17728">
      <c r="F17728" s="17"/>
    </row>
    <row r="17729">
      <c r="F17729" s="17"/>
    </row>
    <row r="17730">
      <c r="F17730" s="17"/>
    </row>
    <row r="17731">
      <c r="F17731" s="17"/>
    </row>
    <row r="17732">
      <c r="F17732" s="17"/>
    </row>
    <row r="17733">
      <c r="F17733" s="17"/>
    </row>
    <row r="17734">
      <c r="F17734" s="17"/>
    </row>
    <row r="17735">
      <c r="F17735" s="17"/>
    </row>
    <row r="17736">
      <c r="F17736" s="17"/>
    </row>
    <row r="17737">
      <c r="F17737" s="17"/>
    </row>
    <row r="17738">
      <c r="F17738" s="17"/>
    </row>
    <row r="17739">
      <c r="F17739" s="17"/>
    </row>
    <row r="17740">
      <c r="F17740" s="17"/>
    </row>
    <row r="17741">
      <c r="F17741" s="17"/>
    </row>
    <row r="17742">
      <c r="F17742" s="17"/>
    </row>
    <row r="17743">
      <c r="F17743" s="17"/>
    </row>
    <row r="17744">
      <c r="F17744" s="17"/>
    </row>
    <row r="17745">
      <c r="F17745" s="17"/>
    </row>
    <row r="17746">
      <c r="F17746" s="17"/>
    </row>
    <row r="17747">
      <c r="F17747" s="17"/>
    </row>
    <row r="17748">
      <c r="F17748" s="17"/>
    </row>
    <row r="17749">
      <c r="F17749" s="17"/>
    </row>
    <row r="17750">
      <c r="F17750" s="17"/>
    </row>
    <row r="17751">
      <c r="F17751" s="17"/>
    </row>
    <row r="17752">
      <c r="F17752" s="17"/>
    </row>
    <row r="17753">
      <c r="F17753" s="17"/>
    </row>
    <row r="17754">
      <c r="F17754" s="17"/>
    </row>
    <row r="17755">
      <c r="F17755" s="17"/>
    </row>
    <row r="17756">
      <c r="F17756" s="17"/>
    </row>
    <row r="17757">
      <c r="F17757" s="17"/>
    </row>
    <row r="17758">
      <c r="F17758" s="17"/>
    </row>
    <row r="17759">
      <c r="F17759" s="17"/>
    </row>
    <row r="17760">
      <c r="F17760" s="17"/>
    </row>
    <row r="17761">
      <c r="F17761" s="17"/>
    </row>
    <row r="17762">
      <c r="F17762" s="17"/>
    </row>
    <row r="17763">
      <c r="F17763" s="17"/>
    </row>
    <row r="17764">
      <c r="F17764" s="17"/>
    </row>
    <row r="17765">
      <c r="F17765" s="17"/>
    </row>
    <row r="17766">
      <c r="F17766" s="17"/>
    </row>
    <row r="17767">
      <c r="F17767" s="17"/>
    </row>
    <row r="17768">
      <c r="F17768" s="17"/>
    </row>
    <row r="17769">
      <c r="F17769" s="17"/>
    </row>
    <row r="17770">
      <c r="F17770" s="17"/>
    </row>
    <row r="17771">
      <c r="F17771" s="17"/>
    </row>
    <row r="17772">
      <c r="F17772" s="17"/>
    </row>
    <row r="17773">
      <c r="F17773" s="17"/>
    </row>
    <row r="17774">
      <c r="F17774" s="17"/>
    </row>
    <row r="17775">
      <c r="F17775" s="17"/>
    </row>
    <row r="17776">
      <c r="F17776" s="17"/>
    </row>
    <row r="17777">
      <c r="F17777" s="17"/>
    </row>
    <row r="17778">
      <c r="F17778" s="17"/>
    </row>
    <row r="17779">
      <c r="F17779" s="17"/>
    </row>
    <row r="17780">
      <c r="F17780" s="17"/>
    </row>
    <row r="17781">
      <c r="F17781" s="17"/>
    </row>
    <row r="17782">
      <c r="F17782" s="17"/>
    </row>
    <row r="17783">
      <c r="F17783" s="17"/>
    </row>
    <row r="17784">
      <c r="F17784" s="17"/>
    </row>
    <row r="17785">
      <c r="F17785" s="17"/>
    </row>
    <row r="17786">
      <c r="F17786" s="17"/>
    </row>
    <row r="17787">
      <c r="F17787" s="17"/>
    </row>
    <row r="17788">
      <c r="F17788" s="17"/>
    </row>
    <row r="17789">
      <c r="F17789" s="17"/>
    </row>
    <row r="17790">
      <c r="F17790" s="17"/>
    </row>
    <row r="17791">
      <c r="F17791" s="17"/>
    </row>
    <row r="17792">
      <c r="F17792" s="17"/>
    </row>
    <row r="17793">
      <c r="F17793" s="17"/>
    </row>
    <row r="17794">
      <c r="F17794" s="17"/>
    </row>
    <row r="17795">
      <c r="F17795" s="17"/>
    </row>
    <row r="17796">
      <c r="F17796" s="17"/>
    </row>
    <row r="17797">
      <c r="F17797" s="17"/>
    </row>
    <row r="17798">
      <c r="F17798" s="17"/>
    </row>
    <row r="17799">
      <c r="F17799" s="17"/>
    </row>
    <row r="17800">
      <c r="F17800" s="17"/>
    </row>
    <row r="17801">
      <c r="F17801" s="17"/>
    </row>
    <row r="17802">
      <c r="F17802" s="17"/>
    </row>
    <row r="17803">
      <c r="F17803" s="17"/>
    </row>
    <row r="17804">
      <c r="F17804" s="17"/>
    </row>
    <row r="17805">
      <c r="F17805" s="17"/>
    </row>
    <row r="17806">
      <c r="F17806" s="17"/>
    </row>
    <row r="17807">
      <c r="F17807" s="17"/>
    </row>
    <row r="17808">
      <c r="F17808" s="17"/>
    </row>
    <row r="17809">
      <c r="F17809" s="17"/>
    </row>
    <row r="17810">
      <c r="F17810" s="17"/>
    </row>
    <row r="17811">
      <c r="F17811" s="17"/>
    </row>
    <row r="17812">
      <c r="F17812" s="17"/>
    </row>
    <row r="17813">
      <c r="F17813" s="17"/>
    </row>
    <row r="17814">
      <c r="F17814" s="17"/>
    </row>
    <row r="17815">
      <c r="F17815" s="17"/>
    </row>
    <row r="17816">
      <c r="F17816" s="17"/>
    </row>
    <row r="17817">
      <c r="F17817" s="17"/>
    </row>
    <row r="17818">
      <c r="F17818" s="17"/>
    </row>
    <row r="17819">
      <c r="F17819" s="17"/>
    </row>
    <row r="17820">
      <c r="F17820" s="17"/>
    </row>
    <row r="17821">
      <c r="F17821" s="17"/>
    </row>
    <row r="17822">
      <c r="F17822" s="17"/>
    </row>
    <row r="17823">
      <c r="F17823" s="17"/>
    </row>
    <row r="17824">
      <c r="F17824" s="17"/>
    </row>
    <row r="17825">
      <c r="F17825" s="17"/>
    </row>
    <row r="17826">
      <c r="F17826" s="17"/>
    </row>
    <row r="17827">
      <c r="F17827" s="17"/>
    </row>
    <row r="17828">
      <c r="F17828" s="17"/>
    </row>
    <row r="17829">
      <c r="F17829" s="17"/>
    </row>
    <row r="17830">
      <c r="F17830" s="17"/>
    </row>
    <row r="17831">
      <c r="F17831" s="17"/>
    </row>
    <row r="17832">
      <c r="F17832" s="17"/>
    </row>
    <row r="17833">
      <c r="F17833" s="17"/>
    </row>
    <row r="17834">
      <c r="F17834" s="17"/>
    </row>
    <row r="17835">
      <c r="F17835" s="17"/>
    </row>
    <row r="17836">
      <c r="F17836" s="17"/>
    </row>
    <row r="17837">
      <c r="F17837" s="17"/>
    </row>
    <row r="17838">
      <c r="F17838" s="17"/>
    </row>
    <row r="17839">
      <c r="F17839" s="17"/>
    </row>
    <row r="17840">
      <c r="F17840" s="17"/>
    </row>
    <row r="17841">
      <c r="F17841" s="17"/>
    </row>
    <row r="17842">
      <c r="F17842" s="17"/>
    </row>
    <row r="17843">
      <c r="F17843" s="17"/>
    </row>
    <row r="17844">
      <c r="F17844" s="17"/>
    </row>
    <row r="17845">
      <c r="F17845" s="17"/>
    </row>
    <row r="17846">
      <c r="F17846" s="17"/>
    </row>
    <row r="17847">
      <c r="F17847" s="17"/>
    </row>
    <row r="17848">
      <c r="F17848" s="17"/>
    </row>
    <row r="17849">
      <c r="F17849" s="17"/>
    </row>
    <row r="17850">
      <c r="F17850" s="17"/>
    </row>
    <row r="17851">
      <c r="F17851" s="17"/>
    </row>
    <row r="17852">
      <c r="F17852" s="17"/>
    </row>
    <row r="17853">
      <c r="F17853" s="17"/>
    </row>
    <row r="17854">
      <c r="F17854" s="17"/>
    </row>
    <row r="17855">
      <c r="F17855" s="17"/>
    </row>
    <row r="17856">
      <c r="F17856" s="17"/>
    </row>
    <row r="17857">
      <c r="F17857" s="17"/>
    </row>
    <row r="17858">
      <c r="F17858" s="17"/>
    </row>
    <row r="17859">
      <c r="F17859" s="17"/>
    </row>
    <row r="17860">
      <c r="F17860" s="17"/>
    </row>
    <row r="17861">
      <c r="F17861" s="17"/>
    </row>
    <row r="17862">
      <c r="F17862" s="17"/>
    </row>
    <row r="17863">
      <c r="F17863" s="17"/>
    </row>
    <row r="17864">
      <c r="F17864" s="17"/>
    </row>
    <row r="17865">
      <c r="F17865" s="17"/>
    </row>
    <row r="17866">
      <c r="F17866" s="17"/>
    </row>
    <row r="17867">
      <c r="F17867" s="17"/>
    </row>
    <row r="17868">
      <c r="F17868" s="17"/>
    </row>
    <row r="17869">
      <c r="F17869" s="17"/>
    </row>
    <row r="17870">
      <c r="F17870" s="17"/>
    </row>
    <row r="17871">
      <c r="F17871" s="17"/>
    </row>
    <row r="17872">
      <c r="F17872" s="17"/>
    </row>
    <row r="17873">
      <c r="F17873" s="17"/>
    </row>
    <row r="17874">
      <c r="F17874" s="17"/>
    </row>
    <row r="17875">
      <c r="F17875" s="17"/>
    </row>
    <row r="17876">
      <c r="F17876" s="17"/>
    </row>
    <row r="17877">
      <c r="F17877" s="17"/>
    </row>
    <row r="17878">
      <c r="F17878" s="17"/>
    </row>
    <row r="17879">
      <c r="F17879" s="17"/>
    </row>
    <row r="17880">
      <c r="F17880" s="17"/>
    </row>
    <row r="17881">
      <c r="F17881" s="17"/>
    </row>
    <row r="17882">
      <c r="F17882" s="17"/>
    </row>
    <row r="17883">
      <c r="F17883" s="17"/>
    </row>
    <row r="17884">
      <c r="F17884" s="17"/>
    </row>
    <row r="17885">
      <c r="F17885" s="17"/>
    </row>
    <row r="17886">
      <c r="F17886" s="17"/>
    </row>
    <row r="17887">
      <c r="F17887" s="17"/>
    </row>
    <row r="17888">
      <c r="F17888" s="17"/>
    </row>
    <row r="17889">
      <c r="F17889" s="17"/>
    </row>
    <row r="17890">
      <c r="F17890" s="17"/>
    </row>
    <row r="17891">
      <c r="F17891" s="17"/>
    </row>
    <row r="17892">
      <c r="F17892" s="17"/>
    </row>
    <row r="17893">
      <c r="F17893" s="17"/>
    </row>
    <row r="17894">
      <c r="F17894" s="17"/>
    </row>
    <row r="17895">
      <c r="F17895" s="17"/>
    </row>
    <row r="17896">
      <c r="F17896" s="17"/>
    </row>
    <row r="17897">
      <c r="F17897" s="17"/>
    </row>
    <row r="17898">
      <c r="F17898" s="17"/>
    </row>
    <row r="17899">
      <c r="F17899" s="17"/>
    </row>
    <row r="17900">
      <c r="F17900" s="17"/>
    </row>
    <row r="17901">
      <c r="F17901" s="17"/>
    </row>
    <row r="17902">
      <c r="F17902" s="17"/>
    </row>
    <row r="17903">
      <c r="F17903" s="17"/>
    </row>
    <row r="17904">
      <c r="F17904" s="17"/>
    </row>
    <row r="17905">
      <c r="F17905" s="17"/>
    </row>
    <row r="17906">
      <c r="F17906" s="17"/>
    </row>
    <row r="17907">
      <c r="F17907" s="17"/>
    </row>
    <row r="17908">
      <c r="F17908" s="17"/>
    </row>
    <row r="17909">
      <c r="F17909" s="17"/>
    </row>
    <row r="17910">
      <c r="F17910" s="17"/>
    </row>
    <row r="17911">
      <c r="F17911" s="17"/>
    </row>
    <row r="17912">
      <c r="F17912" s="17"/>
    </row>
    <row r="17913">
      <c r="F17913" s="17"/>
    </row>
    <row r="17914">
      <c r="F17914" s="17"/>
    </row>
    <row r="17915">
      <c r="F17915" s="17"/>
    </row>
    <row r="17916">
      <c r="F17916" s="17"/>
    </row>
    <row r="17917">
      <c r="F17917" s="17"/>
    </row>
    <row r="17918">
      <c r="F17918" s="17"/>
    </row>
    <row r="17919">
      <c r="F17919" s="17"/>
    </row>
    <row r="17920">
      <c r="F17920" s="17"/>
    </row>
    <row r="17921">
      <c r="F17921" s="17"/>
    </row>
    <row r="17922">
      <c r="F17922" s="17"/>
    </row>
    <row r="17923">
      <c r="F17923" s="17"/>
    </row>
    <row r="17924">
      <c r="F17924" s="17"/>
    </row>
    <row r="17925">
      <c r="F17925" s="17"/>
    </row>
    <row r="17926">
      <c r="F17926" s="17"/>
    </row>
    <row r="17927">
      <c r="F17927" s="17"/>
    </row>
    <row r="17928">
      <c r="F17928" s="17"/>
    </row>
    <row r="17929">
      <c r="F17929" s="17"/>
    </row>
    <row r="17930">
      <c r="F17930" s="17"/>
    </row>
    <row r="17931">
      <c r="F17931" s="17"/>
    </row>
    <row r="17932">
      <c r="F17932" s="17"/>
    </row>
    <row r="17933">
      <c r="F17933" s="17"/>
    </row>
    <row r="17934">
      <c r="F17934" s="17"/>
    </row>
    <row r="17935">
      <c r="F17935" s="17"/>
    </row>
    <row r="17936">
      <c r="F17936" s="17"/>
    </row>
    <row r="17937">
      <c r="F17937" s="17"/>
    </row>
    <row r="17938">
      <c r="F17938" s="17"/>
    </row>
    <row r="17939">
      <c r="F17939" s="17"/>
    </row>
    <row r="17940">
      <c r="F17940" s="17"/>
    </row>
    <row r="17941">
      <c r="F17941" s="17"/>
    </row>
    <row r="17942">
      <c r="F17942" s="17"/>
    </row>
    <row r="17943">
      <c r="F17943" s="17"/>
    </row>
    <row r="17944">
      <c r="F17944" s="17"/>
    </row>
    <row r="17945">
      <c r="F17945" s="17"/>
    </row>
    <row r="17946">
      <c r="F17946" s="17"/>
    </row>
    <row r="17947">
      <c r="F17947" s="17"/>
    </row>
    <row r="17948">
      <c r="F17948" s="17"/>
    </row>
    <row r="17949">
      <c r="F17949" s="17"/>
    </row>
    <row r="17950">
      <c r="F17950" s="17"/>
    </row>
    <row r="17951">
      <c r="F17951" s="17"/>
    </row>
    <row r="17952">
      <c r="F17952" s="17"/>
    </row>
    <row r="17953">
      <c r="F17953" s="17"/>
    </row>
    <row r="17954">
      <c r="F17954" s="17"/>
    </row>
    <row r="17955">
      <c r="F17955" s="17"/>
    </row>
    <row r="17956">
      <c r="F17956" s="17"/>
    </row>
    <row r="17957">
      <c r="F17957" s="17"/>
    </row>
    <row r="17958">
      <c r="F17958" s="17"/>
    </row>
    <row r="17959">
      <c r="F17959" s="17"/>
    </row>
    <row r="17960">
      <c r="F17960" s="17"/>
    </row>
    <row r="17961">
      <c r="F17961" s="17"/>
    </row>
    <row r="17962">
      <c r="F17962" s="17"/>
    </row>
    <row r="17963">
      <c r="F17963" s="17"/>
    </row>
    <row r="17964">
      <c r="F17964" s="17"/>
    </row>
    <row r="17965">
      <c r="F17965" s="17"/>
    </row>
    <row r="17966">
      <c r="F17966" s="17"/>
    </row>
    <row r="17967">
      <c r="F17967" s="17"/>
    </row>
    <row r="17968">
      <c r="F17968" s="17"/>
    </row>
    <row r="17969">
      <c r="F17969" s="17"/>
    </row>
    <row r="17970">
      <c r="F17970" s="17"/>
    </row>
    <row r="17971">
      <c r="F17971" s="17"/>
    </row>
    <row r="17972">
      <c r="F17972" s="17"/>
    </row>
    <row r="17973">
      <c r="F17973" s="17"/>
    </row>
    <row r="17974">
      <c r="F17974" s="17"/>
    </row>
    <row r="17975">
      <c r="F17975" s="17"/>
    </row>
    <row r="17976">
      <c r="F17976" s="17"/>
    </row>
    <row r="17977">
      <c r="F17977" s="17"/>
    </row>
    <row r="17978">
      <c r="F17978" s="17"/>
    </row>
    <row r="17979">
      <c r="F17979" s="17"/>
    </row>
    <row r="17980">
      <c r="F17980" s="17"/>
    </row>
    <row r="17981">
      <c r="F17981" s="17"/>
    </row>
    <row r="17982">
      <c r="F17982" s="17"/>
    </row>
    <row r="17983">
      <c r="F17983" s="17"/>
    </row>
    <row r="17984">
      <c r="F17984" s="17"/>
    </row>
    <row r="17985">
      <c r="F17985" s="17"/>
    </row>
    <row r="17986">
      <c r="F17986" s="17"/>
    </row>
    <row r="17987">
      <c r="F17987" s="17"/>
    </row>
    <row r="17988">
      <c r="F17988" s="17"/>
    </row>
    <row r="17989">
      <c r="F17989" s="17"/>
    </row>
    <row r="17990">
      <c r="F17990" s="17"/>
    </row>
    <row r="17991">
      <c r="F17991" s="17"/>
    </row>
    <row r="17992">
      <c r="F17992" s="17"/>
    </row>
    <row r="17993">
      <c r="F17993" s="17"/>
    </row>
    <row r="17994">
      <c r="F17994" s="17"/>
    </row>
    <row r="17995">
      <c r="F17995" s="17"/>
    </row>
    <row r="17996">
      <c r="F17996" s="17"/>
    </row>
    <row r="17997">
      <c r="F17997" s="17"/>
    </row>
    <row r="17998">
      <c r="F17998" s="17"/>
    </row>
    <row r="17999">
      <c r="F17999" s="17"/>
    </row>
    <row r="18000">
      <c r="F18000" s="17"/>
    </row>
    <row r="18001">
      <c r="F18001" s="17"/>
    </row>
    <row r="18002">
      <c r="F18002" s="17"/>
    </row>
    <row r="18003">
      <c r="F18003" s="17"/>
    </row>
    <row r="18004">
      <c r="F18004" s="17"/>
    </row>
    <row r="18005">
      <c r="F18005" s="17"/>
    </row>
    <row r="18006">
      <c r="F18006" s="17"/>
    </row>
    <row r="18007">
      <c r="F18007" s="17"/>
    </row>
    <row r="18008">
      <c r="F18008" s="17"/>
    </row>
    <row r="18009">
      <c r="F18009" s="17"/>
    </row>
    <row r="18010">
      <c r="F18010" s="17"/>
    </row>
    <row r="18011">
      <c r="F18011" s="17"/>
    </row>
    <row r="18012">
      <c r="F18012" s="17"/>
    </row>
    <row r="18013">
      <c r="F18013" s="17"/>
    </row>
    <row r="18014">
      <c r="F18014" s="17"/>
    </row>
    <row r="18015">
      <c r="F18015" s="17"/>
    </row>
    <row r="18016">
      <c r="F18016" s="17"/>
    </row>
    <row r="18017">
      <c r="F18017" s="17"/>
    </row>
    <row r="18018">
      <c r="F18018" s="17"/>
    </row>
    <row r="18019">
      <c r="F18019" s="17"/>
    </row>
    <row r="18020">
      <c r="F18020" s="17"/>
    </row>
    <row r="18021">
      <c r="F18021" s="17"/>
    </row>
    <row r="18022">
      <c r="F18022" s="17"/>
    </row>
    <row r="18023">
      <c r="F18023" s="17"/>
    </row>
    <row r="18024">
      <c r="F18024" s="17"/>
    </row>
    <row r="18025">
      <c r="F18025" s="17"/>
    </row>
    <row r="18026">
      <c r="F18026" s="17"/>
    </row>
    <row r="18027">
      <c r="F18027" s="17"/>
    </row>
    <row r="18028">
      <c r="F18028" s="17"/>
    </row>
    <row r="18029">
      <c r="F18029" s="17"/>
    </row>
    <row r="18030">
      <c r="F18030" s="17"/>
    </row>
    <row r="18031">
      <c r="F18031" s="17"/>
    </row>
    <row r="18032">
      <c r="F18032" s="17"/>
    </row>
    <row r="18033">
      <c r="F18033" s="17"/>
    </row>
    <row r="18034">
      <c r="F18034" s="17"/>
    </row>
    <row r="18035">
      <c r="F18035" s="17"/>
    </row>
    <row r="18036">
      <c r="F18036" s="17"/>
    </row>
    <row r="18037">
      <c r="F18037" s="17"/>
    </row>
    <row r="18038">
      <c r="F18038" s="17"/>
    </row>
    <row r="18039">
      <c r="F18039" s="17"/>
    </row>
    <row r="18040">
      <c r="F18040" s="17"/>
    </row>
    <row r="18041">
      <c r="F18041" s="17"/>
    </row>
    <row r="18042">
      <c r="F18042" s="17"/>
    </row>
    <row r="18043">
      <c r="F18043" s="17"/>
    </row>
    <row r="18044">
      <c r="F18044" s="17"/>
    </row>
    <row r="18045">
      <c r="F18045" s="17"/>
    </row>
    <row r="18046">
      <c r="F18046" s="17"/>
    </row>
    <row r="18047">
      <c r="F18047" s="17"/>
    </row>
    <row r="18048">
      <c r="F18048" s="17"/>
    </row>
    <row r="18049">
      <c r="F18049" s="17"/>
    </row>
    <row r="18050">
      <c r="F18050" s="17"/>
    </row>
    <row r="18051">
      <c r="F18051" s="17"/>
    </row>
    <row r="18052">
      <c r="F18052" s="17"/>
    </row>
    <row r="18053">
      <c r="F18053" s="17"/>
    </row>
    <row r="18054">
      <c r="F18054" s="17"/>
    </row>
    <row r="18055">
      <c r="F18055" s="17"/>
    </row>
    <row r="18056">
      <c r="F18056" s="17"/>
    </row>
    <row r="18057">
      <c r="F18057" s="17"/>
    </row>
    <row r="18058">
      <c r="F18058" s="17"/>
    </row>
    <row r="18059">
      <c r="F18059" s="17"/>
    </row>
    <row r="18060">
      <c r="F18060" s="17"/>
    </row>
    <row r="18061">
      <c r="F18061" s="17"/>
    </row>
    <row r="18062">
      <c r="F18062" s="17"/>
    </row>
    <row r="18063">
      <c r="F18063" s="17"/>
    </row>
    <row r="18064">
      <c r="F18064" s="17"/>
    </row>
    <row r="18065">
      <c r="F18065" s="17"/>
    </row>
    <row r="18066">
      <c r="F18066" s="17"/>
    </row>
    <row r="18067">
      <c r="F18067" s="17"/>
    </row>
    <row r="18068">
      <c r="F18068" s="17"/>
    </row>
    <row r="18069">
      <c r="F18069" s="17"/>
    </row>
    <row r="18070">
      <c r="F18070" s="17"/>
    </row>
    <row r="18071">
      <c r="F18071" s="17"/>
    </row>
    <row r="18072">
      <c r="F18072" s="17"/>
    </row>
    <row r="18073">
      <c r="F18073" s="17"/>
    </row>
    <row r="18074">
      <c r="F18074" s="17"/>
    </row>
    <row r="18075">
      <c r="F18075" s="17"/>
    </row>
    <row r="18076">
      <c r="F18076" s="17"/>
    </row>
    <row r="18077">
      <c r="F18077" s="17"/>
    </row>
    <row r="18078">
      <c r="F18078" s="17"/>
    </row>
    <row r="18079">
      <c r="F18079" s="17"/>
    </row>
    <row r="18080">
      <c r="F18080" s="17"/>
    </row>
    <row r="18081">
      <c r="F18081" s="17"/>
    </row>
    <row r="18082">
      <c r="F18082" s="17"/>
    </row>
    <row r="18083">
      <c r="F18083" s="17"/>
    </row>
    <row r="18084">
      <c r="F18084" s="17"/>
    </row>
    <row r="18085">
      <c r="F18085" s="17"/>
    </row>
    <row r="18086">
      <c r="F18086" s="17"/>
    </row>
    <row r="18087">
      <c r="F18087" s="17"/>
    </row>
    <row r="18088">
      <c r="F18088" s="17"/>
    </row>
    <row r="18089">
      <c r="F18089" s="17"/>
    </row>
    <row r="18090">
      <c r="F18090" s="17"/>
    </row>
    <row r="18091">
      <c r="F18091" s="17"/>
    </row>
    <row r="18092">
      <c r="F18092" s="17"/>
    </row>
    <row r="18093">
      <c r="F18093" s="17"/>
    </row>
    <row r="18094">
      <c r="F18094" s="17"/>
    </row>
    <row r="18095">
      <c r="F18095" s="17"/>
    </row>
    <row r="18096">
      <c r="F18096" s="17"/>
    </row>
    <row r="18097">
      <c r="F18097" s="17"/>
    </row>
    <row r="18098">
      <c r="F18098" s="17"/>
    </row>
    <row r="18099">
      <c r="F18099" s="17"/>
    </row>
    <row r="18100">
      <c r="F18100" s="17"/>
    </row>
    <row r="18101">
      <c r="F18101" s="17"/>
    </row>
    <row r="18102">
      <c r="F18102" s="17"/>
    </row>
    <row r="18103">
      <c r="F18103" s="17"/>
    </row>
    <row r="18104">
      <c r="F18104" s="17"/>
    </row>
    <row r="18105">
      <c r="F18105" s="17"/>
    </row>
    <row r="18106">
      <c r="F18106" s="17"/>
    </row>
    <row r="18107">
      <c r="F18107" s="17"/>
    </row>
    <row r="18108">
      <c r="F18108" s="17"/>
    </row>
    <row r="18109">
      <c r="F18109" s="17"/>
    </row>
    <row r="18110">
      <c r="F18110" s="17"/>
    </row>
    <row r="18111">
      <c r="F18111" s="17"/>
    </row>
    <row r="18112">
      <c r="F18112" s="17"/>
    </row>
    <row r="18113">
      <c r="F18113" s="17"/>
    </row>
    <row r="18114">
      <c r="F18114" s="17"/>
    </row>
    <row r="18115">
      <c r="F18115" s="17"/>
    </row>
    <row r="18116">
      <c r="F18116" s="17"/>
    </row>
    <row r="18117">
      <c r="F18117" s="17"/>
    </row>
    <row r="18118">
      <c r="F18118" s="17"/>
    </row>
    <row r="18119">
      <c r="F18119" s="17"/>
    </row>
    <row r="18120">
      <c r="F18120" s="17"/>
    </row>
    <row r="18121">
      <c r="F18121" s="17"/>
    </row>
    <row r="18122">
      <c r="F18122" s="17"/>
    </row>
    <row r="18123">
      <c r="F18123" s="17"/>
    </row>
    <row r="18124">
      <c r="F18124" s="17"/>
    </row>
    <row r="18125">
      <c r="F18125" s="17"/>
    </row>
    <row r="18126">
      <c r="F18126" s="17"/>
    </row>
    <row r="18127">
      <c r="F18127" s="17"/>
    </row>
    <row r="18128">
      <c r="F18128" s="17"/>
    </row>
    <row r="18129">
      <c r="F18129" s="17"/>
    </row>
    <row r="18130">
      <c r="F18130" s="17"/>
    </row>
    <row r="18131">
      <c r="F18131" s="17"/>
    </row>
    <row r="18132">
      <c r="F18132" s="17"/>
    </row>
    <row r="18133">
      <c r="F18133" s="17"/>
    </row>
    <row r="18134">
      <c r="F18134" s="17"/>
    </row>
    <row r="18135">
      <c r="F18135" s="17"/>
    </row>
    <row r="18136">
      <c r="F18136" s="17"/>
    </row>
    <row r="18137">
      <c r="F18137" s="17"/>
    </row>
    <row r="18138">
      <c r="F18138" s="17"/>
    </row>
    <row r="18139">
      <c r="F18139" s="17"/>
    </row>
    <row r="18140">
      <c r="F18140" s="17"/>
    </row>
    <row r="18141">
      <c r="F18141" s="17"/>
    </row>
    <row r="18142">
      <c r="F18142" s="17"/>
    </row>
    <row r="18143">
      <c r="F18143" s="17"/>
    </row>
    <row r="18144">
      <c r="F18144" s="17"/>
    </row>
    <row r="18145">
      <c r="F18145" s="17"/>
    </row>
    <row r="18146">
      <c r="F18146" s="17"/>
    </row>
    <row r="18147">
      <c r="F18147" s="17"/>
    </row>
    <row r="18148">
      <c r="F18148" s="17"/>
    </row>
    <row r="18149">
      <c r="F18149" s="17"/>
    </row>
    <row r="18150">
      <c r="F18150" s="17"/>
    </row>
    <row r="18151">
      <c r="F18151" s="17"/>
    </row>
    <row r="18152">
      <c r="F18152" s="17"/>
    </row>
    <row r="18153">
      <c r="F18153" s="17"/>
    </row>
    <row r="18154">
      <c r="F18154" s="17"/>
    </row>
    <row r="18155">
      <c r="F18155" s="17"/>
    </row>
    <row r="18156">
      <c r="F18156" s="17"/>
    </row>
    <row r="18157">
      <c r="F18157" s="17"/>
    </row>
    <row r="18158">
      <c r="F18158" s="17"/>
    </row>
    <row r="18159">
      <c r="F18159" s="17"/>
    </row>
    <row r="18160">
      <c r="F18160" s="17"/>
    </row>
    <row r="18161">
      <c r="F18161" s="17"/>
    </row>
    <row r="18162">
      <c r="F18162" s="17"/>
    </row>
    <row r="18163">
      <c r="F18163" s="17"/>
    </row>
    <row r="18164">
      <c r="F18164" s="17"/>
    </row>
    <row r="18165">
      <c r="F18165" s="17"/>
    </row>
    <row r="18166">
      <c r="F18166" s="17"/>
    </row>
    <row r="18167">
      <c r="F18167" s="17"/>
    </row>
    <row r="18168">
      <c r="F18168" s="17"/>
    </row>
    <row r="18169">
      <c r="F18169" s="17"/>
    </row>
    <row r="18170">
      <c r="F18170" s="17"/>
    </row>
    <row r="18171">
      <c r="F18171" s="17"/>
    </row>
    <row r="18172">
      <c r="F18172" s="17"/>
    </row>
    <row r="18173">
      <c r="F18173" s="17"/>
    </row>
    <row r="18174">
      <c r="F18174" s="17"/>
    </row>
    <row r="18175">
      <c r="F18175" s="17"/>
    </row>
    <row r="18176">
      <c r="F18176" s="17"/>
    </row>
    <row r="18177">
      <c r="F18177" s="17"/>
    </row>
    <row r="18178">
      <c r="F18178" s="17"/>
    </row>
    <row r="18179">
      <c r="F18179" s="17"/>
    </row>
    <row r="18180">
      <c r="F18180" s="17"/>
    </row>
    <row r="18181">
      <c r="F18181" s="17"/>
    </row>
    <row r="18182">
      <c r="F18182" s="17"/>
    </row>
    <row r="18183">
      <c r="F18183" s="17"/>
    </row>
    <row r="18184">
      <c r="F18184" s="17"/>
    </row>
    <row r="18185">
      <c r="F18185" s="17"/>
    </row>
    <row r="18186">
      <c r="F18186" s="17"/>
    </row>
    <row r="18187">
      <c r="F18187" s="17"/>
    </row>
    <row r="18188">
      <c r="F18188" s="17"/>
    </row>
    <row r="18189">
      <c r="F18189" s="17"/>
    </row>
    <row r="18190">
      <c r="F18190" s="17"/>
    </row>
    <row r="18191">
      <c r="F18191" s="17"/>
    </row>
    <row r="18192">
      <c r="F18192" s="17"/>
    </row>
    <row r="18193">
      <c r="F18193" s="17"/>
    </row>
    <row r="18194">
      <c r="F18194" s="17"/>
    </row>
    <row r="18195">
      <c r="F18195" s="17"/>
    </row>
    <row r="18196">
      <c r="F18196" s="17"/>
    </row>
    <row r="18197">
      <c r="F18197" s="17"/>
    </row>
    <row r="18198">
      <c r="F18198" s="17"/>
    </row>
    <row r="18199">
      <c r="F18199" s="17"/>
    </row>
    <row r="18200">
      <c r="F18200" s="17"/>
    </row>
    <row r="18201">
      <c r="F18201" s="17"/>
    </row>
    <row r="18202">
      <c r="F18202" s="17"/>
    </row>
    <row r="18203">
      <c r="F18203" s="17"/>
    </row>
    <row r="18204">
      <c r="F18204" s="17"/>
    </row>
    <row r="18205">
      <c r="F18205" s="17"/>
    </row>
    <row r="18206">
      <c r="F18206" s="17"/>
    </row>
    <row r="18207">
      <c r="F18207" s="17"/>
    </row>
    <row r="18208">
      <c r="F18208" s="17"/>
    </row>
    <row r="18209">
      <c r="F18209" s="17"/>
    </row>
    <row r="18210">
      <c r="F18210" s="17"/>
    </row>
    <row r="18211">
      <c r="F18211" s="17"/>
    </row>
    <row r="18212">
      <c r="F18212" s="17"/>
    </row>
    <row r="18213">
      <c r="F18213" s="17"/>
    </row>
    <row r="18214">
      <c r="F18214" s="17"/>
    </row>
    <row r="18215">
      <c r="F18215" s="17"/>
    </row>
    <row r="18216">
      <c r="F18216" s="17"/>
    </row>
    <row r="18217">
      <c r="F18217" s="17"/>
    </row>
    <row r="18218">
      <c r="F18218" s="17"/>
    </row>
    <row r="18219">
      <c r="F18219" s="17"/>
    </row>
    <row r="18220">
      <c r="F18220" s="17"/>
    </row>
    <row r="18221">
      <c r="F18221" s="17"/>
    </row>
    <row r="18222">
      <c r="F18222" s="17"/>
    </row>
    <row r="18223">
      <c r="F18223" s="17"/>
    </row>
    <row r="18224">
      <c r="F18224" s="17"/>
    </row>
    <row r="18225">
      <c r="F18225" s="17"/>
    </row>
    <row r="18226">
      <c r="F18226" s="17"/>
    </row>
    <row r="18227">
      <c r="F18227" s="17"/>
    </row>
    <row r="18228">
      <c r="F18228" s="17"/>
    </row>
    <row r="18229">
      <c r="F18229" s="17"/>
    </row>
    <row r="18230">
      <c r="F18230" s="17"/>
    </row>
    <row r="18231">
      <c r="F18231" s="17"/>
    </row>
    <row r="18232">
      <c r="F18232" s="17"/>
    </row>
    <row r="18233">
      <c r="F18233" s="17"/>
    </row>
    <row r="18234">
      <c r="F18234" s="17"/>
    </row>
    <row r="18235">
      <c r="F18235" s="17"/>
    </row>
    <row r="18236">
      <c r="F18236" s="17"/>
    </row>
    <row r="18237">
      <c r="F18237" s="17"/>
    </row>
    <row r="18238">
      <c r="F18238" s="17"/>
    </row>
    <row r="18239">
      <c r="F18239" s="17"/>
    </row>
    <row r="18240">
      <c r="F18240" s="17"/>
    </row>
    <row r="18241">
      <c r="F18241" s="17"/>
    </row>
    <row r="18242">
      <c r="F18242" s="17"/>
    </row>
    <row r="18243">
      <c r="F18243" s="17"/>
    </row>
    <row r="18244">
      <c r="F18244" s="17"/>
    </row>
    <row r="18245">
      <c r="F18245" s="17"/>
    </row>
    <row r="18246">
      <c r="F18246" s="17"/>
    </row>
    <row r="18247">
      <c r="F18247" s="17"/>
    </row>
    <row r="18248">
      <c r="F18248" s="17"/>
    </row>
    <row r="18249">
      <c r="F18249" s="17"/>
    </row>
    <row r="18250">
      <c r="F18250" s="17"/>
    </row>
    <row r="18251">
      <c r="F18251" s="17"/>
    </row>
    <row r="18252">
      <c r="F18252" s="17"/>
    </row>
    <row r="18253">
      <c r="F18253" s="17"/>
    </row>
    <row r="18254">
      <c r="F18254" s="17"/>
    </row>
    <row r="18255">
      <c r="F18255" s="17"/>
    </row>
    <row r="18256">
      <c r="F18256" s="17"/>
    </row>
    <row r="18257">
      <c r="F18257" s="17"/>
    </row>
    <row r="18258">
      <c r="F18258" s="17"/>
    </row>
    <row r="18259">
      <c r="F18259" s="17"/>
    </row>
    <row r="18260">
      <c r="F18260" s="17"/>
    </row>
    <row r="18261">
      <c r="F18261" s="17"/>
    </row>
    <row r="18262">
      <c r="F18262" s="17"/>
    </row>
    <row r="18263">
      <c r="F18263" s="17"/>
    </row>
    <row r="18264">
      <c r="F18264" s="17"/>
    </row>
    <row r="18265">
      <c r="F18265" s="17"/>
    </row>
    <row r="18266">
      <c r="F18266" s="17"/>
    </row>
    <row r="18267">
      <c r="F18267" s="17"/>
    </row>
    <row r="18268">
      <c r="F18268" s="17"/>
    </row>
    <row r="18269">
      <c r="F18269" s="17"/>
    </row>
    <row r="18270">
      <c r="F18270" s="17"/>
    </row>
    <row r="18271">
      <c r="F18271" s="17"/>
    </row>
    <row r="18272">
      <c r="F18272" s="17"/>
    </row>
    <row r="18273">
      <c r="F18273" s="17"/>
    </row>
    <row r="18274">
      <c r="F18274" s="17"/>
    </row>
    <row r="18275">
      <c r="F18275" s="17"/>
    </row>
    <row r="18276">
      <c r="F18276" s="17"/>
    </row>
    <row r="18277">
      <c r="F18277" s="17"/>
    </row>
    <row r="18278">
      <c r="F18278" s="17"/>
    </row>
    <row r="18279">
      <c r="F18279" s="17"/>
    </row>
    <row r="18280">
      <c r="F18280" s="17"/>
    </row>
    <row r="18281">
      <c r="F18281" s="17"/>
    </row>
    <row r="18282">
      <c r="F18282" s="17"/>
    </row>
    <row r="18283">
      <c r="F18283" s="17"/>
    </row>
    <row r="18284">
      <c r="F18284" s="17"/>
    </row>
    <row r="18285">
      <c r="F18285" s="17"/>
    </row>
    <row r="18286">
      <c r="F18286" s="17"/>
    </row>
    <row r="18287">
      <c r="F18287" s="17"/>
    </row>
    <row r="18288">
      <c r="F18288" s="17"/>
    </row>
    <row r="18289">
      <c r="F18289" s="17"/>
    </row>
    <row r="18290">
      <c r="F18290" s="17"/>
    </row>
    <row r="18291">
      <c r="F18291" s="17"/>
    </row>
    <row r="18292">
      <c r="F18292" s="17"/>
    </row>
    <row r="18293">
      <c r="F18293" s="17"/>
    </row>
    <row r="18294">
      <c r="F18294" s="17"/>
    </row>
    <row r="18295">
      <c r="F18295" s="17"/>
    </row>
    <row r="18296">
      <c r="F18296" s="17"/>
    </row>
    <row r="18297">
      <c r="F18297" s="17"/>
    </row>
    <row r="18298">
      <c r="F18298" s="17"/>
    </row>
    <row r="18299">
      <c r="F18299" s="17"/>
    </row>
    <row r="18300">
      <c r="F18300" s="17"/>
    </row>
    <row r="18301">
      <c r="F18301" s="17"/>
    </row>
    <row r="18302">
      <c r="F18302" s="17"/>
    </row>
    <row r="18303">
      <c r="F18303" s="17"/>
    </row>
    <row r="18304">
      <c r="F18304" s="17"/>
    </row>
    <row r="18305">
      <c r="F18305" s="17"/>
    </row>
    <row r="18306">
      <c r="F18306" s="17"/>
    </row>
    <row r="18307">
      <c r="F18307" s="17"/>
    </row>
    <row r="18308">
      <c r="F18308" s="17"/>
    </row>
    <row r="18309">
      <c r="F18309" s="17"/>
    </row>
    <row r="18310">
      <c r="F18310" s="17"/>
    </row>
    <row r="18311">
      <c r="F18311" s="17"/>
    </row>
    <row r="18312">
      <c r="F18312" s="17"/>
    </row>
    <row r="18313">
      <c r="F18313" s="17"/>
    </row>
    <row r="18314">
      <c r="F18314" s="17"/>
    </row>
    <row r="18315">
      <c r="F18315" s="17"/>
    </row>
    <row r="18316">
      <c r="F18316" s="17"/>
    </row>
    <row r="18317">
      <c r="F18317" s="17"/>
    </row>
    <row r="18318">
      <c r="F18318" s="17"/>
    </row>
    <row r="18319">
      <c r="F18319" s="17"/>
    </row>
    <row r="18320">
      <c r="F18320" s="17"/>
    </row>
    <row r="18321">
      <c r="F18321" s="17"/>
    </row>
    <row r="18322">
      <c r="F18322" s="17"/>
    </row>
    <row r="18323">
      <c r="F18323" s="17"/>
    </row>
    <row r="18324">
      <c r="F18324" s="17"/>
    </row>
    <row r="18325">
      <c r="F18325" s="17"/>
    </row>
    <row r="18326">
      <c r="F18326" s="17"/>
    </row>
    <row r="18327">
      <c r="F18327" s="17"/>
    </row>
    <row r="18328">
      <c r="F18328" s="17"/>
    </row>
    <row r="18329">
      <c r="F18329" s="17"/>
    </row>
    <row r="18330">
      <c r="F18330" s="17"/>
    </row>
    <row r="18331">
      <c r="F18331" s="17"/>
    </row>
    <row r="18332">
      <c r="F18332" s="17"/>
    </row>
    <row r="18333">
      <c r="F18333" s="17"/>
    </row>
    <row r="18334">
      <c r="F18334" s="17"/>
    </row>
    <row r="18335">
      <c r="F18335" s="17"/>
    </row>
    <row r="18336">
      <c r="F18336" s="17"/>
    </row>
    <row r="18337">
      <c r="F18337" s="17"/>
    </row>
    <row r="18338">
      <c r="F18338" s="17"/>
    </row>
    <row r="18339">
      <c r="F18339" s="17"/>
    </row>
    <row r="18340">
      <c r="F18340" s="17"/>
    </row>
    <row r="18341">
      <c r="F18341" s="17"/>
    </row>
    <row r="18342">
      <c r="F18342" s="17"/>
    </row>
    <row r="18343">
      <c r="F18343" s="17"/>
    </row>
    <row r="18344">
      <c r="F18344" s="17"/>
    </row>
    <row r="18345">
      <c r="F18345" s="17"/>
    </row>
    <row r="18346">
      <c r="F18346" s="17"/>
    </row>
    <row r="18347">
      <c r="F18347" s="17"/>
    </row>
    <row r="18348">
      <c r="F18348" s="17"/>
    </row>
    <row r="18349">
      <c r="F18349" s="17"/>
    </row>
    <row r="18350">
      <c r="F18350" s="17"/>
    </row>
    <row r="18351">
      <c r="F18351" s="17"/>
    </row>
    <row r="18352">
      <c r="F18352" s="17"/>
    </row>
    <row r="18353">
      <c r="F18353" s="17"/>
    </row>
    <row r="18354">
      <c r="F18354" s="17"/>
    </row>
    <row r="18355">
      <c r="F18355" s="17"/>
    </row>
    <row r="18356">
      <c r="F18356" s="17"/>
    </row>
    <row r="18357">
      <c r="F18357" s="17"/>
    </row>
    <row r="18358">
      <c r="F18358" s="17"/>
    </row>
    <row r="18359">
      <c r="F18359" s="17"/>
    </row>
    <row r="18360">
      <c r="F18360" s="17"/>
    </row>
    <row r="18361">
      <c r="F18361" s="17"/>
    </row>
    <row r="18362">
      <c r="F18362" s="17"/>
    </row>
    <row r="18363">
      <c r="F18363" s="17"/>
    </row>
    <row r="18364">
      <c r="F18364" s="17"/>
    </row>
    <row r="18365">
      <c r="F18365" s="17"/>
    </row>
    <row r="18366">
      <c r="F18366" s="17"/>
    </row>
    <row r="18367">
      <c r="F18367" s="17"/>
    </row>
    <row r="18368">
      <c r="F18368" s="17"/>
    </row>
    <row r="18369">
      <c r="F18369" s="17"/>
    </row>
    <row r="18370">
      <c r="F18370" s="17"/>
    </row>
    <row r="18371">
      <c r="F18371" s="17"/>
    </row>
    <row r="18372">
      <c r="F18372" s="17"/>
    </row>
    <row r="18373">
      <c r="F18373" s="17"/>
    </row>
    <row r="18374">
      <c r="F18374" s="17"/>
    </row>
    <row r="18375">
      <c r="F18375" s="17"/>
    </row>
    <row r="18376">
      <c r="F18376" s="17"/>
    </row>
    <row r="18377">
      <c r="F18377" s="17"/>
    </row>
    <row r="18378">
      <c r="F18378" s="17"/>
    </row>
    <row r="18379">
      <c r="F18379" s="17"/>
    </row>
    <row r="18380">
      <c r="F18380" s="17"/>
    </row>
    <row r="18381">
      <c r="F18381" s="17"/>
    </row>
    <row r="18382">
      <c r="F18382" s="17"/>
    </row>
    <row r="18383">
      <c r="F18383" s="17"/>
    </row>
    <row r="18384">
      <c r="F18384" s="17"/>
    </row>
    <row r="18385">
      <c r="F18385" s="17"/>
    </row>
    <row r="18386">
      <c r="F18386" s="17"/>
    </row>
    <row r="18387">
      <c r="F18387" s="17"/>
    </row>
    <row r="18388">
      <c r="F18388" s="17"/>
    </row>
    <row r="18389">
      <c r="F18389" s="17"/>
    </row>
    <row r="18390">
      <c r="F18390" s="17"/>
    </row>
    <row r="18391">
      <c r="F18391" s="17"/>
    </row>
    <row r="18392">
      <c r="F18392" s="17"/>
    </row>
    <row r="18393">
      <c r="F18393" s="17"/>
    </row>
    <row r="18394">
      <c r="F18394" s="17"/>
    </row>
    <row r="18395">
      <c r="F18395" s="17"/>
    </row>
    <row r="18396">
      <c r="F18396" s="17"/>
    </row>
    <row r="18397">
      <c r="F18397" s="17"/>
    </row>
    <row r="18398">
      <c r="F18398" s="17"/>
    </row>
    <row r="18399">
      <c r="F18399" s="17"/>
    </row>
    <row r="18400">
      <c r="F18400" s="17"/>
    </row>
    <row r="18401">
      <c r="F18401" s="17"/>
    </row>
    <row r="18402">
      <c r="F18402" s="17"/>
    </row>
    <row r="18403">
      <c r="F18403" s="17"/>
    </row>
    <row r="18404">
      <c r="F18404" s="17"/>
    </row>
    <row r="18405">
      <c r="F18405" s="17"/>
    </row>
    <row r="18406">
      <c r="F18406" s="17"/>
    </row>
    <row r="18407">
      <c r="F18407" s="17"/>
    </row>
    <row r="18408">
      <c r="F18408" s="17"/>
    </row>
    <row r="18409">
      <c r="F18409" s="17"/>
    </row>
    <row r="18410">
      <c r="F18410" s="17"/>
    </row>
    <row r="18411">
      <c r="F18411" s="17"/>
    </row>
    <row r="18412">
      <c r="F18412" s="17"/>
    </row>
    <row r="18413">
      <c r="F18413" s="17"/>
    </row>
    <row r="18414">
      <c r="F18414" s="17"/>
    </row>
    <row r="18415">
      <c r="F18415" s="17"/>
    </row>
    <row r="18416">
      <c r="F18416" s="17"/>
    </row>
    <row r="18417">
      <c r="F18417" s="17"/>
    </row>
    <row r="18418">
      <c r="F18418" s="17"/>
    </row>
    <row r="18419">
      <c r="F18419" s="17"/>
    </row>
    <row r="18420">
      <c r="F18420" s="17"/>
    </row>
    <row r="18421">
      <c r="F18421" s="17"/>
    </row>
    <row r="18422">
      <c r="F18422" s="17"/>
    </row>
    <row r="18423">
      <c r="F18423" s="17"/>
    </row>
    <row r="18424">
      <c r="F18424" s="17"/>
    </row>
    <row r="18425">
      <c r="F18425" s="17"/>
    </row>
    <row r="18426">
      <c r="F18426" s="17"/>
    </row>
    <row r="18427">
      <c r="F18427" s="17"/>
    </row>
    <row r="18428">
      <c r="F18428" s="17"/>
    </row>
    <row r="18429">
      <c r="F18429" s="17"/>
    </row>
    <row r="18430">
      <c r="F18430" s="17"/>
    </row>
    <row r="18431">
      <c r="F18431" s="17"/>
    </row>
    <row r="18432">
      <c r="F18432" s="17"/>
    </row>
    <row r="18433">
      <c r="F18433" s="17"/>
    </row>
    <row r="18434">
      <c r="F18434" s="17"/>
    </row>
    <row r="18435">
      <c r="F18435" s="17"/>
    </row>
    <row r="18436">
      <c r="F18436" s="17"/>
    </row>
    <row r="18437">
      <c r="F18437" s="17"/>
    </row>
    <row r="18438">
      <c r="F18438" s="17"/>
    </row>
    <row r="18439">
      <c r="F18439" s="17"/>
    </row>
    <row r="18440">
      <c r="F18440" s="17"/>
    </row>
    <row r="18441">
      <c r="F18441" s="17"/>
    </row>
    <row r="18442">
      <c r="F18442" s="17"/>
    </row>
    <row r="18443">
      <c r="F18443" s="17"/>
    </row>
    <row r="18444">
      <c r="F18444" s="17"/>
    </row>
    <row r="18445">
      <c r="F18445" s="17"/>
    </row>
    <row r="18446">
      <c r="F18446" s="17"/>
    </row>
    <row r="18447">
      <c r="F18447" s="17"/>
    </row>
    <row r="18448">
      <c r="F18448" s="17"/>
    </row>
    <row r="18449">
      <c r="F18449" s="17"/>
    </row>
    <row r="18450">
      <c r="F18450" s="17"/>
    </row>
    <row r="18451">
      <c r="F18451" s="17"/>
    </row>
    <row r="18452">
      <c r="F18452" s="17"/>
    </row>
    <row r="18453">
      <c r="F18453" s="17"/>
    </row>
    <row r="18454">
      <c r="F18454" s="17"/>
    </row>
    <row r="18455">
      <c r="F18455" s="17"/>
    </row>
    <row r="18456">
      <c r="F18456" s="17"/>
    </row>
    <row r="18457">
      <c r="F18457" s="17"/>
    </row>
    <row r="18458">
      <c r="F18458" s="17"/>
    </row>
    <row r="18459">
      <c r="F18459" s="17"/>
    </row>
    <row r="18460">
      <c r="F18460" s="17"/>
    </row>
    <row r="18461">
      <c r="F18461" s="17"/>
    </row>
    <row r="18462">
      <c r="F18462" s="17"/>
    </row>
    <row r="18463">
      <c r="F18463" s="17"/>
    </row>
    <row r="18464">
      <c r="F18464" s="17"/>
    </row>
    <row r="18465">
      <c r="F18465" s="17"/>
    </row>
    <row r="18466">
      <c r="F18466" s="17"/>
    </row>
    <row r="18467">
      <c r="F18467" s="17"/>
    </row>
    <row r="18468">
      <c r="F18468" s="17"/>
    </row>
    <row r="18469">
      <c r="F18469" s="17"/>
    </row>
    <row r="18470">
      <c r="F18470" s="17"/>
    </row>
    <row r="18471">
      <c r="F18471" s="17"/>
    </row>
    <row r="18472">
      <c r="F18472" s="17"/>
    </row>
    <row r="18473">
      <c r="F18473" s="17"/>
    </row>
    <row r="18474">
      <c r="F18474" s="17"/>
    </row>
    <row r="18475">
      <c r="F18475" s="17"/>
    </row>
    <row r="18476">
      <c r="F18476" s="17"/>
    </row>
    <row r="18477">
      <c r="F18477" s="17"/>
    </row>
    <row r="18478">
      <c r="F18478" s="17"/>
    </row>
    <row r="18479">
      <c r="F18479" s="17"/>
    </row>
    <row r="18480">
      <c r="F18480" s="17"/>
    </row>
    <row r="18481">
      <c r="F18481" s="17"/>
    </row>
    <row r="18482">
      <c r="F18482" s="17"/>
    </row>
    <row r="18483">
      <c r="F18483" s="17"/>
    </row>
    <row r="18484">
      <c r="F18484" s="17"/>
    </row>
    <row r="18485">
      <c r="F18485" s="17"/>
    </row>
    <row r="18486">
      <c r="F18486" s="17"/>
    </row>
    <row r="18487">
      <c r="F18487" s="17"/>
    </row>
    <row r="18488">
      <c r="F18488" s="17"/>
    </row>
    <row r="18489">
      <c r="F18489" s="17"/>
    </row>
    <row r="18490">
      <c r="F18490" s="17"/>
    </row>
    <row r="18491">
      <c r="F18491" s="17"/>
    </row>
    <row r="18492">
      <c r="F18492" s="17"/>
    </row>
    <row r="18493">
      <c r="F18493" s="17"/>
    </row>
    <row r="18494">
      <c r="F18494" s="17"/>
    </row>
    <row r="18495">
      <c r="F18495" s="17"/>
    </row>
    <row r="18496">
      <c r="F18496" s="17"/>
    </row>
    <row r="18497">
      <c r="F18497" s="17"/>
    </row>
    <row r="18498">
      <c r="F18498" s="17"/>
    </row>
    <row r="18499">
      <c r="F18499" s="17"/>
    </row>
    <row r="18500">
      <c r="F18500" s="17"/>
    </row>
    <row r="18501">
      <c r="F18501" s="17"/>
    </row>
    <row r="18502">
      <c r="F18502" s="17"/>
    </row>
    <row r="18503">
      <c r="F18503" s="17"/>
    </row>
    <row r="18504">
      <c r="F18504" s="17"/>
    </row>
    <row r="18505">
      <c r="F18505" s="17"/>
    </row>
    <row r="18506">
      <c r="F18506" s="17"/>
    </row>
    <row r="18507">
      <c r="F18507" s="17"/>
    </row>
    <row r="18508">
      <c r="F18508" s="17"/>
    </row>
    <row r="18509">
      <c r="F18509" s="17"/>
    </row>
    <row r="18510">
      <c r="F18510" s="17"/>
    </row>
    <row r="18511">
      <c r="F18511" s="17"/>
    </row>
    <row r="18512">
      <c r="F18512" s="17"/>
    </row>
    <row r="18513">
      <c r="F18513" s="17"/>
    </row>
    <row r="18514">
      <c r="F18514" s="17"/>
    </row>
    <row r="18515">
      <c r="F18515" s="17"/>
    </row>
    <row r="18516">
      <c r="F18516" s="17"/>
    </row>
    <row r="18517">
      <c r="F18517" s="17"/>
    </row>
    <row r="18518">
      <c r="F18518" s="17"/>
    </row>
    <row r="18519">
      <c r="F18519" s="17"/>
    </row>
    <row r="18520">
      <c r="F18520" s="17"/>
    </row>
    <row r="18521">
      <c r="F18521" s="17"/>
    </row>
    <row r="18522">
      <c r="F18522" s="17"/>
    </row>
    <row r="18523">
      <c r="F18523" s="17"/>
    </row>
    <row r="18524">
      <c r="F18524" s="17"/>
    </row>
    <row r="18525">
      <c r="F18525" s="17"/>
    </row>
    <row r="18526">
      <c r="F18526" s="17"/>
    </row>
    <row r="18527">
      <c r="F18527" s="17"/>
    </row>
    <row r="18528">
      <c r="F18528" s="17"/>
    </row>
    <row r="18529">
      <c r="F18529" s="17"/>
    </row>
    <row r="18530">
      <c r="F18530" s="17"/>
    </row>
    <row r="18531">
      <c r="F18531" s="17"/>
    </row>
    <row r="18532">
      <c r="F18532" s="17"/>
    </row>
    <row r="18533">
      <c r="F18533" s="17"/>
    </row>
    <row r="18534">
      <c r="F18534" s="17"/>
    </row>
    <row r="18535">
      <c r="F18535" s="17"/>
    </row>
    <row r="18536">
      <c r="F18536" s="17"/>
    </row>
    <row r="18537">
      <c r="F18537" s="17"/>
    </row>
    <row r="18538">
      <c r="F18538" s="17"/>
    </row>
    <row r="18539">
      <c r="F18539" s="17"/>
    </row>
    <row r="18540">
      <c r="F18540" s="17"/>
    </row>
    <row r="18541">
      <c r="F18541" s="17"/>
    </row>
    <row r="18542">
      <c r="F18542" s="17"/>
    </row>
    <row r="18543">
      <c r="F18543" s="17"/>
    </row>
    <row r="18544">
      <c r="F18544" s="17"/>
    </row>
    <row r="18545">
      <c r="F18545" s="17"/>
    </row>
    <row r="18546">
      <c r="F18546" s="17"/>
    </row>
    <row r="18547">
      <c r="F18547" s="17"/>
    </row>
    <row r="18548">
      <c r="F18548" s="17"/>
    </row>
    <row r="18549">
      <c r="F18549" s="17"/>
    </row>
    <row r="18550">
      <c r="F18550" s="17"/>
    </row>
    <row r="18551">
      <c r="F18551" s="17"/>
    </row>
    <row r="18552">
      <c r="F18552" s="17"/>
    </row>
    <row r="18553">
      <c r="F18553" s="17"/>
    </row>
    <row r="18554">
      <c r="F18554" s="17"/>
    </row>
    <row r="18555">
      <c r="F18555" s="17"/>
    </row>
    <row r="18556">
      <c r="F18556" s="17"/>
    </row>
    <row r="18557">
      <c r="F18557" s="17"/>
    </row>
    <row r="18558">
      <c r="F18558" s="17"/>
    </row>
    <row r="18559">
      <c r="F18559" s="17"/>
    </row>
    <row r="18560">
      <c r="F18560" s="17"/>
    </row>
    <row r="18561">
      <c r="F18561" s="17"/>
    </row>
    <row r="18562">
      <c r="F18562" s="17"/>
    </row>
    <row r="18563">
      <c r="F18563" s="17"/>
    </row>
    <row r="18564">
      <c r="F18564" s="17"/>
    </row>
    <row r="18565">
      <c r="F18565" s="17"/>
    </row>
    <row r="18566">
      <c r="F18566" s="17"/>
    </row>
    <row r="18567">
      <c r="F18567" s="17"/>
    </row>
    <row r="18568">
      <c r="F18568" s="17"/>
    </row>
    <row r="18569">
      <c r="F18569" s="17"/>
    </row>
    <row r="18570">
      <c r="F18570" s="17"/>
    </row>
    <row r="18571">
      <c r="F18571" s="17"/>
    </row>
    <row r="18572">
      <c r="F18572" s="17"/>
    </row>
    <row r="18573">
      <c r="F18573" s="17"/>
    </row>
    <row r="18574">
      <c r="F18574" s="17"/>
    </row>
    <row r="18575">
      <c r="F18575" s="17"/>
    </row>
    <row r="18576">
      <c r="F18576" s="17"/>
    </row>
    <row r="18577">
      <c r="F18577" s="17"/>
    </row>
    <row r="18578">
      <c r="F18578" s="17"/>
    </row>
    <row r="18579">
      <c r="F18579" s="17"/>
    </row>
    <row r="18580">
      <c r="F18580" s="17"/>
    </row>
    <row r="18581">
      <c r="F18581" s="17"/>
    </row>
    <row r="18582">
      <c r="F18582" s="17"/>
    </row>
    <row r="18583">
      <c r="F18583" s="17"/>
    </row>
    <row r="18584">
      <c r="F18584" s="17"/>
    </row>
    <row r="18585">
      <c r="F18585" s="17"/>
    </row>
    <row r="18586">
      <c r="F18586" s="17"/>
    </row>
    <row r="18587">
      <c r="F18587" s="17"/>
    </row>
    <row r="18588">
      <c r="F18588" s="17"/>
    </row>
    <row r="18589">
      <c r="F18589" s="17"/>
    </row>
    <row r="18590">
      <c r="F18590" s="17"/>
    </row>
    <row r="18591">
      <c r="F18591" s="17"/>
    </row>
    <row r="18592">
      <c r="F18592" s="17"/>
    </row>
    <row r="18593">
      <c r="F18593" s="17"/>
    </row>
    <row r="18594">
      <c r="F18594" s="17"/>
    </row>
    <row r="18595">
      <c r="F18595" s="17"/>
    </row>
    <row r="18596">
      <c r="F18596" s="17"/>
    </row>
    <row r="18597">
      <c r="F18597" s="17"/>
    </row>
    <row r="18598">
      <c r="F18598" s="17"/>
    </row>
    <row r="18599">
      <c r="F18599" s="17"/>
    </row>
    <row r="18600">
      <c r="F18600" s="17"/>
    </row>
    <row r="18601">
      <c r="F18601" s="17"/>
    </row>
    <row r="18602">
      <c r="F18602" s="17"/>
    </row>
    <row r="18603">
      <c r="F18603" s="17"/>
    </row>
    <row r="18604">
      <c r="F18604" s="17"/>
    </row>
    <row r="18605">
      <c r="F18605" s="17"/>
    </row>
    <row r="18606">
      <c r="F18606" s="17"/>
    </row>
    <row r="18607">
      <c r="F18607" s="17"/>
    </row>
    <row r="18608">
      <c r="F18608" s="17"/>
    </row>
    <row r="18609">
      <c r="F18609" s="17"/>
    </row>
    <row r="18610">
      <c r="F18610" s="17"/>
    </row>
    <row r="18611">
      <c r="F18611" s="17"/>
    </row>
    <row r="18612">
      <c r="F18612" s="17"/>
    </row>
    <row r="18613">
      <c r="F18613" s="17"/>
    </row>
    <row r="18614">
      <c r="F18614" s="17"/>
    </row>
    <row r="18615">
      <c r="F18615" s="17"/>
    </row>
    <row r="18616">
      <c r="F18616" s="17"/>
    </row>
    <row r="18617">
      <c r="F18617" s="17"/>
    </row>
    <row r="18618">
      <c r="F18618" s="17"/>
    </row>
    <row r="18619">
      <c r="F18619" s="17"/>
    </row>
    <row r="18620">
      <c r="F18620" s="17"/>
    </row>
    <row r="18621">
      <c r="F18621" s="17"/>
    </row>
    <row r="18622">
      <c r="F18622" s="17"/>
    </row>
    <row r="18623">
      <c r="F18623" s="17"/>
    </row>
    <row r="18624">
      <c r="F18624" s="17"/>
    </row>
    <row r="18625">
      <c r="F18625" s="17"/>
    </row>
    <row r="18626">
      <c r="F18626" s="17"/>
    </row>
    <row r="18627">
      <c r="F18627" s="17"/>
    </row>
    <row r="18628">
      <c r="F18628" s="17"/>
    </row>
    <row r="18629">
      <c r="F18629" s="17"/>
    </row>
    <row r="18630">
      <c r="F18630" s="17"/>
    </row>
    <row r="18631">
      <c r="F18631" s="17"/>
    </row>
    <row r="18632">
      <c r="F18632" s="17"/>
    </row>
    <row r="18633">
      <c r="F18633" s="17"/>
    </row>
    <row r="18634">
      <c r="F18634" s="17"/>
    </row>
    <row r="18635">
      <c r="F18635" s="17"/>
    </row>
    <row r="18636">
      <c r="F18636" s="17"/>
    </row>
    <row r="18637">
      <c r="F18637" s="17"/>
    </row>
    <row r="18638">
      <c r="F18638" s="17"/>
    </row>
    <row r="18639">
      <c r="F18639" s="17"/>
    </row>
    <row r="18640">
      <c r="F18640" s="17"/>
    </row>
    <row r="18641">
      <c r="F18641" s="17"/>
    </row>
    <row r="18642">
      <c r="F18642" s="17"/>
    </row>
    <row r="18643">
      <c r="F18643" s="17"/>
    </row>
    <row r="18644">
      <c r="F18644" s="17"/>
    </row>
    <row r="18645">
      <c r="F18645" s="17"/>
    </row>
    <row r="18646">
      <c r="F18646" s="17"/>
    </row>
    <row r="18647">
      <c r="F18647" s="17"/>
    </row>
    <row r="18648">
      <c r="F18648" s="17"/>
    </row>
    <row r="18649">
      <c r="F18649" s="17"/>
    </row>
    <row r="18650">
      <c r="F18650" s="17"/>
    </row>
    <row r="18651">
      <c r="F18651" s="17"/>
    </row>
    <row r="18652">
      <c r="F18652" s="17"/>
    </row>
    <row r="18653">
      <c r="F18653" s="17"/>
    </row>
    <row r="18654">
      <c r="F18654" s="17"/>
    </row>
    <row r="18655">
      <c r="F18655" s="17"/>
    </row>
    <row r="18656">
      <c r="F18656" s="17"/>
    </row>
    <row r="18657">
      <c r="F18657" s="17"/>
    </row>
    <row r="18658">
      <c r="F18658" s="17"/>
    </row>
    <row r="18659">
      <c r="F18659" s="17"/>
    </row>
    <row r="18660">
      <c r="F18660" s="17"/>
    </row>
    <row r="18661">
      <c r="F18661" s="17"/>
    </row>
    <row r="18662">
      <c r="F18662" s="17"/>
    </row>
    <row r="18663">
      <c r="F18663" s="17"/>
    </row>
    <row r="18664">
      <c r="F18664" s="17"/>
    </row>
    <row r="18665">
      <c r="F18665" s="17"/>
    </row>
    <row r="18666">
      <c r="F18666" s="17"/>
    </row>
    <row r="18667">
      <c r="F18667" s="17"/>
    </row>
    <row r="18668">
      <c r="F18668" s="17"/>
    </row>
    <row r="18669">
      <c r="F18669" s="17"/>
    </row>
    <row r="18670">
      <c r="F18670" s="17"/>
    </row>
    <row r="18671">
      <c r="F18671" s="17"/>
    </row>
    <row r="18672">
      <c r="F18672" s="17"/>
    </row>
    <row r="18673">
      <c r="F18673" s="17"/>
    </row>
    <row r="18674">
      <c r="F18674" s="17"/>
    </row>
    <row r="18675">
      <c r="F18675" s="17"/>
    </row>
    <row r="18676">
      <c r="F18676" s="17"/>
    </row>
    <row r="18677">
      <c r="F18677" s="17"/>
    </row>
    <row r="18678">
      <c r="F18678" s="17"/>
    </row>
    <row r="18679">
      <c r="F18679" s="17"/>
    </row>
    <row r="18680">
      <c r="F18680" s="17"/>
    </row>
    <row r="18681">
      <c r="F18681" s="17"/>
    </row>
    <row r="18682">
      <c r="F18682" s="17"/>
    </row>
    <row r="18683">
      <c r="F18683" s="17"/>
    </row>
    <row r="18684">
      <c r="F18684" s="17"/>
    </row>
    <row r="18685">
      <c r="F18685" s="17"/>
    </row>
    <row r="18686">
      <c r="F18686" s="17"/>
    </row>
    <row r="18687">
      <c r="F18687" s="17"/>
    </row>
    <row r="18688">
      <c r="F18688" s="17"/>
    </row>
    <row r="18689">
      <c r="F18689" s="17"/>
    </row>
    <row r="18690">
      <c r="F18690" s="17"/>
    </row>
    <row r="18691">
      <c r="F18691" s="17"/>
    </row>
    <row r="18692">
      <c r="F18692" s="17"/>
    </row>
    <row r="18693">
      <c r="F18693" s="17"/>
    </row>
    <row r="18694">
      <c r="F18694" s="17"/>
    </row>
    <row r="18695">
      <c r="F18695" s="17"/>
    </row>
    <row r="18696">
      <c r="F18696" s="17"/>
    </row>
    <row r="18697">
      <c r="F18697" s="17"/>
    </row>
    <row r="18698">
      <c r="F18698" s="17"/>
    </row>
    <row r="18699">
      <c r="F18699" s="17"/>
    </row>
    <row r="18700">
      <c r="F18700" s="17"/>
    </row>
    <row r="18701">
      <c r="F18701" s="17"/>
    </row>
    <row r="18702">
      <c r="F18702" s="17"/>
    </row>
    <row r="18703">
      <c r="F18703" s="17"/>
    </row>
    <row r="18704">
      <c r="F18704" s="17"/>
    </row>
    <row r="18705">
      <c r="F18705" s="17"/>
    </row>
    <row r="18706">
      <c r="F18706" s="17"/>
    </row>
    <row r="18707">
      <c r="F18707" s="17"/>
    </row>
    <row r="18708">
      <c r="F18708" s="17"/>
    </row>
    <row r="18709">
      <c r="F18709" s="17"/>
    </row>
    <row r="18710">
      <c r="F18710" s="17"/>
    </row>
    <row r="18711">
      <c r="F18711" s="17"/>
    </row>
    <row r="18712">
      <c r="F18712" s="17"/>
    </row>
    <row r="18713">
      <c r="F18713" s="17"/>
    </row>
    <row r="18714">
      <c r="F18714" s="17"/>
    </row>
    <row r="18715">
      <c r="F18715" s="17"/>
    </row>
    <row r="18716">
      <c r="F18716" s="17"/>
    </row>
    <row r="18717">
      <c r="F18717" s="17"/>
    </row>
    <row r="18718">
      <c r="F18718" s="17"/>
    </row>
    <row r="18719">
      <c r="F18719" s="17"/>
    </row>
    <row r="18720">
      <c r="F18720" s="17"/>
    </row>
    <row r="18721">
      <c r="F18721" s="17"/>
    </row>
    <row r="18722">
      <c r="F18722" s="17"/>
    </row>
    <row r="18723">
      <c r="F18723" s="17"/>
    </row>
    <row r="18724">
      <c r="F18724" s="17"/>
    </row>
    <row r="18725">
      <c r="F18725" s="17"/>
    </row>
    <row r="18726">
      <c r="F18726" s="17"/>
    </row>
    <row r="18727">
      <c r="F18727" s="17"/>
    </row>
    <row r="18728">
      <c r="F18728" s="17"/>
    </row>
    <row r="18729">
      <c r="F18729" s="17"/>
    </row>
    <row r="18730">
      <c r="F18730" s="17"/>
    </row>
    <row r="18731">
      <c r="F18731" s="17"/>
    </row>
    <row r="18732">
      <c r="F18732" s="17"/>
    </row>
    <row r="18733">
      <c r="F18733" s="17"/>
    </row>
    <row r="18734">
      <c r="F18734" s="17"/>
    </row>
    <row r="18735">
      <c r="F18735" s="17"/>
    </row>
    <row r="18736">
      <c r="F18736" s="17"/>
    </row>
    <row r="18737">
      <c r="F18737" s="17"/>
    </row>
    <row r="18738">
      <c r="F18738" s="17"/>
    </row>
    <row r="18739">
      <c r="F18739" s="17"/>
    </row>
    <row r="18740">
      <c r="F18740" s="17"/>
    </row>
    <row r="18741">
      <c r="F18741" s="17"/>
    </row>
    <row r="18742">
      <c r="F18742" s="17"/>
    </row>
    <row r="18743">
      <c r="F18743" s="17"/>
    </row>
    <row r="18744">
      <c r="F18744" s="17"/>
    </row>
    <row r="18745">
      <c r="F18745" s="17"/>
    </row>
    <row r="18746">
      <c r="F18746" s="17"/>
    </row>
    <row r="18747">
      <c r="F18747" s="17"/>
    </row>
    <row r="18748">
      <c r="F18748" s="17"/>
    </row>
    <row r="18749">
      <c r="F18749" s="17"/>
    </row>
    <row r="18750">
      <c r="F18750" s="17"/>
    </row>
    <row r="18751">
      <c r="F18751" s="17"/>
    </row>
    <row r="18752">
      <c r="F18752" s="17"/>
    </row>
    <row r="18753">
      <c r="F18753" s="17"/>
    </row>
    <row r="18754">
      <c r="F18754" s="17"/>
    </row>
    <row r="18755">
      <c r="F18755" s="17"/>
    </row>
    <row r="18756">
      <c r="F18756" s="17"/>
    </row>
    <row r="18757">
      <c r="F18757" s="17"/>
    </row>
    <row r="18758">
      <c r="F18758" s="17"/>
    </row>
    <row r="18759">
      <c r="F18759" s="17"/>
    </row>
    <row r="18760">
      <c r="F18760" s="17"/>
    </row>
    <row r="18761">
      <c r="F18761" s="17"/>
    </row>
    <row r="18762">
      <c r="F18762" s="17"/>
    </row>
    <row r="18763">
      <c r="F18763" s="17"/>
    </row>
    <row r="18764">
      <c r="F18764" s="17"/>
    </row>
    <row r="18765">
      <c r="F18765" s="17"/>
    </row>
    <row r="18766">
      <c r="F18766" s="17"/>
    </row>
    <row r="18767">
      <c r="F18767" s="17"/>
    </row>
    <row r="18768">
      <c r="F18768" s="17"/>
    </row>
    <row r="18769">
      <c r="F18769" s="17"/>
    </row>
    <row r="18770">
      <c r="F18770" s="17"/>
    </row>
    <row r="18771">
      <c r="F18771" s="17"/>
    </row>
    <row r="18772">
      <c r="F18772" s="17"/>
    </row>
    <row r="18773">
      <c r="F18773" s="17"/>
    </row>
    <row r="18774">
      <c r="F18774" s="17"/>
    </row>
    <row r="18775">
      <c r="F18775" s="17"/>
    </row>
    <row r="18776">
      <c r="F18776" s="17"/>
    </row>
    <row r="18777">
      <c r="F18777" s="17"/>
    </row>
    <row r="18778">
      <c r="F18778" s="17"/>
    </row>
    <row r="18779">
      <c r="F18779" s="17"/>
    </row>
    <row r="18780">
      <c r="F18780" s="17"/>
    </row>
    <row r="18781">
      <c r="F18781" s="17"/>
    </row>
    <row r="18782">
      <c r="F18782" s="17"/>
    </row>
    <row r="18783">
      <c r="F18783" s="17"/>
    </row>
    <row r="18784">
      <c r="F18784" s="17"/>
    </row>
    <row r="18785">
      <c r="F18785" s="17"/>
    </row>
    <row r="18786">
      <c r="F18786" s="17"/>
    </row>
    <row r="18787">
      <c r="F18787" s="17"/>
    </row>
    <row r="18788">
      <c r="F18788" s="17"/>
    </row>
    <row r="18789">
      <c r="F18789" s="17"/>
    </row>
    <row r="18790">
      <c r="F18790" s="17"/>
    </row>
    <row r="18791">
      <c r="F18791" s="17"/>
    </row>
    <row r="18792">
      <c r="F18792" s="17"/>
    </row>
    <row r="18793">
      <c r="F18793" s="17"/>
    </row>
    <row r="18794">
      <c r="F18794" s="17"/>
    </row>
    <row r="18795">
      <c r="F18795" s="17"/>
    </row>
    <row r="18796">
      <c r="F18796" s="17"/>
    </row>
    <row r="18797">
      <c r="F18797" s="17"/>
    </row>
    <row r="18798">
      <c r="F18798" s="17"/>
    </row>
    <row r="18799">
      <c r="F18799" s="17"/>
    </row>
    <row r="18800">
      <c r="F18800" s="17"/>
    </row>
    <row r="18801">
      <c r="F18801" s="17"/>
    </row>
    <row r="18802">
      <c r="F18802" s="17"/>
    </row>
    <row r="18803">
      <c r="F18803" s="17"/>
    </row>
    <row r="18804">
      <c r="F18804" s="17"/>
    </row>
    <row r="18805">
      <c r="F18805" s="17"/>
    </row>
    <row r="18806">
      <c r="F18806" s="17"/>
    </row>
    <row r="18807">
      <c r="F18807" s="17"/>
    </row>
    <row r="18808">
      <c r="F18808" s="17"/>
    </row>
    <row r="18809">
      <c r="F18809" s="17"/>
    </row>
    <row r="18810">
      <c r="F18810" s="17"/>
    </row>
    <row r="18811">
      <c r="F18811" s="17"/>
    </row>
    <row r="18812">
      <c r="F18812" s="17"/>
    </row>
    <row r="18813">
      <c r="F18813" s="17"/>
    </row>
    <row r="18814">
      <c r="F18814" s="17"/>
    </row>
    <row r="18815">
      <c r="F18815" s="17"/>
    </row>
    <row r="18816">
      <c r="F18816" s="17"/>
    </row>
    <row r="18817">
      <c r="F18817" s="17"/>
    </row>
    <row r="18818">
      <c r="F18818" s="17"/>
    </row>
    <row r="18819">
      <c r="F18819" s="17"/>
    </row>
    <row r="18820">
      <c r="F18820" s="17"/>
    </row>
    <row r="18821">
      <c r="F18821" s="17"/>
    </row>
    <row r="18822">
      <c r="F18822" s="17"/>
    </row>
    <row r="18823">
      <c r="F18823" s="17"/>
    </row>
    <row r="18824">
      <c r="F18824" s="17"/>
    </row>
    <row r="18825">
      <c r="F18825" s="17"/>
    </row>
    <row r="18826">
      <c r="F18826" s="17"/>
    </row>
    <row r="18827">
      <c r="F18827" s="17"/>
    </row>
    <row r="18828">
      <c r="F18828" s="17"/>
    </row>
    <row r="18829">
      <c r="F18829" s="17"/>
    </row>
    <row r="18830">
      <c r="F18830" s="17"/>
    </row>
    <row r="18831">
      <c r="F18831" s="17"/>
    </row>
    <row r="18832">
      <c r="F18832" s="17"/>
    </row>
    <row r="18833">
      <c r="F18833" s="17"/>
    </row>
    <row r="18834">
      <c r="F18834" s="17"/>
    </row>
    <row r="18835">
      <c r="F18835" s="17"/>
    </row>
    <row r="18836">
      <c r="F18836" s="17"/>
    </row>
    <row r="18837">
      <c r="F18837" s="17"/>
    </row>
    <row r="18838">
      <c r="F18838" s="17"/>
    </row>
    <row r="18839">
      <c r="F18839" s="17"/>
    </row>
    <row r="18840">
      <c r="F18840" s="17"/>
    </row>
    <row r="18841">
      <c r="F18841" s="17"/>
    </row>
    <row r="18842">
      <c r="F18842" s="17"/>
    </row>
    <row r="18843">
      <c r="F18843" s="17"/>
    </row>
    <row r="18844">
      <c r="F18844" s="17"/>
    </row>
    <row r="18845">
      <c r="F18845" s="17"/>
    </row>
    <row r="18846">
      <c r="F18846" s="17"/>
    </row>
    <row r="18847">
      <c r="F18847" s="17"/>
    </row>
    <row r="18848">
      <c r="F18848" s="17"/>
    </row>
    <row r="18849">
      <c r="F18849" s="17"/>
    </row>
    <row r="18850">
      <c r="F18850" s="17"/>
    </row>
    <row r="18851">
      <c r="F18851" s="17"/>
    </row>
    <row r="18852">
      <c r="F18852" s="17"/>
    </row>
    <row r="18853">
      <c r="F18853" s="17"/>
    </row>
    <row r="18854">
      <c r="F18854" s="17"/>
    </row>
    <row r="18855">
      <c r="F18855" s="17"/>
    </row>
    <row r="18856">
      <c r="F18856" s="17"/>
    </row>
    <row r="18857">
      <c r="F18857" s="17"/>
    </row>
    <row r="18858">
      <c r="F18858" s="17"/>
    </row>
    <row r="18859">
      <c r="F18859" s="17"/>
    </row>
    <row r="18860">
      <c r="F18860" s="17"/>
    </row>
    <row r="18861">
      <c r="F18861" s="17"/>
    </row>
    <row r="18862">
      <c r="F18862" s="17"/>
    </row>
    <row r="18863">
      <c r="F18863" s="17"/>
    </row>
    <row r="18864">
      <c r="F18864" s="17"/>
    </row>
    <row r="18865">
      <c r="F18865" s="17"/>
    </row>
    <row r="18866">
      <c r="F18866" s="17"/>
    </row>
    <row r="18867">
      <c r="F18867" s="17"/>
    </row>
    <row r="18868">
      <c r="F18868" s="17"/>
    </row>
    <row r="18869">
      <c r="F18869" s="17"/>
    </row>
    <row r="18870">
      <c r="F18870" s="17"/>
    </row>
    <row r="18871">
      <c r="F18871" s="17"/>
    </row>
    <row r="18872">
      <c r="F18872" s="17"/>
    </row>
    <row r="18873">
      <c r="F18873" s="17"/>
    </row>
    <row r="18874">
      <c r="F18874" s="17"/>
    </row>
    <row r="18875">
      <c r="F18875" s="17"/>
    </row>
    <row r="18876">
      <c r="F18876" s="17"/>
    </row>
    <row r="18877">
      <c r="F18877" s="17"/>
    </row>
    <row r="18878">
      <c r="F18878" s="17"/>
    </row>
    <row r="18879">
      <c r="F18879" s="17"/>
    </row>
    <row r="18880">
      <c r="F18880" s="17"/>
    </row>
    <row r="18881">
      <c r="F18881" s="17"/>
    </row>
    <row r="18882">
      <c r="F18882" s="17"/>
    </row>
    <row r="18883">
      <c r="F18883" s="17"/>
    </row>
    <row r="18884">
      <c r="F18884" s="17"/>
    </row>
    <row r="18885">
      <c r="F18885" s="17"/>
    </row>
    <row r="18886">
      <c r="F18886" s="17"/>
    </row>
    <row r="18887">
      <c r="F18887" s="17"/>
    </row>
    <row r="18888">
      <c r="F18888" s="17"/>
    </row>
    <row r="18889">
      <c r="F18889" s="17"/>
    </row>
    <row r="18890">
      <c r="F18890" s="17"/>
    </row>
    <row r="18891">
      <c r="F18891" s="17"/>
    </row>
    <row r="18892">
      <c r="F18892" s="17"/>
    </row>
    <row r="18893">
      <c r="F18893" s="17"/>
    </row>
    <row r="18894">
      <c r="F18894" s="17"/>
    </row>
    <row r="18895">
      <c r="F18895" s="17"/>
    </row>
    <row r="18896">
      <c r="F18896" s="17"/>
    </row>
    <row r="18897">
      <c r="F18897" s="17"/>
    </row>
    <row r="18898">
      <c r="F18898" s="17"/>
    </row>
    <row r="18899">
      <c r="F18899" s="17"/>
    </row>
    <row r="18900">
      <c r="F18900" s="17"/>
    </row>
    <row r="18901">
      <c r="F18901" s="17"/>
    </row>
    <row r="18902">
      <c r="F18902" s="17"/>
    </row>
    <row r="18903">
      <c r="F18903" s="17"/>
    </row>
    <row r="18904">
      <c r="F18904" s="17"/>
    </row>
    <row r="18905">
      <c r="F18905" s="17"/>
    </row>
    <row r="18906">
      <c r="F18906" s="17"/>
    </row>
    <row r="18907">
      <c r="F18907" s="17"/>
    </row>
    <row r="18908">
      <c r="F18908" s="17"/>
    </row>
    <row r="18909">
      <c r="F18909" s="17"/>
    </row>
    <row r="18910">
      <c r="F18910" s="17"/>
    </row>
    <row r="18911">
      <c r="F18911" s="17"/>
    </row>
    <row r="18912">
      <c r="F18912" s="17"/>
    </row>
    <row r="18913">
      <c r="F18913" s="17"/>
    </row>
    <row r="18914">
      <c r="F18914" s="17"/>
    </row>
    <row r="18915">
      <c r="F18915" s="17"/>
    </row>
    <row r="18916">
      <c r="F18916" s="17"/>
    </row>
    <row r="18917">
      <c r="F18917" s="17"/>
    </row>
    <row r="18918">
      <c r="F18918" s="17"/>
    </row>
    <row r="18919">
      <c r="F18919" s="17"/>
    </row>
    <row r="18920">
      <c r="F18920" s="17"/>
    </row>
    <row r="18921">
      <c r="F18921" s="17"/>
    </row>
    <row r="18922">
      <c r="F18922" s="17"/>
    </row>
    <row r="18923">
      <c r="F18923" s="17"/>
    </row>
    <row r="18924">
      <c r="F18924" s="17"/>
    </row>
    <row r="18925">
      <c r="F18925" s="17"/>
    </row>
    <row r="18926">
      <c r="F18926" s="17"/>
    </row>
    <row r="18927">
      <c r="F18927" s="17"/>
    </row>
    <row r="18928">
      <c r="F18928" s="17"/>
    </row>
    <row r="18929">
      <c r="F18929" s="17"/>
    </row>
    <row r="18930">
      <c r="F18930" s="17"/>
    </row>
    <row r="18931">
      <c r="F18931" s="17"/>
    </row>
    <row r="18932">
      <c r="F18932" s="17"/>
    </row>
    <row r="18933">
      <c r="F18933" s="17"/>
    </row>
    <row r="18934">
      <c r="F18934" s="17"/>
    </row>
    <row r="18935">
      <c r="F18935" s="17"/>
    </row>
    <row r="18936">
      <c r="F18936" s="17"/>
    </row>
    <row r="18937">
      <c r="F18937" s="17"/>
    </row>
    <row r="18938">
      <c r="F18938" s="17"/>
    </row>
    <row r="18939">
      <c r="F18939" s="17"/>
    </row>
    <row r="18940">
      <c r="F18940" s="17"/>
    </row>
    <row r="18941">
      <c r="F18941" s="17"/>
    </row>
    <row r="18942">
      <c r="F18942" s="17"/>
    </row>
    <row r="18943">
      <c r="F18943" s="17"/>
    </row>
    <row r="18944">
      <c r="F18944" s="17"/>
    </row>
    <row r="18945">
      <c r="F18945" s="17"/>
    </row>
    <row r="18946">
      <c r="F18946" s="17"/>
    </row>
    <row r="18947">
      <c r="F18947" s="17"/>
    </row>
    <row r="18948">
      <c r="F18948" s="17"/>
    </row>
    <row r="18949">
      <c r="F18949" s="17"/>
    </row>
    <row r="18950">
      <c r="F18950" s="17"/>
    </row>
    <row r="18951">
      <c r="F18951" s="17"/>
    </row>
    <row r="18952">
      <c r="F18952" s="17"/>
    </row>
    <row r="18953">
      <c r="F18953" s="17"/>
    </row>
    <row r="18954">
      <c r="F18954" s="17"/>
    </row>
    <row r="18955">
      <c r="F18955" s="17"/>
    </row>
    <row r="18956">
      <c r="F18956" s="17"/>
    </row>
    <row r="18957">
      <c r="F18957" s="17"/>
    </row>
    <row r="18958">
      <c r="F18958" s="17"/>
    </row>
    <row r="18959">
      <c r="F18959" s="17"/>
    </row>
    <row r="18960">
      <c r="F18960" s="17"/>
    </row>
    <row r="18961">
      <c r="F18961" s="17"/>
    </row>
    <row r="18962">
      <c r="F18962" s="17"/>
    </row>
    <row r="18963">
      <c r="F18963" s="17"/>
    </row>
    <row r="18964">
      <c r="F18964" s="17"/>
    </row>
    <row r="18965">
      <c r="F18965" s="17"/>
    </row>
    <row r="18966">
      <c r="F18966" s="17"/>
    </row>
    <row r="18967">
      <c r="F18967" s="17"/>
    </row>
    <row r="18968">
      <c r="F18968" s="17"/>
    </row>
    <row r="18969">
      <c r="F18969" s="17"/>
    </row>
    <row r="18970">
      <c r="F18970" s="17"/>
    </row>
    <row r="18971">
      <c r="F18971" s="17"/>
    </row>
    <row r="18972">
      <c r="F18972" s="17"/>
    </row>
    <row r="18973">
      <c r="F18973" s="17"/>
    </row>
    <row r="18974">
      <c r="F18974" s="17"/>
    </row>
    <row r="18975">
      <c r="F18975" s="17"/>
    </row>
    <row r="18976">
      <c r="F18976" s="17"/>
    </row>
    <row r="18977">
      <c r="F18977" s="17"/>
    </row>
    <row r="18978">
      <c r="F18978" s="17"/>
    </row>
    <row r="18979">
      <c r="F18979" s="17"/>
    </row>
    <row r="18980">
      <c r="F18980" s="17"/>
    </row>
    <row r="18981">
      <c r="F18981" s="17"/>
    </row>
    <row r="18982">
      <c r="F18982" s="17"/>
    </row>
    <row r="18983">
      <c r="F18983" s="17"/>
    </row>
    <row r="18984">
      <c r="F18984" s="17"/>
    </row>
    <row r="18985">
      <c r="F18985" s="17"/>
    </row>
    <row r="18986">
      <c r="F18986" s="17"/>
    </row>
    <row r="18987">
      <c r="F18987" s="17"/>
    </row>
    <row r="18988">
      <c r="F18988" s="17"/>
    </row>
    <row r="18989">
      <c r="F18989" s="17"/>
    </row>
    <row r="18990">
      <c r="F18990" s="17"/>
    </row>
    <row r="18991">
      <c r="F18991" s="17"/>
    </row>
    <row r="18992">
      <c r="F18992" s="17"/>
    </row>
    <row r="18993">
      <c r="F18993" s="17"/>
    </row>
    <row r="18994">
      <c r="F18994" s="17"/>
    </row>
    <row r="18995">
      <c r="F18995" s="17"/>
    </row>
    <row r="18996">
      <c r="F18996" s="17"/>
    </row>
    <row r="18997">
      <c r="F18997" s="17"/>
    </row>
    <row r="18998">
      <c r="F18998" s="17"/>
    </row>
    <row r="18999">
      <c r="F18999" s="17"/>
    </row>
    <row r="19000">
      <c r="F19000" s="17"/>
    </row>
    <row r="19001">
      <c r="F19001" s="17"/>
    </row>
    <row r="19002">
      <c r="F19002" s="17"/>
    </row>
    <row r="19003">
      <c r="F19003" s="17"/>
    </row>
    <row r="19004">
      <c r="F19004" s="17"/>
    </row>
    <row r="19005">
      <c r="F19005" s="17"/>
    </row>
    <row r="19006">
      <c r="F19006" s="17"/>
    </row>
    <row r="19007">
      <c r="F19007" s="17"/>
    </row>
    <row r="19008">
      <c r="F19008" s="17"/>
    </row>
    <row r="19009">
      <c r="F19009" s="17"/>
    </row>
    <row r="19010">
      <c r="F19010" s="17"/>
    </row>
    <row r="19011">
      <c r="F19011" s="17"/>
    </row>
    <row r="19012">
      <c r="F19012" s="17"/>
    </row>
    <row r="19013">
      <c r="F19013" s="17"/>
    </row>
    <row r="19014">
      <c r="F19014" s="17"/>
    </row>
    <row r="19015">
      <c r="F19015" s="17"/>
    </row>
    <row r="19016">
      <c r="F19016" s="17"/>
    </row>
    <row r="19017">
      <c r="F19017" s="17"/>
    </row>
    <row r="19018">
      <c r="F19018" s="17"/>
    </row>
    <row r="19019">
      <c r="F19019" s="17"/>
    </row>
    <row r="19020">
      <c r="F19020" s="17"/>
    </row>
    <row r="19021">
      <c r="F19021" s="17"/>
    </row>
    <row r="19022">
      <c r="F19022" s="17"/>
    </row>
    <row r="19023">
      <c r="F19023" s="17"/>
    </row>
    <row r="19024">
      <c r="F19024" s="17"/>
    </row>
    <row r="19025">
      <c r="F19025" s="17"/>
    </row>
    <row r="19026">
      <c r="F19026" s="17"/>
    </row>
    <row r="19027">
      <c r="F19027" s="17"/>
    </row>
    <row r="19028">
      <c r="F19028" s="17"/>
    </row>
    <row r="19029">
      <c r="F19029" s="17"/>
    </row>
    <row r="19030">
      <c r="F19030" s="17"/>
    </row>
    <row r="19031">
      <c r="F19031" s="17"/>
    </row>
    <row r="19032">
      <c r="F19032" s="17"/>
    </row>
    <row r="19033">
      <c r="F19033" s="17"/>
    </row>
    <row r="19034">
      <c r="F19034" s="17"/>
    </row>
    <row r="19035">
      <c r="F19035" s="17"/>
    </row>
    <row r="19036">
      <c r="F19036" s="17"/>
    </row>
    <row r="19037">
      <c r="F19037" s="17"/>
    </row>
    <row r="19038">
      <c r="F19038" s="17"/>
    </row>
    <row r="19039">
      <c r="F19039" s="17"/>
    </row>
    <row r="19040">
      <c r="F19040" s="17"/>
    </row>
    <row r="19041">
      <c r="F19041" s="17"/>
    </row>
    <row r="19042">
      <c r="F19042" s="17"/>
    </row>
    <row r="19043">
      <c r="F19043" s="17"/>
    </row>
    <row r="19044">
      <c r="F19044" s="17"/>
    </row>
    <row r="19045">
      <c r="F19045" s="17"/>
    </row>
    <row r="19046">
      <c r="F19046" s="17"/>
    </row>
    <row r="19047">
      <c r="F19047" s="17"/>
    </row>
    <row r="19048">
      <c r="F19048" s="17"/>
    </row>
    <row r="19049">
      <c r="F19049" s="17"/>
    </row>
    <row r="19050">
      <c r="F19050" s="17"/>
    </row>
    <row r="19051">
      <c r="F19051" s="17"/>
    </row>
    <row r="19052">
      <c r="F19052" s="17"/>
    </row>
    <row r="19053">
      <c r="F19053" s="17"/>
    </row>
    <row r="19054">
      <c r="F19054" s="17"/>
    </row>
    <row r="19055">
      <c r="F19055" s="17"/>
    </row>
    <row r="19056">
      <c r="F19056" s="17"/>
    </row>
    <row r="19057">
      <c r="F19057" s="17"/>
    </row>
    <row r="19058">
      <c r="F19058" s="17"/>
    </row>
    <row r="19059">
      <c r="F19059" s="17"/>
    </row>
    <row r="19060">
      <c r="F19060" s="17"/>
    </row>
    <row r="19061">
      <c r="F19061" s="17"/>
    </row>
    <row r="19062">
      <c r="F19062" s="17"/>
    </row>
    <row r="19063">
      <c r="F19063" s="17"/>
    </row>
    <row r="19064">
      <c r="F19064" s="17"/>
    </row>
    <row r="19065">
      <c r="F19065" s="17"/>
    </row>
    <row r="19066">
      <c r="F19066" s="17"/>
    </row>
    <row r="19067">
      <c r="F19067" s="17"/>
    </row>
    <row r="19068">
      <c r="F19068" s="17"/>
    </row>
    <row r="19069">
      <c r="F19069" s="17"/>
    </row>
    <row r="19070">
      <c r="F19070" s="17"/>
    </row>
    <row r="19071">
      <c r="F19071" s="17"/>
    </row>
    <row r="19072">
      <c r="F19072" s="17"/>
    </row>
    <row r="19073">
      <c r="F19073" s="17"/>
    </row>
    <row r="19074">
      <c r="F19074" s="17"/>
    </row>
    <row r="19075">
      <c r="F19075" s="17"/>
    </row>
    <row r="19076">
      <c r="F19076" s="17"/>
    </row>
    <row r="19077">
      <c r="F19077" s="17"/>
    </row>
    <row r="19078">
      <c r="F19078" s="17"/>
    </row>
    <row r="19079">
      <c r="F19079" s="17"/>
    </row>
    <row r="19080">
      <c r="F19080" s="17"/>
    </row>
    <row r="19081">
      <c r="F19081" s="17"/>
    </row>
    <row r="19082">
      <c r="F19082" s="17"/>
    </row>
    <row r="19083">
      <c r="F19083" s="17"/>
    </row>
    <row r="19084">
      <c r="F19084" s="17"/>
    </row>
    <row r="19085">
      <c r="F19085" s="17"/>
    </row>
    <row r="19086">
      <c r="F19086" s="17"/>
    </row>
    <row r="19087">
      <c r="F19087" s="17"/>
    </row>
    <row r="19088">
      <c r="F19088" s="17"/>
    </row>
    <row r="19089">
      <c r="F19089" s="17"/>
    </row>
    <row r="19090">
      <c r="F19090" s="17"/>
    </row>
    <row r="19091">
      <c r="F19091" s="17"/>
    </row>
    <row r="19092">
      <c r="F19092" s="17"/>
    </row>
    <row r="19093">
      <c r="F19093" s="17"/>
    </row>
    <row r="19094">
      <c r="F19094" s="17"/>
    </row>
    <row r="19095">
      <c r="F19095" s="17"/>
    </row>
    <row r="19096">
      <c r="F19096" s="17"/>
    </row>
    <row r="19097">
      <c r="F19097" s="17"/>
    </row>
    <row r="19098">
      <c r="F19098" s="17"/>
    </row>
    <row r="19099">
      <c r="F19099" s="17"/>
    </row>
    <row r="19100">
      <c r="F19100" s="17"/>
    </row>
    <row r="19101">
      <c r="F19101" s="17"/>
    </row>
    <row r="19102">
      <c r="F19102" s="17"/>
    </row>
    <row r="19103">
      <c r="F19103" s="17"/>
    </row>
    <row r="19104">
      <c r="F19104" s="17"/>
    </row>
    <row r="19105">
      <c r="F19105" s="17"/>
    </row>
    <row r="19106">
      <c r="F19106" s="17"/>
    </row>
    <row r="19107">
      <c r="F19107" s="17"/>
    </row>
    <row r="19108">
      <c r="F19108" s="17"/>
    </row>
    <row r="19109">
      <c r="F19109" s="17"/>
    </row>
    <row r="19110">
      <c r="F19110" s="17"/>
    </row>
    <row r="19111">
      <c r="F19111" s="17"/>
    </row>
    <row r="19112">
      <c r="F19112" s="17"/>
    </row>
    <row r="19113">
      <c r="F19113" s="17"/>
    </row>
    <row r="19114">
      <c r="F19114" s="17"/>
    </row>
    <row r="19115">
      <c r="F19115" s="17"/>
    </row>
    <row r="19116">
      <c r="F19116" s="17"/>
    </row>
    <row r="19117">
      <c r="F19117" s="17"/>
    </row>
    <row r="19118">
      <c r="F19118" s="17"/>
    </row>
    <row r="19119">
      <c r="F19119" s="17"/>
    </row>
    <row r="19120">
      <c r="F19120" s="17"/>
    </row>
    <row r="19121">
      <c r="F19121" s="17"/>
    </row>
    <row r="19122">
      <c r="F19122" s="17"/>
    </row>
    <row r="19123">
      <c r="F19123" s="17"/>
    </row>
    <row r="19124">
      <c r="F19124" s="17"/>
    </row>
    <row r="19125">
      <c r="F19125" s="17"/>
    </row>
    <row r="19126">
      <c r="F19126" s="17"/>
    </row>
    <row r="19127">
      <c r="F19127" s="17"/>
    </row>
    <row r="19128">
      <c r="F19128" s="17"/>
    </row>
    <row r="19129">
      <c r="F19129" s="17"/>
    </row>
    <row r="19130">
      <c r="F19130" s="17"/>
    </row>
    <row r="19131">
      <c r="F19131" s="17"/>
    </row>
    <row r="19132">
      <c r="F19132" s="17"/>
    </row>
    <row r="19133">
      <c r="F19133" s="17"/>
    </row>
    <row r="19134">
      <c r="F19134" s="17"/>
    </row>
    <row r="19135">
      <c r="F19135" s="17"/>
    </row>
    <row r="19136">
      <c r="F19136" s="17"/>
    </row>
    <row r="19137">
      <c r="F19137" s="17"/>
    </row>
    <row r="19138">
      <c r="F19138" s="17"/>
    </row>
    <row r="19139">
      <c r="F19139" s="17"/>
    </row>
    <row r="19140">
      <c r="F19140" s="17"/>
    </row>
    <row r="19141">
      <c r="F19141" s="17"/>
    </row>
    <row r="19142">
      <c r="F19142" s="17"/>
    </row>
    <row r="19143">
      <c r="F19143" s="17"/>
    </row>
    <row r="19144">
      <c r="F19144" s="17"/>
    </row>
    <row r="19145">
      <c r="F19145" s="17"/>
    </row>
    <row r="19146">
      <c r="F19146" s="17"/>
    </row>
    <row r="19147">
      <c r="F19147" s="17"/>
    </row>
    <row r="19148">
      <c r="F19148" s="17"/>
    </row>
    <row r="19149">
      <c r="F19149" s="17"/>
    </row>
    <row r="19150">
      <c r="F19150" s="17"/>
    </row>
    <row r="19151">
      <c r="F19151" s="17"/>
    </row>
    <row r="19152">
      <c r="F19152" s="17"/>
    </row>
    <row r="19153">
      <c r="F19153" s="17"/>
    </row>
    <row r="19154">
      <c r="F19154" s="17"/>
    </row>
    <row r="19155">
      <c r="F19155" s="17"/>
    </row>
    <row r="19156">
      <c r="F19156" s="17"/>
    </row>
    <row r="19157">
      <c r="F19157" s="17"/>
    </row>
    <row r="19158">
      <c r="F19158" s="17"/>
    </row>
    <row r="19159">
      <c r="F19159" s="17"/>
    </row>
    <row r="19160">
      <c r="F19160" s="17"/>
    </row>
    <row r="19161">
      <c r="F19161" s="17"/>
    </row>
    <row r="19162">
      <c r="F19162" s="17"/>
    </row>
    <row r="19163">
      <c r="F19163" s="17"/>
    </row>
    <row r="19164">
      <c r="F19164" s="17"/>
    </row>
    <row r="19165">
      <c r="F19165" s="17"/>
    </row>
    <row r="19166">
      <c r="F19166" s="17"/>
    </row>
    <row r="19167">
      <c r="F19167" s="17"/>
    </row>
    <row r="19168">
      <c r="F19168" s="17"/>
    </row>
    <row r="19169">
      <c r="F19169" s="17"/>
    </row>
    <row r="19170">
      <c r="F19170" s="17"/>
    </row>
    <row r="19171">
      <c r="F19171" s="17"/>
    </row>
    <row r="19172">
      <c r="F19172" s="17"/>
    </row>
    <row r="19173">
      <c r="F19173" s="17"/>
    </row>
    <row r="19174">
      <c r="F19174" s="17"/>
    </row>
    <row r="19175">
      <c r="F19175" s="17"/>
    </row>
    <row r="19176">
      <c r="F19176" s="17"/>
    </row>
    <row r="19177">
      <c r="F19177" s="17"/>
    </row>
    <row r="19178">
      <c r="F19178" s="17"/>
    </row>
    <row r="19179">
      <c r="F19179" s="17"/>
    </row>
    <row r="19180">
      <c r="F19180" s="17"/>
    </row>
    <row r="19181">
      <c r="F19181" s="17"/>
    </row>
    <row r="19182">
      <c r="F19182" s="17"/>
    </row>
    <row r="19183">
      <c r="F19183" s="17"/>
    </row>
    <row r="19184">
      <c r="F19184" s="17"/>
    </row>
    <row r="19185">
      <c r="F19185" s="17"/>
    </row>
    <row r="19186">
      <c r="F19186" s="17"/>
    </row>
    <row r="19187">
      <c r="F19187" s="17"/>
    </row>
    <row r="19188">
      <c r="F19188" s="17"/>
    </row>
    <row r="19189">
      <c r="F19189" s="17"/>
    </row>
    <row r="19190">
      <c r="F19190" s="17"/>
    </row>
    <row r="19191">
      <c r="F19191" s="17"/>
    </row>
    <row r="19192">
      <c r="F19192" s="17"/>
    </row>
    <row r="19193">
      <c r="F19193" s="17"/>
    </row>
    <row r="19194">
      <c r="F19194" s="17"/>
    </row>
    <row r="19195">
      <c r="F19195" s="17"/>
    </row>
    <row r="19196">
      <c r="F19196" s="17"/>
    </row>
    <row r="19197">
      <c r="F19197" s="17"/>
    </row>
    <row r="19198">
      <c r="F19198" s="17"/>
    </row>
    <row r="19199">
      <c r="F19199" s="17"/>
    </row>
    <row r="19200">
      <c r="F19200" s="17"/>
    </row>
    <row r="19201">
      <c r="F19201" s="17"/>
    </row>
    <row r="19202">
      <c r="F19202" s="17"/>
    </row>
    <row r="19203">
      <c r="F19203" s="17"/>
    </row>
    <row r="19204">
      <c r="F19204" s="17"/>
    </row>
    <row r="19205">
      <c r="F19205" s="17"/>
    </row>
    <row r="19206">
      <c r="F19206" s="17"/>
    </row>
    <row r="19207">
      <c r="F19207" s="17"/>
    </row>
    <row r="19208">
      <c r="F19208" s="17"/>
    </row>
    <row r="19209">
      <c r="F19209" s="17"/>
    </row>
    <row r="19210">
      <c r="F19210" s="17"/>
    </row>
    <row r="19211">
      <c r="F19211" s="17"/>
    </row>
    <row r="19212">
      <c r="F19212" s="17"/>
    </row>
    <row r="19213">
      <c r="F19213" s="17"/>
    </row>
    <row r="19214">
      <c r="F19214" s="17"/>
    </row>
    <row r="19215">
      <c r="F19215" s="17"/>
    </row>
    <row r="19216">
      <c r="F19216" s="17"/>
    </row>
    <row r="19217">
      <c r="F19217" s="17"/>
    </row>
    <row r="19218">
      <c r="F19218" s="17"/>
    </row>
    <row r="19219">
      <c r="F19219" s="17"/>
    </row>
    <row r="19220">
      <c r="F19220" s="17"/>
    </row>
    <row r="19221">
      <c r="F19221" s="17"/>
    </row>
    <row r="19222">
      <c r="F19222" s="17"/>
    </row>
    <row r="19223">
      <c r="F19223" s="17"/>
    </row>
    <row r="19224">
      <c r="F19224" s="17"/>
    </row>
    <row r="19225">
      <c r="F19225" s="17"/>
    </row>
    <row r="19226">
      <c r="F19226" s="17"/>
    </row>
    <row r="19227">
      <c r="F19227" s="17"/>
    </row>
    <row r="19228">
      <c r="F19228" s="17"/>
    </row>
    <row r="19229">
      <c r="F19229" s="17"/>
    </row>
    <row r="19230">
      <c r="F19230" s="17"/>
    </row>
    <row r="19231">
      <c r="F19231" s="17"/>
    </row>
    <row r="19232">
      <c r="F19232" s="17"/>
    </row>
    <row r="19233">
      <c r="F19233" s="17"/>
    </row>
    <row r="19234">
      <c r="F19234" s="17"/>
    </row>
    <row r="19235">
      <c r="F19235" s="17"/>
    </row>
    <row r="19236">
      <c r="F19236" s="17"/>
    </row>
    <row r="19237">
      <c r="F19237" s="17"/>
    </row>
    <row r="19238">
      <c r="F19238" s="17"/>
    </row>
    <row r="19239">
      <c r="F19239" s="17"/>
    </row>
    <row r="19240">
      <c r="F19240" s="17"/>
    </row>
    <row r="19241">
      <c r="F19241" s="17"/>
    </row>
    <row r="19242">
      <c r="F19242" s="17"/>
    </row>
    <row r="19243">
      <c r="F19243" s="17"/>
    </row>
    <row r="19244">
      <c r="F19244" s="17"/>
    </row>
    <row r="19245">
      <c r="F19245" s="17"/>
    </row>
    <row r="19246">
      <c r="F19246" s="17"/>
    </row>
    <row r="19247">
      <c r="F19247" s="17"/>
    </row>
    <row r="19248">
      <c r="F19248" s="17"/>
    </row>
    <row r="19249">
      <c r="F19249" s="17"/>
    </row>
    <row r="19250">
      <c r="F19250" s="17"/>
    </row>
    <row r="19251">
      <c r="F19251" s="17"/>
    </row>
    <row r="19252">
      <c r="F19252" s="17"/>
    </row>
    <row r="19253">
      <c r="F19253" s="17"/>
    </row>
    <row r="19254">
      <c r="F19254" s="17"/>
    </row>
    <row r="19255">
      <c r="F19255" s="17"/>
    </row>
    <row r="19256">
      <c r="F19256" s="17"/>
    </row>
    <row r="19257">
      <c r="F19257" s="17"/>
    </row>
    <row r="19258">
      <c r="F19258" s="17"/>
    </row>
    <row r="19259">
      <c r="F19259" s="17"/>
    </row>
    <row r="19260">
      <c r="F19260" s="17"/>
    </row>
    <row r="19261">
      <c r="F19261" s="17"/>
    </row>
    <row r="19262">
      <c r="F19262" s="17"/>
    </row>
    <row r="19263">
      <c r="F19263" s="17"/>
    </row>
    <row r="19264">
      <c r="F19264" s="17"/>
    </row>
    <row r="19265">
      <c r="F19265" s="17"/>
    </row>
    <row r="19266">
      <c r="F19266" s="17"/>
    </row>
    <row r="19267">
      <c r="F19267" s="17"/>
    </row>
    <row r="19268">
      <c r="F19268" s="17"/>
    </row>
    <row r="19269">
      <c r="F19269" s="17"/>
    </row>
    <row r="19270">
      <c r="F19270" s="17"/>
    </row>
    <row r="19271">
      <c r="F19271" s="17"/>
    </row>
    <row r="19272">
      <c r="F19272" s="17"/>
    </row>
    <row r="19273">
      <c r="F19273" s="17"/>
    </row>
    <row r="19274">
      <c r="F19274" s="17"/>
    </row>
    <row r="19275">
      <c r="F19275" s="17"/>
    </row>
    <row r="19276">
      <c r="F19276" s="17"/>
    </row>
    <row r="19277">
      <c r="F19277" s="17"/>
    </row>
    <row r="19278">
      <c r="F19278" s="17"/>
    </row>
    <row r="19279">
      <c r="F19279" s="17"/>
    </row>
    <row r="19280">
      <c r="F19280" s="17"/>
    </row>
    <row r="19281">
      <c r="F19281" s="17"/>
    </row>
    <row r="19282">
      <c r="F19282" s="17"/>
    </row>
    <row r="19283">
      <c r="F19283" s="17"/>
    </row>
    <row r="19284">
      <c r="F19284" s="17"/>
    </row>
    <row r="19285">
      <c r="F19285" s="17"/>
    </row>
    <row r="19286">
      <c r="F19286" s="17"/>
    </row>
    <row r="19287">
      <c r="F19287" s="17"/>
    </row>
    <row r="19288">
      <c r="F19288" s="17"/>
    </row>
    <row r="19289">
      <c r="F19289" s="17"/>
    </row>
    <row r="19290">
      <c r="F19290" s="17"/>
    </row>
    <row r="19291">
      <c r="F19291" s="17"/>
    </row>
    <row r="19292">
      <c r="F19292" s="17"/>
    </row>
    <row r="19293">
      <c r="F19293" s="17"/>
    </row>
    <row r="19294">
      <c r="F19294" s="17"/>
    </row>
    <row r="19295">
      <c r="F19295" s="17"/>
    </row>
    <row r="19296">
      <c r="F19296" s="17"/>
    </row>
    <row r="19297">
      <c r="F19297" s="17"/>
    </row>
    <row r="19298">
      <c r="F19298" s="17"/>
    </row>
    <row r="19299">
      <c r="F19299" s="17"/>
    </row>
    <row r="19300">
      <c r="F19300" s="17"/>
    </row>
    <row r="19301">
      <c r="F19301" s="17"/>
    </row>
    <row r="19302">
      <c r="F19302" s="17"/>
    </row>
    <row r="19303">
      <c r="F19303" s="17"/>
    </row>
    <row r="19304">
      <c r="F19304" s="17"/>
    </row>
    <row r="19305">
      <c r="F19305" s="17"/>
    </row>
    <row r="19306">
      <c r="F19306" s="17"/>
    </row>
    <row r="19307">
      <c r="F19307" s="17"/>
    </row>
    <row r="19308">
      <c r="F19308" s="17"/>
    </row>
    <row r="19309">
      <c r="F19309" s="17"/>
    </row>
    <row r="19310">
      <c r="F19310" s="17"/>
    </row>
    <row r="19311">
      <c r="F19311" s="17"/>
    </row>
    <row r="19312">
      <c r="F19312" s="17"/>
    </row>
    <row r="19313">
      <c r="F19313" s="17"/>
    </row>
    <row r="19314">
      <c r="F19314" s="17"/>
    </row>
    <row r="19315">
      <c r="F19315" s="17"/>
    </row>
    <row r="19316">
      <c r="F19316" s="17"/>
    </row>
    <row r="19317">
      <c r="F19317" s="17"/>
    </row>
    <row r="19318">
      <c r="F19318" s="17"/>
    </row>
    <row r="19319">
      <c r="F19319" s="17"/>
    </row>
    <row r="19320">
      <c r="F19320" s="17"/>
    </row>
    <row r="19321">
      <c r="F19321" s="17"/>
    </row>
    <row r="19322">
      <c r="F19322" s="17"/>
    </row>
    <row r="19323">
      <c r="F19323" s="17"/>
    </row>
    <row r="19324">
      <c r="F19324" s="17"/>
    </row>
    <row r="19325">
      <c r="F19325" s="17"/>
    </row>
    <row r="19326">
      <c r="F19326" s="17"/>
    </row>
    <row r="19327">
      <c r="F19327" s="17"/>
    </row>
    <row r="19328">
      <c r="F19328" s="17"/>
    </row>
    <row r="19329">
      <c r="F19329" s="17"/>
    </row>
    <row r="19330">
      <c r="F19330" s="17"/>
    </row>
    <row r="19331">
      <c r="F19331" s="17"/>
    </row>
    <row r="19332">
      <c r="F19332" s="17"/>
    </row>
    <row r="19333">
      <c r="F19333" s="17"/>
    </row>
    <row r="19334">
      <c r="F19334" s="17"/>
    </row>
    <row r="19335">
      <c r="F19335" s="17"/>
    </row>
    <row r="19336">
      <c r="F19336" s="17"/>
    </row>
    <row r="19337">
      <c r="F19337" s="17"/>
    </row>
    <row r="19338">
      <c r="F19338" s="17"/>
    </row>
    <row r="19339">
      <c r="F19339" s="17"/>
    </row>
    <row r="19340">
      <c r="F19340" s="17"/>
    </row>
    <row r="19341">
      <c r="F19341" s="17"/>
    </row>
    <row r="19342">
      <c r="F19342" s="17"/>
    </row>
    <row r="19343">
      <c r="F19343" s="17"/>
    </row>
    <row r="19344">
      <c r="F19344" s="17"/>
    </row>
    <row r="19345">
      <c r="F19345" s="17"/>
    </row>
    <row r="19346">
      <c r="F19346" s="17"/>
    </row>
    <row r="19347">
      <c r="F19347" s="17"/>
    </row>
    <row r="19348">
      <c r="F19348" s="17"/>
    </row>
    <row r="19349">
      <c r="F19349" s="17"/>
    </row>
    <row r="19350">
      <c r="F19350" s="17"/>
    </row>
    <row r="19351">
      <c r="F19351" s="17"/>
    </row>
    <row r="19352">
      <c r="F19352" s="17"/>
    </row>
    <row r="19353">
      <c r="F19353" s="17"/>
    </row>
    <row r="19354">
      <c r="F19354" s="17"/>
    </row>
    <row r="19355">
      <c r="F19355" s="17"/>
    </row>
    <row r="19356">
      <c r="F19356" s="17"/>
    </row>
    <row r="19357">
      <c r="F19357" s="17"/>
    </row>
    <row r="19358">
      <c r="F19358" s="17"/>
    </row>
    <row r="19359">
      <c r="F19359" s="17"/>
    </row>
    <row r="19360">
      <c r="F19360" s="17"/>
    </row>
    <row r="19361">
      <c r="F19361" s="17"/>
    </row>
    <row r="19362">
      <c r="F19362" s="17"/>
    </row>
    <row r="19363">
      <c r="F19363" s="17"/>
    </row>
    <row r="19364">
      <c r="F19364" s="17"/>
    </row>
    <row r="19365">
      <c r="F19365" s="17"/>
    </row>
    <row r="19366">
      <c r="F19366" s="17"/>
    </row>
    <row r="19367">
      <c r="F19367" s="17"/>
    </row>
    <row r="19368">
      <c r="F19368" s="17"/>
    </row>
    <row r="19369">
      <c r="F19369" s="17"/>
    </row>
    <row r="19370">
      <c r="F19370" s="17"/>
    </row>
    <row r="19371">
      <c r="F19371" s="17"/>
    </row>
    <row r="19372">
      <c r="F19372" s="17"/>
    </row>
    <row r="19373">
      <c r="F19373" s="17"/>
    </row>
    <row r="19374">
      <c r="F19374" s="17"/>
    </row>
    <row r="19375">
      <c r="F19375" s="17"/>
    </row>
    <row r="19376">
      <c r="F19376" s="17"/>
    </row>
    <row r="19377">
      <c r="F19377" s="17"/>
    </row>
    <row r="19378">
      <c r="F19378" s="17"/>
    </row>
    <row r="19379">
      <c r="F19379" s="17"/>
    </row>
    <row r="19380">
      <c r="F19380" s="17"/>
    </row>
    <row r="19381">
      <c r="F19381" s="17"/>
    </row>
    <row r="19382">
      <c r="F19382" s="17"/>
    </row>
    <row r="19383">
      <c r="F19383" s="17"/>
    </row>
    <row r="19384">
      <c r="F19384" s="17"/>
    </row>
    <row r="19385">
      <c r="F19385" s="17"/>
    </row>
    <row r="19386">
      <c r="F19386" s="17"/>
    </row>
    <row r="19387">
      <c r="F19387" s="17"/>
    </row>
    <row r="19388">
      <c r="F19388" s="17"/>
    </row>
    <row r="19389">
      <c r="F19389" s="17"/>
    </row>
    <row r="19390">
      <c r="F19390" s="17"/>
    </row>
    <row r="19391">
      <c r="F19391" s="17"/>
    </row>
    <row r="19392">
      <c r="F19392" s="17"/>
    </row>
    <row r="19393">
      <c r="F19393" s="17"/>
    </row>
    <row r="19394">
      <c r="F19394" s="17"/>
    </row>
    <row r="19395">
      <c r="F19395" s="17"/>
    </row>
    <row r="19396">
      <c r="F19396" s="17"/>
    </row>
    <row r="19397">
      <c r="F19397" s="17"/>
    </row>
    <row r="19398">
      <c r="F19398" s="17"/>
    </row>
    <row r="19399">
      <c r="F19399" s="17"/>
    </row>
    <row r="19400">
      <c r="F19400" s="17"/>
    </row>
    <row r="19401">
      <c r="F19401" s="17"/>
    </row>
    <row r="19402">
      <c r="F19402" s="17"/>
    </row>
    <row r="19403">
      <c r="F19403" s="17"/>
    </row>
    <row r="19404">
      <c r="F19404" s="17"/>
    </row>
    <row r="19405">
      <c r="F19405" s="17"/>
    </row>
    <row r="19406">
      <c r="F19406" s="17"/>
    </row>
    <row r="19407">
      <c r="F19407" s="17"/>
    </row>
    <row r="19408">
      <c r="F19408" s="17"/>
    </row>
    <row r="19409">
      <c r="F19409" s="17"/>
    </row>
    <row r="19410">
      <c r="F19410" s="17"/>
    </row>
    <row r="19411">
      <c r="F19411" s="17"/>
    </row>
    <row r="19412">
      <c r="F19412" s="17"/>
    </row>
    <row r="19413">
      <c r="F19413" s="17"/>
    </row>
    <row r="19414">
      <c r="F19414" s="17"/>
    </row>
    <row r="19415">
      <c r="F19415" s="17"/>
    </row>
    <row r="19416">
      <c r="F19416" s="17"/>
    </row>
    <row r="19417">
      <c r="F19417" s="17"/>
    </row>
    <row r="19418">
      <c r="F19418" s="17"/>
    </row>
    <row r="19419">
      <c r="F19419" s="17"/>
    </row>
    <row r="19420">
      <c r="F19420" s="17"/>
    </row>
    <row r="19421">
      <c r="F19421" s="17"/>
    </row>
    <row r="19422">
      <c r="F19422" s="17"/>
    </row>
    <row r="19423">
      <c r="F19423" s="17"/>
    </row>
    <row r="19424">
      <c r="F19424" s="17"/>
    </row>
    <row r="19425">
      <c r="F19425" s="17"/>
    </row>
    <row r="19426">
      <c r="F19426" s="17"/>
    </row>
    <row r="19427">
      <c r="F19427" s="17"/>
    </row>
    <row r="19428">
      <c r="F19428" s="17"/>
    </row>
    <row r="19429">
      <c r="F19429" s="17"/>
    </row>
    <row r="19430">
      <c r="F19430" s="17"/>
    </row>
    <row r="19431">
      <c r="F19431" s="17"/>
    </row>
    <row r="19432">
      <c r="F19432" s="17"/>
    </row>
    <row r="19433">
      <c r="F19433" s="17"/>
    </row>
    <row r="19434">
      <c r="F19434" s="17"/>
    </row>
    <row r="19435">
      <c r="F19435" s="17"/>
    </row>
    <row r="19436">
      <c r="F19436" s="17"/>
    </row>
    <row r="19437">
      <c r="F19437" s="17"/>
    </row>
    <row r="19438">
      <c r="F19438" s="17"/>
    </row>
    <row r="19439">
      <c r="F19439" s="17"/>
    </row>
    <row r="19440">
      <c r="F19440" s="17"/>
    </row>
    <row r="19441">
      <c r="F19441" s="17"/>
    </row>
    <row r="19442">
      <c r="F19442" s="17"/>
    </row>
    <row r="19443">
      <c r="F19443" s="17"/>
    </row>
    <row r="19444">
      <c r="F19444" s="17"/>
    </row>
    <row r="19445">
      <c r="F19445" s="17"/>
    </row>
    <row r="19446">
      <c r="F19446" s="17"/>
    </row>
    <row r="19447">
      <c r="F19447" s="17"/>
    </row>
    <row r="19448">
      <c r="F19448" s="17"/>
    </row>
    <row r="19449">
      <c r="F19449" s="17"/>
    </row>
    <row r="19450">
      <c r="F19450" s="17"/>
    </row>
    <row r="19451">
      <c r="F19451" s="17"/>
    </row>
    <row r="19452">
      <c r="F19452" s="17"/>
    </row>
    <row r="19453">
      <c r="F19453" s="17"/>
    </row>
    <row r="19454">
      <c r="F19454" s="17"/>
    </row>
    <row r="19455">
      <c r="F19455" s="17"/>
    </row>
    <row r="19456">
      <c r="F19456" s="17"/>
    </row>
    <row r="19457">
      <c r="F19457" s="17"/>
    </row>
    <row r="19458">
      <c r="F19458" s="17"/>
    </row>
    <row r="19459">
      <c r="F19459" s="17"/>
    </row>
    <row r="19460">
      <c r="F19460" s="17"/>
    </row>
    <row r="19461">
      <c r="F19461" s="17"/>
    </row>
    <row r="19462">
      <c r="F19462" s="17"/>
    </row>
    <row r="19463">
      <c r="F19463" s="17"/>
    </row>
    <row r="19464">
      <c r="F19464" s="17"/>
    </row>
    <row r="19465">
      <c r="F19465" s="17"/>
    </row>
    <row r="19466">
      <c r="F19466" s="17"/>
    </row>
    <row r="19467">
      <c r="F19467" s="17"/>
    </row>
    <row r="19468">
      <c r="F19468" s="17"/>
    </row>
    <row r="19469">
      <c r="F19469" s="17"/>
    </row>
    <row r="19470">
      <c r="F19470" s="17"/>
    </row>
    <row r="19471">
      <c r="F19471" s="17"/>
    </row>
    <row r="19472">
      <c r="F19472" s="17"/>
    </row>
    <row r="19473">
      <c r="F19473" s="17"/>
    </row>
    <row r="19474">
      <c r="F19474" s="17"/>
    </row>
    <row r="19475">
      <c r="F19475" s="17"/>
    </row>
    <row r="19476">
      <c r="F19476" s="17"/>
    </row>
    <row r="19477">
      <c r="F19477" s="17"/>
    </row>
    <row r="19478">
      <c r="F19478" s="17"/>
    </row>
    <row r="19479">
      <c r="F19479" s="17"/>
    </row>
    <row r="19480">
      <c r="F19480" s="17"/>
    </row>
    <row r="19481">
      <c r="F19481" s="17"/>
    </row>
    <row r="19482">
      <c r="F19482" s="17"/>
    </row>
    <row r="19483">
      <c r="F19483" s="17"/>
    </row>
    <row r="19484">
      <c r="F19484" s="17"/>
    </row>
    <row r="19485">
      <c r="F19485" s="17"/>
    </row>
    <row r="19486">
      <c r="F19486" s="17"/>
    </row>
    <row r="19487">
      <c r="F19487" s="17"/>
    </row>
    <row r="19488">
      <c r="F19488" s="17"/>
    </row>
    <row r="19489">
      <c r="F19489" s="17"/>
    </row>
    <row r="19490">
      <c r="F19490" s="17"/>
    </row>
    <row r="19491">
      <c r="F19491" s="17"/>
    </row>
    <row r="19492">
      <c r="F19492" s="17"/>
    </row>
    <row r="19493">
      <c r="F19493" s="17"/>
    </row>
    <row r="19494">
      <c r="F19494" s="17"/>
    </row>
    <row r="19495">
      <c r="F19495" s="17"/>
    </row>
    <row r="19496">
      <c r="F19496" s="17"/>
    </row>
    <row r="19497">
      <c r="F19497" s="17"/>
    </row>
    <row r="19498">
      <c r="F19498" s="17"/>
    </row>
    <row r="19499">
      <c r="F19499" s="17"/>
    </row>
    <row r="19500">
      <c r="F19500" s="17"/>
    </row>
    <row r="19501">
      <c r="F19501" s="17"/>
    </row>
    <row r="19502">
      <c r="F19502" s="17"/>
    </row>
    <row r="19503">
      <c r="F19503" s="17"/>
    </row>
    <row r="19504">
      <c r="F19504" s="17"/>
    </row>
    <row r="19505">
      <c r="F19505" s="17"/>
    </row>
    <row r="19506">
      <c r="F19506" s="17"/>
    </row>
    <row r="19507">
      <c r="F19507" s="17"/>
    </row>
    <row r="19508">
      <c r="F19508" s="17"/>
    </row>
    <row r="19509">
      <c r="F19509" s="17"/>
    </row>
    <row r="19510">
      <c r="F19510" s="17"/>
    </row>
    <row r="19511">
      <c r="F19511" s="17"/>
    </row>
    <row r="19512">
      <c r="F19512" s="17"/>
    </row>
    <row r="19513">
      <c r="F19513" s="17"/>
    </row>
    <row r="19514">
      <c r="F19514" s="17"/>
    </row>
    <row r="19515">
      <c r="F19515" s="17"/>
    </row>
    <row r="19516">
      <c r="F19516" s="17"/>
    </row>
    <row r="19517">
      <c r="F19517" s="17"/>
    </row>
    <row r="19518">
      <c r="F19518" s="17"/>
    </row>
    <row r="19519">
      <c r="F19519" s="17"/>
    </row>
    <row r="19520">
      <c r="F19520" s="17"/>
    </row>
    <row r="19521">
      <c r="F19521" s="17"/>
    </row>
    <row r="19522">
      <c r="F19522" s="17"/>
    </row>
    <row r="19523">
      <c r="F19523" s="17"/>
    </row>
    <row r="19524">
      <c r="F19524" s="17"/>
    </row>
    <row r="19525">
      <c r="F19525" s="17"/>
    </row>
    <row r="19526">
      <c r="F19526" s="17"/>
    </row>
    <row r="19527">
      <c r="F19527" s="17"/>
    </row>
    <row r="19528">
      <c r="F19528" s="17"/>
    </row>
    <row r="19529">
      <c r="F19529" s="17"/>
    </row>
    <row r="19530">
      <c r="F19530" s="17"/>
    </row>
    <row r="19531">
      <c r="F19531" s="17"/>
    </row>
    <row r="19532">
      <c r="F19532" s="17"/>
    </row>
    <row r="19533">
      <c r="F19533" s="17"/>
    </row>
    <row r="19534">
      <c r="F19534" s="17"/>
    </row>
    <row r="19535">
      <c r="F19535" s="17"/>
    </row>
    <row r="19536">
      <c r="F19536" s="17"/>
    </row>
    <row r="19537">
      <c r="F19537" s="17"/>
    </row>
    <row r="19538">
      <c r="F19538" s="17"/>
    </row>
    <row r="19539">
      <c r="F19539" s="17"/>
    </row>
    <row r="19540">
      <c r="F19540" s="17"/>
    </row>
    <row r="19541">
      <c r="F19541" s="17"/>
    </row>
    <row r="19542">
      <c r="F19542" s="17"/>
    </row>
    <row r="19543">
      <c r="F19543" s="17"/>
    </row>
    <row r="19544">
      <c r="F19544" s="17"/>
    </row>
    <row r="19545">
      <c r="F19545" s="17"/>
    </row>
    <row r="19546">
      <c r="F19546" s="17"/>
    </row>
    <row r="19547">
      <c r="F19547" s="17"/>
    </row>
    <row r="19548">
      <c r="F19548" s="17"/>
    </row>
    <row r="19549">
      <c r="F19549" s="17"/>
    </row>
    <row r="19550">
      <c r="F19550" s="17"/>
    </row>
    <row r="19551">
      <c r="F19551" s="17"/>
    </row>
    <row r="19552">
      <c r="F19552" s="17"/>
    </row>
    <row r="19553">
      <c r="F19553" s="17"/>
    </row>
    <row r="19554">
      <c r="F19554" s="17"/>
    </row>
    <row r="19555">
      <c r="F19555" s="17"/>
    </row>
    <row r="19556">
      <c r="F19556" s="17"/>
    </row>
    <row r="19557">
      <c r="F19557" s="17"/>
    </row>
    <row r="19558">
      <c r="F19558" s="17"/>
    </row>
    <row r="19559">
      <c r="F19559" s="17"/>
    </row>
    <row r="19560">
      <c r="F19560" s="17"/>
    </row>
    <row r="19561">
      <c r="F19561" s="17"/>
    </row>
    <row r="19562">
      <c r="F19562" s="17"/>
    </row>
    <row r="19563">
      <c r="F19563" s="17"/>
    </row>
    <row r="19564">
      <c r="F19564" s="17"/>
    </row>
    <row r="19565">
      <c r="F19565" s="17"/>
    </row>
    <row r="19566">
      <c r="F19566" s="17"/>
    </row>
    <row r="19567">
      <c r="F19567" s="17"/>
    </row>
    <row r="19568">
      <c r="F19568" s="17"/>
    </row>
    <row r="19569">
      <c r="F19569" s="17"/>
    </row>
    <row r="19570">
      <c r="F19570" s="17"/>
    </row>
    <row r="19571">
      <c r="F19571" s="17"/>
    </row>
    <row r="19572">
      <c r="F19572" s="17"/>
    </row>
    <row r="19573">
      <c r="F19573" s="17"/>
    </row>
    <row r="19574">
      <c r="F19574" s="17"/>
    </row>
    <row r="19575">
      <c r="F19575" s="17"/>
    </row>
    <row r="19576">
      <c r="F19576" s="17"/>
    </row>
    <row r="19577">
      <c r="F19577" s="17"/>
    </row>
    <row r="19578">
      <c r="F19578" s="17"/>
    </row>
    <row r="19579">
      <c r="F19579" s="17"/>
    </row>
    <row r="19580">
      <c r="F19580" s="17"/>
    </row>
    <row r="19581">
      <c r="F19581" s="17"/>
    </row>
    <row r="19582">
      <c r="F19582" s="17"/>
    </row>
    <row r="19583">
      <c r="F19583" s="17"/>
    </row>
    <row r="19584">
      <c r="F19584" s="17"/>
    </row>
    <row r="19585">
      <c r="F19585" s="17"/>
    </row>
    <row r="19586">
      <c r="F19586" s="17"/>
    </row>
    <row r="19587">
      <c r="F19587" s="17"/>
    </row>
    <row r="19588">
      <c r="F19588" s="17"/>
    </row>
    <row r="19589">
      <c r="F19589" s="17"/>
    </row>
    <row r="19590">
      <c r="F19590" s="17"/>
    </row>
    <row r="19591">
      <c r="F19591" s="17"/>
    </row>
    <row r="19592">
      <c r="F19592" s="17"/>
    </row>
    <row r="19593">
      <c r="F19593" s="17"/>
    </row>
    <row r="19594">
      <c r="F19594" s="17"/>
    </row>
    <row r="19595">
      <c r="F19595" s="17"/>
    </row>
    <row r="19596">
      <c r="F19596" s="17"/>
    </row>
    <row r="19597">
      <c r="F19597" s="17"/>
    </row>
    <row r="19598">
      <c r="F19598" s="17"/>
    </row>
    <row r="19599">
      <c r="F19599" s="17"/>
    </row>
    <row r="19600">
      <c r="F19600" s="17"/>
    </row>
    <row r="19601">
      <c r="F19601" s="17"/>
    </row>
    <row r="19602">
      <c r="F19602" s="17"/>
    </row>
    <row r="19603">
      <c r="F19603" s="17"/>
    </row>
    <row r="19604">
      <c r="F19604" s="17"/>
    </row>
    <row r="19605">
      <c r="F19605" s="17"/>
    </row>
    <row r="19606">
      <c r="F19606" s="17"/>
    </row>
    <row r="19607">
      <c r="F19607" s="17"/>
    </row>
    <row r="19608">
      <c r="F19608" s="17"/>
    </row>
    <row r="19609">
      <c r="F19609" s="17"/>
    </row>
    <row r="19610">
      <c r="F19610" s="17"/>
    </row>
    <row r="19611">
      <c r="F19611" s="17"/>
    </row>
    <row r="19612">
      <c r="F19612" s="17"/>
    </row>
    <row r="19613">
      <c r="F19613" s="17"/>
    </row>
    <row r="19614">
      <c r="F19614" s="17"/>
    </row>
    <row r="19615">
      <c r="F19615" s="17"/>
    </row>
    <row r="19616">
      <c r="F19616" s="17"/>
    </row>
    <row r="19617">
      <c r="F19617" s="17"/>
    </row>
    <row r="19618">
      <c r="F19618" s="17"/>
    </row>
    <row r="19619">
      <c r="F19619" s="17"/>
    </row>
    <row r="19620">
      <c r="F19620" s="17"/>
    </row>
    <row r="19621">
      <c r="F19621" s="17"/>
    </row>
    <row r="19622">
      <c r="F19622" s="17"/>
    </row>
    <row r="19623">
      <c r="F19623" s="17"/>
    </row>
    <row r="19624">
      <c r="F19624" s="17"/>
    </row>
    <row r="19625">
      <c r="F19625" s="17"/>
    </row>
    <row r="19626">
      <c r="F19626" s="17"/>
    </row>
    <row r="19627">
      <c r="F19627" s="17"/>
    </row>
    <row r="19628">
      <c r="F19628" s="17"/>
    </row>
    <row r="19629">
      <c r="F19629" s="17"/>
    </row>
    <row r="19630">
      <c r="F19630" s="17"/>
    </row>
    <row r="19631">
      <c r="F19631" s="17"/>
    </row>
    <row r="19632">
      <c r="F19632" s="17"/>
    </row>
    <row r="19633">
      <c r="F19633" s="17"/>
    </row>
    <row r="19634">
      <c r="F19634" s="17"/>
    </row>
    <row r="19635">
      <c r="F19635" s="17"/>
    </row>
    <row r="19636">
      <c r="F19636" s="17"/>
    </row>
    <row r="19637">
      <c r="F19637" s="17"/>
    </row>
    <row r="19638">
      <c r="F19638" s="17"/>
    </row>
    <row r="19639">
      <c r="F19639" s="17"/>
    </row>
    <row r="19640">
      <c r="F19640" s="17"/>
    </row>
    <row r="19641">
      <c r="F19641" s="17"/>
    </row>
    <row r="19642">
      <c r="F19642" s="17"/>
    </row>
    <row r="19643">
      <c r="F19643" s="17"/>
    </row>
    <row r="19644">
      <c r="F19644" s="17"/>
    </row>
    <row r="19645">
      <c r="F19645" s="17"/>
    </row>
    <row r="19646">
      <c r="F19646" s="17"/>
    </row>
    <row r="19647">
      <c r="F19647" s="17"/>
    </row>
    <row r="19648">
      <c r="F19648" s="17"/>
    </row>
    <row r="19649">
      <c r="F19649" s="17"/>
    </row>
    <row r="19650">
      <c r="F19650" s="17"/>
    </row>
    <row r="19651">
      <c r="F19651" s="17"/>
    </row>
    <row r="19652">
      <c r="F19652" s="17"/>
    </row>
    <row r="19653">
      <c r="F19653" s="17"/>
    </row>
    <row r="19654">
      <c r="F19654" s="17"/>
    </row>
    <row r="19655">
      <c r="F19655" s="17"/>
    </row>
    <row r="19656">
      <c r="F19656" s="17"/>
    </row>
    <row r="19657">
      <c r="F19657" s="17"/>
    </row>
    <row r="19658">
      <c r="F19658" s="17"/>
    </row>
    <row r="19659">
      <c r="F19659" s="17"/>
    </row>
    <row r="19660">
      <c r="F19660" s="17"/>
    </row>
    <row r="19661">
      <c r="F19661" s="17"/>
    </row>
    <row r="19662">
      <c r="F19662" s="17"/>
    </row>
    <row r="19663">
      <c r="F19663" s="17"/>
    </row>
    <row r="19664">
      <c r="F19664" s="17"/>
    </row>
    <row r="19665">
      <c r="F19665" s="17"/>
    </row>
    <row r="19666">
      <c r="F19666" s="17"/>
    </row>
    <row r="19667">
      <c r="F19667" s="17"/>
    </row>
    <row r="19668">
      <c r="F19668" s="17"/>
    </row>
    <row r="19669">
      <c r="F19669" s="17"/>
    </row>
    <row r="19670">
      <c r="F19670" s="17"/>
    </row>
    <row r="19671">
      <c r="F19671" s="17"/>
    </row>
    <row r="19672">
      <c r="F19672" s="17"/>
    </row>
    <row r="19673">
      <c r="F19673" s="17"/>
    </row>
    <row r="19674">
      <c r="F19674" s="17"/>
    </row>
    <row r="19675">
      <c r="F19675" s="17"/>
    </row>
    <row r="19676">
      <c r="F19676" s="17"/>
    </row>
    <row r="19677">
      <c r="F19677" s="17"/>
    </row>
    <row r="19678">
      <c r="F19678" s="17"/>
    </row>
    <row r="19679">
      <c r="F19679" s="17"/>
    </row>
    <row r="19680">
      <c r="F19680" s="17"/>
    </row>
    <row r="19681">
      <c r="F19681" s="17"/>
    </row>
    <row r="19682">
      <c r="F19682" s="17"/>
    </row>
    <row r="19683">
      <c r="F19683" s="17"/>
    </row>
    <row r="19684">
      <c r="F19684" s="17"/>
    </row>
    <row r="19685">
      <c r="F19685" s="17"/>
    </row>
    <row r="19686">
      <c r="F19686" s="17"/>
    </row>
    <row r="19687">
      <c r="F19687" s="17"/>
    </row>
    <row r="19688">
      <c r="F19688" s="17"/>
    </row>
    <row r="19689">
      <c r="F19689" s="17"/>
    </row>
    <row r="19690">
      <c r="F19690" s="17"/>
    </row>
    <row r="19691">
      <c r="F19691" s="17"/>
    </row>
    <row r="19692">
      <c r="F19692" s="17"/>
    </row>
    <row r="19693">
      <c r="F19693" s="17"/>
    </row>
    <row r="19694">
      <c r="F19694" s="17"/>
    </row>
    <row r="19695">
      <c r="F19695" s="17"/>
    </row>
    <row r="19696">
      <c r="F19696" s="17"/>
    </row>
    <row r="19697">
      <c r="F19697" s="17"/>
    </row>
    <row r="19698">
      <c r="F19698" s="17"/>
    </row>
    <row r="19699">
      <c r="F19699" s="17"/>
    </row>
    <row r="19700">
      <c r="F19700" s="17"/>
    </row>
    <row r="19701">
      <c r="F19701" s="17"/>
    </row>
    <row r="19702">
      <c r="F19702" s="17"/>
    </row>
    <row r="19703">
      <c r="F19703" s="17"/>
    </row>
    <row r="19704">
      <c r="F19704" s="17"/>
    </row>
    <row r="19705">
      <c r="F19705" s="17"/>
    </row>
    <row r="19706">
      <c r="F19706" s="17"/>
    </row>
    <row r="19707">
      <c r="F19707" s="17"/>
    </row>
    <row r="19708">
      <c r="F19708" s="17"/>
    </row>
    <row r="19709">
      <c r="F19709" s="17"/>
    </row>
    <row r="19710">
      <c r="F19710" s="17"/>
    </row>
    <row r="19711">
      <c r="F19711" s="17"/>
    </row>
    <row r="19712">
      <c r="F19712" s="17"/>
    </row>
    <row r="19713">
      <c r="F19713" s="17"/>
    </row>
    <row r="19714">
      <c r="F19714" s="17"/>
    </row>
    <row r="19715">
      <c r="F19715" s="17"/>
    </row>
    <row r="19716">
      <c r="F19716" s="17"/>
    </row>
    <row r="19717">
      <c r="F19717" s="17"/>
    </row>
    <row r="19718">
      <c r="F19718" s="17"/>
    </row>
    <row r="19719">
      <c r="F19719" s="17"/>
    </row>
    <row r="19720">
      <c r="F19720" s="17"/>
    </row>
    <row r="19721">
      <c r="F19721" s="17"/>
    </row>
    <row r="19722">
      <c r="F19722" s="17"/>
    </row>
    <row r="19723">
      <c r="F19723" s="17"/>
    </row>
    <row r="19724">
      <c r="F19724" s="17"/>
    </row>
    <row r="19725">
      <c r="F19725" s="17"/>
    </row>
    <row r="19726">
      <c r="F19726" s="17"/>
    </row>
    <row r="19727">
      <c r="F19727" s="17"/>
    </row>
    <row r="19728">
      <c r="F19728" s="17"/>
    </row>
    <row r="19729">
      <c r="F19729" s="17"/>
    </row>
    <row r="19730">
      <c r="F19730" s="17"/>
    </row>
    <row r="19731">
      <c r="F19731" s="17"/>
    </row>
    <row r="19732">
      <c r="F19732" s="17"/>
    </row>
    <row r="19733">
      <c r="F19733" s="17"/>
    </row>
    <row r="19734">
      <c r="F19734" s="17"/>
    </row>
    <row r="19735">
      <c r="F19735" s="17"/>
    </row>
    <row r="19736">
      <c r="F19736" s="17"/>
    </row>
    <row r="19737">
      <c r="F19737" s="17"/>
    </row>
    <row r="19738">
      <c r="F19738" s="17"/>
    </row>
    <row r="19739">
      <c r="F19739" s="17"/>
    </row>
    <row r="19740">
      <c r="F19740" s="17"/>
    </row>
    <row r="19741">
      <c r="F19741" s="17"/>
    </row>
    <row r="19742">
      <c r="F19742" s="17"/>
    </row>
    <row r="19743">
      <c r="F19743" s="17"/>
    </row>
    <row r="19744">
      <c r="F19744" s="17"/>
    </row>
    <row r="19745">
      <c r="F19745" s="17"/>
    </row>
    <row r="19746">
      <c r="F19746" s="17"/>
    </row>
    <row r="19747">
      <c r="F19747" s="17"/>
    </row>
    <row r="19748">
      <c r="F19748" s="17"/>
    </row>
    <row r="19749">
      <c r="F19749" s="17"/>
    </row>
    <row r="19750">
      <c r="F19750" s="17"/>
    </row>
    <row r="19751">
      <c r="F19751" s="17"/>
    </row>
    <row r="19752">
      <c r="F19752" s="17"/>
    </row>
    <row r="19753">
      <c r="F19753" s="17"/>
    </row>
    <row r="19754">
      <c r="F19754" s="17"/>
    </row>
    <row r="19755">
      <c r="F19755" s="17"/>
    </row>
    <row r="19756">
      <c r="F19756" s="17"/>
    </row>
    <row r="19757">
      <c r="F19757" s="17"/>
    </row>
    <row r="19758">
      <c r="F19758" s="17"/>
    </row>
    <row r="19759">
      <c r="F19759" s="17"/>
    </row>
    <row r="19760">
      <c r="F19760" s="17"/>
    </row>
    <row r="19761">
      <c r="F19761" s="17"/>
    </row>
    <row r="19762">
      <c r="F19762" s="17"/>
    </row>
    <row r="19763">
      <c r="F19763" s="17"/>
    </row>
    <row r="19764">
      <c r="F19764" s="17"/>
    </row>
    <row r="19765">
      <c r="F19765" s="17"/>
    </row>
    <row r="19766">
      <c r="F19766" s="17"/>
    </row>
    <row r="19767">
      <c r="F19767" s="17"/>
    </row>
    <row r="19768">
      <c r="F19768" s="17"/>
    </row>
    <row r="19769">
      <c r="F19769" s="17"/>
    </row>
    <row r="19770">
      <c r="F19770" s="17"/>
    </row>
    <row r="19771">
      <c r="F19771" s="17"/>
    </row>
    <row r="19772">
      <c r="F19772" s="17"/>
    </row>
    <row r="19773">
      <c r="F19773" s="17"/>
    </row>
    <row r="19774">
      <c r="F19774" s="17"/>
    </row>
    <row r="19775">
      <c r="F19775" s="17"/>
    </row>
    <row r="19776">
      <c r="F19776" s="17"/>
    </row>
    <row r="19777">
      <c r="F19777" s="17"/>
    </row>
    <row r="19778">
      <c r="F19778" s="17"/>
    </row>
    <row r="19779">
      <c r="F19779" s="17"/>
    </row>
    <row r="19780">
      <c r="F19780" s="17"/>
    </row>
    <row r="19781">
      <c r="F19781" s="17"/>
    </row>
    <row r="19782">
      <c r="F19782" s="17"/>
    </row>
    <row r="19783">
      <c r="F19783" s="17"/>
    </row>
    <row r="19784">
      <c r="F19784" s="17"/>
    </row>
    <row r="19785">
      <c r="F19785" s="17"/>
    </row>
    <row r="19786">
      <c r="F19786" s="17"/>
    </row>
    <row r="19787">
      <c r="F19787" s="17"/>
    </row>
    <row r="19788">
      <c r="F19788" s="17"/>
    </row>
    <row r="19789">
      <c r="F19789" s="17"/>
    </row>
    <row r="19790">
      <c r="F19790" s="17"/>
    </row>
    <row r="19791">
      <c r="F19791" s="17"/>
    </row>
    <row r="19792">
      <c r="F19792" s="17"/>
    </row>
    <row r="19793">
      <c r="F19793" s="17"/>
    </row>
    <row r="19794">
      <c r="F19794" s="17"/>
    </row>
    <row r="19795">
      <c r="F19795" s="17"/>
    </row>
    <row r="19796">
      <c r="F19796" s="17"/>
    </row>
    <row r="19797">
      <c r="F19797" s="17"/>
    </row>
    <row r="19798">
      <c r="F19798" s="17"/>
    </row>
    <row r="19799">
      <c r="F19799" s="17"/>
    </row>
    <row r="19800">
      <c r="F19800" s="17"/>
    </row>
    <row r="19801">
      <c r="F19801" s="17"/>
    </row>
    <row r="19802">
      <c r="F19802" s="17"/>
    </row>
    <row r="19803">
      <c r="F19803" s="17"/>
    </row>
    <row r="19804">
      <c r="F19804" s="17"/>
    </row>
    <row r="19805">
      <c r="F19805" s="17"/>
    </row>
    <row r="19806">
      <c r="F19806" s="17"/>
    </row>
    <row r="19807">
      <c r="F19807" s="17"/>
    </row>
    <row r="19808">
      <c r="F19808" s="17"/>
    </row>
    <row r="19809">
      <c r="F19809" s="17"/>
    </row>
    <row r="19810">
      <c r="F19810" s="17"/>
    </row>
    <row r="19811">
      <c r="F19811" s="17"/>
    </row>
    <row r="19812">
      <c r="F19812" s="17"/>
    </row>
    <row r="19813">
      <c r="F19813" s="17"/>
    </row>
    <row r="19814">
      <c r="F19814" s="17"/>
    </row>
    <row r="19815">
      <c r="F19815" s="17"/>
    </row>
    <row r="19816">
      <c r="F19816" s="17"/>
    </row>
    <row r="19817">
      <c r="F19817" s="17"/>
    </row>
    <row r="19818">
      <c r="F19818" s="17"/>
    </row>
    <row r="19819">
      <c r="F19819" s="17"/>
    </row>
    <row r="19820">
      <c r="F19820" s="17"/>
    </row>
    <row r="19821">
      <c r="F19821" s="17"/>
    </row>
    <row r="19822">
      <c r="F19822" s="17"/>
    </row>
    <row r="19823">
      <c r="F19823" s="17"/>
    </row>
    <row r="19824">
      <c r="F19824" s="17"/>
    </row>
    <row r="19825">
      <c r="F19825" s="17"/>
    </row>
    <row r="19826">
      <c r="F19826" s="17"/>
    </row>
    <row r="19827">
      <c r="F19827" s="17"/>
    </row>
    <row r="19828">
      <c r="F19828" s="17"/>
    </row>
    <row r="19829">
      <c r="F19829" s="17"/>
    </row>
    <row r="19830">
      <c r="F19830" s="17"/>
    </row>
    <row r="19831">
      <c r="F19831" s="17"/>
    </row>
    <row r="19832">
      <c r="F19832" s="17"/>
    </row>
    <row r="19833">
      <c r="F19833" s="17"/>
    </row>
    <row r="19834">
      <c r="F19834" s="17"/>
    </row>
    <row r="19835">
      <c r="F19835" s="17"/>
    </row>
    <row r="19836">
      <c r="F19836" s="17"/>
    </row>
    <row r="19837">
      <c r="F19837" s="17"/>
    </row>
    <row r="19838">
      <c r="F19838" s="17"/>
    </row>
    <row r="19839">
      <c r="F19839" s="17"/>
    </row>
    <row r="19840">
      <c r="F19840" s="17"/>
    </row>
    <row r="19841">
      <c r="F19841" s="17"/>
    </row>
    <row r="19842">
      <c r="F19842" s="17"/>
    </row>
    <row r="19843">
      <c r="F19843" s="17"/>
    </row>
    <row r="19844">
      <c r="F19844" s="17"/>
    </row>
    <row r="19845">
      <c r="F19845" s="17"/>
    </row>
    <row r="19846">
      <c r="F19846" s="17"/>
    </row>
    <row r="19847">
      <c r="F19847" s="17"/>
    </row>
    <row r="19848">
      <c r="F19848" s="17"/>
    </row>
    <row r="19849">
      <c r="F19849" s="17"/>
    </row>
    <row r="19850">
      <c r="F19850" s="17"/>
    </row>
    <row r="19851">
      <c r="F19851" s="17"/>
    </row>
    <row r="19852">
      <c r="F19852" s="17"/>
    </row>
    <row r="19853">
      <c r="F19853" s="17"/>
    </row>
    <row r="19854">
      <c r="F19854" s="17"/>
    </row>
    <row r="19855">
      <c r="F19855" s="17"/>
    </row>
    <row r="19856">
      <c r="F19856" s="17"/>
    </row>
    <row r="19857">
      <c r="F19857" s="17"/>
    </row>
    <row r="19858">
      <c r="F19858" s="17"/>
    </row>
    <row r="19859">
      <c r="F19859" s="17"/>
    </row>
    <row r="19860">
      <c r="F19860" s="17"/>
    </row>
    <row r="19861">
      <c r="F19861" s="17"/>
    </row>
    <row r="19862">
      <c r="F19862" s="17"/>
    </row>
    <row r="19863">
      <c r="F19863" s="17"/>
    </row>
    <row r="19864">
      <c r="F19864" s="17"/>
    </row>
    <row r="19865">
      <c r="F19865" s="17"/>
    </row>
    <row r="19866">
      <c r="F19866" s="17"/>
    </row>
    <row r="19867">
      <c r="F19867" s="17"/>
    </row>
    <row r="19868">
      <c r="F19868" s="17"/>
    </row>
    <row r="19869">
      <c r="F19869" s="17"/>
    </row>
    <row r="19870">
      <c r="F19870" s="17"/>
    </row>
    <row r="19871">
      <c r="F19871" s="17"/>
    </row>
    <row r="19872">
      <c r="F19872" s="17"/>
    </row>
    <row r="19873">
      <c r="F19873" s="17"/>
    </row>
    <row r="19874">
      <c r="F19874" s="17"/>
    </row>
    <row r="19875">
      <c r="F19875" s="17"/>
    </row>
    <row r="19876">
      <c r="F19876" s="17"/>
    </row>
    <row r="19877">
      <c r="F19877" s="17"/>
    </row>
    <row r="19878">
      <c r="F19878" s="17"/>
    </row>
    <row r="19879">
      <c r="F19879" s="17"/>
    </row>
    <row r="19880">
      <c r="F19880" s="17"/>
    </row>
    <row r="19881">
      <c r="F19881" s="17"/>
    </row>
    <row r="19882">
      <c r="F19882" s="17"/>
    </row>
    <row r="19883">
      <c r="F19883" s="17"/>
    </row>
    <row r="19884">
      <c r="F19884" s="17"/>
    </row>
    <row r="19885">
      <c r="F19885" s="17"/>
    </row>
    <row r="19886">
      <c r="F19886" s="17"/>
    </row>
    <row r="19887">
      <c r="F19887" s="17"/>
    </row>
    <row r="19888">
      <c r="F19888" s="17"/>
    </row>
    <row r="19889">
      <c r="F19889" s="17"/>
    </row>
    <row r="19890">
      <c r="F19890" s="17"/>
    </row>
    <row r="19891">
      <c r="F19891" s="17"/>
    </row>
    <row r="19892">
      <c r="F19892" s="17"/>
    </row>
    <row r="19893">
      <c r="F19893" s="17"/>
    </row>
    <row r="19894">
      <c r="F19894" s="17"/>
    </row>
    <row r="19895">
      <c r="F19895" s="17"/>
    </row>
    <row r="19896">
      <c r="F19896" s="17"/>
    </row>
    <row r="19897">
      <c r="F19897" s="17"/>
    </row>
    <row r="19898">
      <c r="F19898" s="17"/>
    </row>
    <row r="19899">
      <c r="F19899" s="17"/>
    </row>
    <row r="19900">
      <c r="F19900" s="17"/>
    </row>
    <row r="19901">
      <c r="F19901" s="17"/>
    </row>
    <row r="19902">
      <c r="F19902" s="17"/>
    </row>
    <row r="19903">
      <c r="F19903" s="17"/>
    </row>
    <row r="19904">
      <c r="F19904" s="17"/>
    </row>
    <row r="19905">
      <c r="F19905" s="17"/>
    </row>
    <row r="19906">
      <c r="F19906" s="17"/>
    </row>
    <row r="19907">
      <c r="F19907" s="17"/>
    </row>
    <row r="19908">
      <c r="F19908" s="17"/>
    </row>
    <row r="19909">
      <c r="F19909" s="17"/>
    </row>
    <row r="19910">
      <c r="F19910" s="17"/>
    </row>
    <row r="19911">
      <c r="F19911" s="17"/>
    </row>
    <row r="19912">
      <c r="F19912" s="17"/>
    </row>
    <row r="19913">
      <c r="F19913" s="17"/>
    </row>
    <row r="19914">
      <c r="F19914" s="17"/>
    </row>
    <row r="19915">
      <c r="F19915" s="17"/>
    </row>
    <row r="19916">
      <c r="F19916" s="17"/>
    </row>
    <row r="19917">
      <c r="F19917" s="17"/>
    </row>
    <row r="19918">
      <c r="F19918" s="17"/>
    </row>
    <row r="19919">
      <c r="F19919" s="17"/>
    </row>
    <row r="19920">
      <c r="F19920" s="17"/>
    </row>
    <row r="19921">
      <c r="F19921" s="17"/>
    </row>
    <row r="19922">
      <c r="F19922" s="17"/>
    </row>
    <row r="19923">
      <c r="F19923" s="17"/>
    </row>
    <row r="19924">
      <c r="F19924" s="17"/>
    </row>
    <row r="19925">
      <c r="F19925" s="17"/>
    </row>
    <row r="19926">
      <c r="F19926" s="17"/>
    </row>
    <row r="19927">
      <c r="F19927" s="17"/>
    </row>
    <row r="19928">
      <c r="F19928" s="17"/>
    </row>
    <row r="19929">
      <c r="F19929" s="17"/>
    </row>
    <row r="19930">
      <c r="F19930" s="17"/>
    </row>
    <row r="19931">
      <c r="F19931" s="17"/>
    </row>
    <row r="19932">
      <c r="F19932" s="17"/>
    </row>
    <row r="19933">
      <c r="F19933" s="17"/>
    </row>
    <row r="19934">
      <c r="F19934" s="17"/>
    </row>
    <row r="19935">
      <c r="F19935" s="17"/>
    </row>
    <row r="19936">
      <c r="F19936" s="17"/>
    </row>
    <row r="19937">
      <c r="F19937" s="17"/>
    </row>
    <row r="19938">
      <c r="F19938" s="17"/>
    </row>
    <row r="19939">
      <c r="F19939" s="17"/>
    </row>
    <row r="19940">
      <c r="F19940" s="17"/>
    </row>
    <row r="19941">
      <c r="F19941" s="17"/>
    </row>
    <row r="19942">
      <c r="F19942" s="17"/>
    </row>
    <row r="19943">
      <c r="F19943" s="17"/>
    </row>
    <row r="19944">
      <c r="F19944" s="17"/>
    </row>
    <row r="19945">
      <c r="F19945" s="17"/>
    </row>
    <row r="19946">
      <c r="F19946" s="17"/>
    </row>
    <row r="19947">
      <c r="F19947" s="17"/>
    </row>
    <row r="19948">
      <c r="F19948" s="17"/>
    </row>
    <row r="19949">
      <c r="F19949" s="17"/>
    </row>
    <row r="19950">
      <c r="F19950" s="17"/>
    </row>
    <row r="19951">
      <c r="F19951" s="17"/>
    </row>
    <row r="19952">
      <c r="F19952" s="17"/>
    </row>
    <row r="19953">
      <c r="F19953" s="17"/>
    </row>
    <row r="19954">
      <c r="F19954" s="17"/>
    </row>
    <row r="19955">
      <c r="F19955" s="17"/>
    </row>
    <row r="19956">
      <c r="F19956" s="17"/>
    </row>
    <row r="19957">
      <c r="F19957" s="17"/>
    </row>
    <row r="19958">
      <c r="F19958" s="17"/>
    </row>
    <row r="19959">
      <c r="F19959" s="17"/>
    </row>
    <row r="19960">
      <c r="F19960" s="17"/>
    </row>
    <row r="19961">
      <c r="F19961" s="17"/>
    </row>
    <row r="19962">
      <c r="F19962" s="17"/>
    </row>
    <row r="19963">
      <c r="F19963" s="17"/>
    </row>
    <row r="19964">
      <c r="F19964" s="17"/>
    </row>
    <row r="19965">
      <c r="F19965" s="17"/>
    </row>
    <row r="19966">
      <c r="F19966" s="17"/>
    </row>
    <row r="19967">
      <c r="F19967" s="17"/>
    </row>
    <row r="19968">
      <c r="F19968" s="17"/>
    </row>
    <row r="19969">
      <c r="F19969" s="17"/>
    </row>
    <row r="19970">
      <c r="F19970" s="17"/>
    </row>
    <row r="19971">
      <c r="F19971" s="17"/>
    </row>
    <row r="19972">
      <c r="F19972" s="17"/>
    </row>
    <row r="19973">
      <c r="F19973" s="17"/>
    </row>
    <row r="19974">
      <c r="F19974" s="17"/>
    </row>
    <row r="19975">
      <c r="F19975" s="17"/>
    </row>
    <row r="19976">
      <c r="F19976" s="17"/>
    </row>
    <row r="19977">
      <c r="F19977" s="17"/>
    </row>
    <row r="19978">
      <c r="F19978" s="17"/>
    </row>
    <row r="19979">
      <c r="F19979" s="17"/>
    </row>
    <row r="19980">
      <c r="F19980" s="17"/>
    </row>
    <row r="19981">
      <c r="F19981" s="17"/>
    </row>
    <row r="19982">
      <c r="F19982" s="17"/>
    </row>
    <row r="19983">
      <c r="F19983" s="17"/>
    </row>
    <row r="19984">
      <c r="F19984" s="17"/>
    </row>
    <row r="19985">
      <c r="F19985" s="17"/>
    </row>
    <row r="19986">
      <c r="F19986" s="17"/>
    </row>
    <row r="19987">
      <c r="F19987" s="17"/>
    </row>
    <row r="19988">
      <c r="F19988" s="17"/>
    </row>
    <row r="19989">
      <c r="F19989" s="17"/>
    </row>
    <row r="19990">
      <c r="F19990" s="17"/>
    </row>
    <row r="19991">
      <c r="F19991" s="17"/>
    </row>
    <row r="19992">
      <c r="F19992" s="17"/>
    </row>
    <row r="19993">
      <c r="F19993" s="17"/>
    </row>
    <row r="19994">
      <c r="F19994" s="17"/>
    </row>
    <row r="19995">
      <c r="F19995" s="17"/>
    </row>
    <row r="19996">
      <c r="F19996" s="17"/>
    </row>
    <row r="19997">
      <c r="F19997" s="17"/>
    </row>
    <row r="19998">
      <c r="F19998" s="17"/>
    </row>
    <row r="19999">
      <c r="F19999" s="17"/>
    </row>
    <row r="20000">
      <c r="F20000" s="17"/>
    </row>
    <row r="20001">
      <c r="F20001" s="17"/>
    </row>
    <row r="20002">
      <c r="F20002" s="17"/>
    </row>
    <row r="20003">
      <c r="F20003" s="17"/>
    </row>
    <row r="20004">
      <c r="F20004" s="17"/>
    </row>
    <row r="20005">
      <c r="F20005" s="17"/>
    </row>
    <row r="20006">
      <c r="F20006" s="17"/>
    </row>
    <row r="20007">
      <c r="F20007" s="17"/>
    </row>
    <row r="20008">
      <c r="F20008" s="17"/>
    </row>
    <row r="20009">
      <c r="F20009" s="17"/>
    </row>
    <row r="20010">
      <c r="F20010" s="17"/>
    </row>
    <row r="20011">
      <c r="F20011" s="17"/>
    </row>
    <row r="20012">
      <c r="F20012" s="17"/>
    </row>
    <row r="20013">
      <c r="F20013" s="17"/>
    </row>
    <row r="20014">
      <c r="F20014" s="17"/>
    </row>
    <row r="20015">
      <c r="F20015" s="17"/>
    </row>
    <row r="20016">
      <c r="F20016" s="17"/>
    </row>
    <row r="20017">
      <c r="F20017" s="17"/>
    </row>
    <row r="20018">
      <c r="F20018" s="17"/>
    </row>
    <row r="20019">
      <c r="F20019" s="17"/>
    </row>
    <row r="20020">
      <c r="F20020" s="17"/>
    </row>
    <row r="20021">
      <c r="F20021" s="17"/>
    </row>
    <row r="20022">
      <c r="F20022" s="17"/>
    </row>
    <row r="20023">
      <c r="F20023" s="17"/>
    </row>
    <row r="20024">
      <c r="F20024" s="17"/>
    </row>
    <row r="20025">
      <c r="F20025" s="17"/>
    </row>
    <row r="20026">
      <c r="F20026" s="17"/>
    </row>
    <row r="20027">
      <c r="F20027" s="17"/>
    </row>
    <row r="20028">
      <c r="F20028" s="17"/>
    </row>
    <row r="20029">
      <c r="F20029" s="17"/>
    </row>
    <row r="20030">
      <c r="F20030" s="17"/>
    </row>
    <row r="20031">
      <c r="F20031" s="17"/>
    </row>
    <row r="20032">
      <c r="F20032" s="17"/>
    </row>
    <row r="20033">
      <c r="F20033" s="17"/>
    </row>
    <row r="20034">
      <c r="F20034" s="17"/>
    </row>
    <row r="20035">
      <c r="F20035" s="17"/>
    </row>
    <row r="20036">
      <c r="F20036" s="17"/>
    </row>
    <row r="20037">
      <c r="F20037" s="17"/>
    </row>
    <row r="20038">
      <c r="F20038" s="17"/>
    </row>
    <row r="20039">
      <c r="F20039" s="17"/>
    </row>
    <row r="20040">
      <c r="F20040" s="17"/>
    </row>
    <row r="20041">
      <c r="F20041" s="17"/>
    </row>
    <row r="20042">
      <c r="F20042" s="17"/>
    </row>
    <row r="20043">
      <c r="F20043" s="17"/>
    </row>
    <row r="20044">
      <c r="F20044" s="17"/>
    </row>
    <row r="20045">
      <c r="F20045" s="17"/>
    </row>
    <row r="20046">
      <c r="F20046" s="17"/>
    </row>
    <row r="20047">
      <c r="F20047" s="17"/>
    </row>
    <row r="20048">
      <c r="F20048" s="17"/>
    </row>
    <row r="20049">
      <c r="F20049" s="17"/>
    </row>
    <row r="20050">
      <c r="F20050" s="17"/>
    </row>
    <row r="20051">
      <c r="F20051" s="17"/>
    </row>
    <row r="20052">
      <c r="F20052" s="17"/>
    </row>
    <row r="20053">
      <c r="F20053" s="17"/>
    </row>
    <row r="20054">
      <c r="F20054" s="17"/>
    </row>
    <row r="20055">
      <c r="F20055" s="17"/>
    </row>
    <row r="20056">
      <c r="F20056" s="17"/>
    </row>
    <row r="20057">
      <c r="F20057" s="17"/>
    </row>
    <row r="20058">
      <c r="F20058" s="17"/>
    </row>
    <row r="20059">
      <c r="F20059" s="17"/>
    </row>
    <row r="20060">
      <c r="F20060" s="17"/>
    </row>
    <row r="20061">
      <c r="F20061" s="17"/>
    </row>
    <row r="20062">
      <c r="F20062" s="17"/>
    </row>
    <row r="20063">
      <c r="F20063" s="17"/>
    </row>
    <row r="20064">
      <c r="F20064" s="17"/>
    </row>
    <row r="20065">
      <c r="F20065" s="17"/>
    </row>
    <row r="20066">
      <c r="F20066" s="17"/>
    </row>
    <row r="20067">
      <c r="F20067" s="17"/>
    </row>
    <row r="20068">
      <c r="F20068" s="17"/>
    </row>
    <row r="20069">
      <c r="F20069" s="17"/>
    </row>
    <row r="20070">
      <c r="F20070" s="17"/>
    </row>
    <row r="20071">
      <c r="F20071" s="17"/>
    </row>
    <row r="20072">
      <c r="F20072" s="17"/>
    </row>
    <row r="20073">
      <c r="F20073" s="17"/>
    </row>
    <row r="20074">
      <c r="F20074" s="17"/>
    </row>
    <row r="20075">
      <c r="F20075" s="17"/>
    </row>
    <row r="20076">
      <c r="F20076" s="17"/>
    </row>
    <row r="20077">
      <c r="F20077" s="17"/>
    </row>
    <row r="20078">
      <c r="F20078" s="17"/>
    </row>
    <row r="20079">
      <c r="F20079" s="17"/>
    </row>
    <row r="20080">
      <c r="F20080" s="17"/>
    </row>
    <row r="20081">
      <c r="F20081" s="17"/>
    </row>
    <row r="20082">
      <c r="F20082" s="17"/>
    </row>
    <row r="20083">
      <c r="F20083" s="17"/>
    </row>
    <row r="20084">
      <c r="F20084" s="17"/>
    </row>
    <row r="20085">
      <c r="F20085" s="17"/>
    </row>
    <row r="20086">
      <c r="F20086" s="17"/>
    </row>
    <row r="20087">
      <c r="F20087" s="17"/>
    </row>
    <row r="20088">
      <c r="F20088" s="17"/>
    </row>
    <row r="20089">
      <c r="F20089" s="17"/>
    </row>
    <row r="20090">
      <c r="F20090" s="17"/>
    </row>
    <row r="20091">
      <c r="F20091" s="17"/>
    </row>
    <row r="20092">
      <c r="F20092" s="17"/>
    </row>
    <row r="20093">
      <c r="F20093" s="17"/>
    </row>
    <row r="20094">
      <c r="F20094" s="17"/>
    </row>
    <row r="20095">
      <c r="F20095" s="17"/>
    </row>
    <row r="20096">
      <c r="F20096" s="17"/>
    </row>
    <row r="20097">
      <c r="F20097" s="17"/>
    </row>
    <row r="20098">
      <c r="F20098" s="17"/>
    </row>
    <row r="20099">
      <c r="F20099" s="17"/>
    </row>
    <row r="20100">
      <c r="F20100" s="17"/>
    </row>
    <row r="20101">
      <c r="F20101" s="17"/>
    </row>
    <row r="20102">
      <c r="F20102" s="17"/>
    </row>
    <row r="20103">
      <c r="F20103" s="17"/>
    </row>
    <row r="20104">
      <c r="F20104" s="17"/>
    </row>
    <row r="20105">
      <c r="F20105" s="17"/>
    </row>
    <row r="20106">
      <c r="F20106" s="17"/>
    </row>
    <row r="20107">
      <c r="F20107" s="17"/>
    </row>
    <row r="20108">
      <c r="F20108" s="17"/>
    </row>
    <row r="20109">
      <c r="F20109" s="17"/>
    </row>
    <row r="20110">
      <c r="F20110" s="17"/>
    </row>
    <row r="20111">
      <c r="F20111" s="17"/>
    </row>
    <row r="20112">
      <c r="F20112" s="17"/>
    </row>
    <row r="20113">
      <c r="F20113" s="17"/>
    </row>
    <row r="20114">
      <c r="F20114" s="17"/>
    </row>
    <row r="20115">
      <c r="F20115" s="17"/>
    </row>
    <row r="20116">
      <c r="F20116" s="17"/>
    </row>
    <row r="20117">
      <c r="F20117" s="17"/>
    </row>
    <row r="20118">
      <c r="F20118" s="17"/>
    </row>
    <row r="20119">
      <c r="F20119" s="17"/>
    </row>
    <row r="20120">
      <c r="F20120" s="17"/>
    </row>
    <row r="20121">
      <c r="F20121" s="17"/>
    </row>
    <row r="20122">
      <c r="F20122" s="17"/>
    </row>
    <row r="20123">
      <c r="F20123" s="17"/>
    </row>
    <row r="20124">
      <c r="F20124" s="17"/>
    </row>
    <row r="20125">
      <c r="F20125" s="17"/>
    </row>
    <row r="20126">
      <c r="F20126" s="17"/>
    </row>
    <row r="20127">
      <c r="F20127" s="17"/>
    </row>
    <row r="20128">
      <c r="F20128" s="17"/>
    </row>
    <row r="20129">
      <c r="F20129" s="17"/>
    </row>
    <row r="20130">
      <c r="F20130" s="17"/>
    </row>
    <row r="20131">
      <c r="F20131" s="17"/>
    </row>
    <row r="20132">
      <c r="F20132" s="17"/>
    </row>
    <row r="20133">
      <c r="F20133" s="17"/>
    </row>
    <row r="20134">
      <c r="F20134" s="17"/>
    </row>
    <row r="20135">
      <c r="F20135" s="17"/>
    </row>
    <row r="20136">
      <c r="F20136" s="17"/>
    </row>
    <row r="20137">
      <c r="F20137" s="17"/>
    </row>
    <row r="20138">
      <c r="F20138" s="17"/>
    </row>
    <row r="20139">
      <c r="F20139" s="17"/>
    </row>
    <row r="20140">
      <c r="F20140" s="17"/>
    </row>
    <row r="20141">
      <c r="F20141" s="17"/>
    </row>
    <row r="20142">
      <c r="F20142" s="17"/>
    </row>
    <row r="20143">
      <c r="F20143" s="17"/>
    </row>
    <row r="20144">
      <c r="F20144" s="17"/>
    </row>
    <row r="20145">
      <c r="F20145" s="17"/>
    </row>
    <row r="20146">
      <c r="F20146" s="17"/>
    </row>
    <row r="20147">
      <c r="F20147" s="17"/>
    </row>
    <row r="20148">
      <c r="F20148" s="17"/>
    </row>
    <row r="20149">
      <c r="F20149" s="17"/>
    </row>
    <row r="20150">
      <c r="F20150" s="17"/>
    </row>
    <row r="20151">
      <c r="F20151" s="17"/>
    </row>
    <row r="20152">
      <c r="F20152" s="17"/>
    </row>
    <row r="20153">
      <c r="F20153" s="17"/>
    </row>
    <row r="20154">
      <c r="F20154" s="17"/>
    </row>
    <row r="20155">
      <c r="F20155" s="17"/>
    </row>
    <row r="20156">
      <c r="F20156" s="17"/>
    </row>
    <row r="20157">
      <c r="F20157" s="17"/>
    </row>
    <row r="20158">
      <c r="F20158" s="17"/>
    </row>
    <row r="20159">
      <c r="F20159" s="17"/>
    </row>
    <row r="20160">
      <c r="F20160" s="17"/>
    </row>
    <row r="20161">
      <c r="F20161" s="17"/>
    </row>
    <row r="20162">
      <c r="F20162" s="17"/>
    </row>
    <row r="20163">
      <c r="F20163" s="17"/>
    </row>
    <row r="20164">
      <c r="F20164" s="17"/>
    </row>
    <row r="20165">
      <c r="F20165" s="17"/>
    </row>
    <row r="20166">
      <c r="F20166" s="17"/>
    </row>
    <row r="20167">
      <c r="F20167" s="17"/>
    </row>
    <row r="20168">
      <c r="F20168" s="17"/>
    </row>
    <row r="20169">
      <c r="F20169" s="17"/>
    </row>
    <row r="20170">
      <c r="F20170" s="17"/>
    </row>
    <row r="20171">
      <c r="F20171" s="17"/>
    </row>
    <row r="20172">
      <c r="F20172" s="17"/>
    </row>
    <row r="20173">
      <c r="F20173" s="17"/>
    </row>
    <row r="20174">
      <c r="F20174" s="17"/>
    </row>
    <row r="20175">
      <c r="F20175" s="17"/>
    </row>
    <row r="20176">
      <c r="F20176" s="17"/>
    </row>
    <row r="20177">
      <c r="F20177" s="17"/>
    </row>
    <row r="20178">
      <c r="F20178" s="17"/>
    </row>
    <row r="20179">
      <c r="F20179" s="17"/>
    </row>
    <row r="20180">
      <c r="F20180" s="17"/>
    </row>
    <row r="20181">
      <c r="F20181" s="17"/>
    </row>
    <row r="20182">
      <c r="F20182" s="17"/>
    </row>
    <row r="20183">
      <c r="F20183" s="17"/>
    </row>
    <row r="20184">
      <c r="F20184" s="17"/>
    </row>
    <row r="20185">
      <c r="F20185" s="17"/>
    </row>
    <row r="20186">
      <c r="F20186" s="17"/>
    </row>
    <row r="20187">
      <c r="F20187" s="17"/>
    </row>
    <row r="20188">
      <c r="F20188" s="17"/>
    </row>
    <row r="20189">
      <c r="F20189" s="17"/>
    </row>
    <row r="20190">
      <c r="F20190" s="17"/>
    </row>
    <row r="20191">
      <c r="F20191" s="17"/>
    </row>
    <row r="20192">
      <c r="F20192" s="17"/>
    </row>
    <row r="20193">
      <c r="F20193" s="17"/>
    </row>
    <row r="20194">
      <c r="F20194" s="17"/>
    </row>
    <row r="20195">
      <c r="F20195" s="17"/>
    </row>
    <row r="20196">
      <c r="F20196" s="17"/>
    </row>
    <row r="20197">
      <c r="F20197" s="17"/>
    </row>
    <row r="20198">
      <c r="F20198" s="17"/>
    </row>
    <row r="20199">
      <c r="F20199" s="17"/>
    </row>
    <row r="20200">
      <c r="F20200" s="17"/>
    </row>
    <row r="20201">
      <c r="F20201" s="17"/>
    </row>
    <row r="20202">
      <c r="F20202" s="17"/>
    </row>
    <row r="20203">
      <c r="F20203" s="17"/>
    </row>
    <row r="20204">
      <c r="F20204" s="17"/>
    </row>
    <row r="20205">
      <c r="F20205" s="17"/>
    </row>
    <row r="20206">
      <c r="F20206" s="17"/>
    </row>
    <row r="20207">
      <c r="F20207" s="17"/>
    </row>
    <row r="20208">
      <c r="F20208" s="17"/>
    </row>
    <row r="20209">
      <c r="F20209" s="17"/>
    </row>
    <row r="20210">
      <c r="F20210" s="17"/>
    </row>
    <row r="20211">
      <c r="F20211" s="17"/>
    </row>
    <row r="20212">
      <c r="F20212" s="17"/>
    </row>
    <row r="20213">
      <c r="F20213" s="17"/>
    </row>
    <row r="20214">
      <c r="F20214" s="17"/>
    </row>
    <row r="20215">
      <c r="F20215" s="17"/>
    </row>
    <row r="20216">
      <c r="F20216" s="17"/>
    </row>
    <row r="20217">
      <c r="F20217" s="17"/>
    </row>
    <row r="20218">
      <c r="F20218" s="17"/>
    </row>
    <row r="20219">
      <c r="F20219" s="17"/>
    </row>
    <row r="20220">
      <c r="F20220" s="17"/>
    </row>
    <row r="20221">
      <c r="F20221" s="17"/>
    </row>
    <row r="20222">
      <c r="F20222" s="17"/>
    </row>
    <row r="20223">
      <c r="F20223" s="17"/>
    </row>
    <row r="20224">
      <c r="F20224" s="17"/>
    </row>
    <row r="20225">
      <c r="F20225" s="17"/>
    </row>
    <row r="20226">
      <c r="F20226" s="17"/>
    </row>
    <row r="20227">
      <c r="F20227" s="17"/>
    </row>
    <row r="20228">
      <c r="F20228" s="17"/>
    </row>
    <row r="20229">
      <c r="F20229" s="17"/>
    </row>
    <row r="20230">
      <c r="F20230" s="17"/>
    </row>
    <row r="20231">
      <c r="F20231" s="17"/>
    </row>
    <row r="20232">
      <c r="F20232" s="17"/>
    </row>
    <row r="20233">
      <c r="F20233" s="17"/>
    </row>
    <row r="20234">
      <c r="F20234" s="17"/>
    </row>
    <row r="20235">
      <c r="F20235" s="17"/>
    </row>
    <row r="20236">
      <c r="F20236" s="17"/>
    </row>
    <row r="20237">
      <c r="F20237" s="17"/>
    </row>
    <row r="20238">
      <c r="F20238" s="17"/>
    </row>
    <row r="20239">
      <c r="F20239" s="17"/>
    </row>
    <row r="20240">
      <c r="F20240" s="17"/>
    </row>
    <row r="20241">
      <c r="F20241" s="17"/>
    </row>
    <row r="20242">
      <c r="F20242" s="17"/>
    </row>
    <row r="20243">
      <c r="F20243" s="17"/>
    </row>
    <row r="20244">
      <c r="F20244" s="17"/>
    </row>
    <row r="20245">
      <c r="F20245" s="17"/>
    </row>
    <row r="20246">
      <c r="F20246" s="17"/>
    </row>
    <row r="20247">
      <c r="F20247" s="17"/>
    </row>
    <row r="20248">
      <c r="F20248" s="17"/>
    </row>
    <row r="20249">
      <c r="F20249" s="17"/>
    </row>
    <row r="20250">
      <c r="F20250" s="17"/>
    </row>
    <row r="20251">
      <c r="F20251" s="17"/>
    </row>
    <row r="20252">
      <c r="F20252" s="17"/>
    </row>
    <row r="20253">
      <c r="F20253" s="17"/>
    </row>
    <row r="20254">
      <c r="F20254" s="17"/>
    </row>
    <row r="20255">
      <c r="F20255" s="17"/>
    </row>
    <row r="20256">
      <c r="F20256" s="17"/>
    </row>
    <row r="20257">
      <c r="F20257" s="17"/>
    </row>
    <row r="20258">
      <c r="F20258" s="17"/>
    </row>
    <row r="20259">
      <c r="F20259" s="17"/>
    </row>
    <row r="20260">
      <c r="F20260" s="17"/>
    </row>
    <row r="20261">
      <c r="F20261" s="17"/>
    </row>
    <row r="20262">
      <c r="F20262" s="17"/>
    </row>
    <row r="20263">
      <c r="F20263" s="17"/>
    </row>
    <row r="20264">
      <c r="F20264" s="17"/>
    </row>
    <row r="20265">
      <c r="F20265" s="17"/>
    </row>
    <row r="20266">
      <c r="F20266" s="17"/>
    </row>
    <row r="20267">
      <c r="F20267" s="17"/>
    </row>
    <row r="20268">
      <c r="F20268" s="17"/>
    </row>
    <row r="20269">
      <c r="F20269" s="17"/>
    </row>
    <row r="20270">
      <c r="F20270" s="17"/>
    </row>
    <row r="20271">
      <c r="F20271" s="17"/>
    </row>
    <row r="20272">
      <c r="F20272" s="17"/>
    </row>
    <row r="20273">
      <c r="F20273" s="17"/>
    </row>
    <row r="20274">
      <c r="F20274" s="17"/>
    </row>
    <row r="20275">
      <c r="F20275" s="17"/>
    </row>
    <row r="20276">
      <c r="F20276" s="17"/>
    </row>
    <row r="20277">
      <c r="F20277" s="17"/>
    </row>
    <row r="20278">
      <c r="F20278" s="17"/>
    </row>
    <row r="20279">
      <c r="F20279" s="17"/>
    </row>
    <row r="20280">
      <c r="F20280" s="17"/>
    </row>
    <row r="20281">
      <c r="F20281" s="17"/>
    </row>
    <row r="20282">
      <c r="F20282" s="17"/>
    </row>
    <row r="20283">
      <c r="F20283" s="17"/>
    </row>
    <row r="20284">
      <c r="F20284" s="17"/>
    </row>
    <row r="20285">
      <c r="F20285" s="17"/>
    </row>
    <row r="20286">
      <c r="F20286" s="17"/>
    </row>
    <row r="20287">
      <c r="F20287" s="17"/>
    </row>
    <row r="20288">
      <c r="F20288" s="17"/>
    </row>
    <row r="20289">
      <c r="F20289" s="17"/>
    </row>
    <row r="20290">
      <c r="F20290" s="17"/>
    </row>
    <row r="20291">
      <c r="F20291" s="17"/>
    </row>
    <row r="20292">
      <c r="F20292" s="17"/>
    </row>
    <row r="20293">
      <c r="F20293" s="17"/>
    </row>
    <row r="20294">
      <c r="F20294" s="17"/>
    </row>
    <row r="20295">
      <c r="F20295" s="17"/>
    </row>
    <row r="20296">
      <c r="F20296" s="17"/>
    </row>
    <row r="20297">
      <c r="F20297" s="17"/>
    </row>
    <row r="20298">
      <c r="F20298" s="17"/>
    </row>
    <row r="20299">
      <c r="F20299" s="17"/>
    </row>
    <row r="20300">
      <c r="F20300" s="17"/>
    </row>
    <row r="20301">
      <c r="F20301" s="17"/>
    </row>
    <row r="20302">
      <c r="F20302" s="17"/>
    </row>
    <row r="20303">
      <c r="F20303" s="17"/>
    </row>
    <row r="20304">
      <c r="F20304" s="17"/>
    </row>
    <row r="20305">
      <c r="F20305" s="17"/>
    </row>
    <row r="20306">
      <c r="F20306" s="17"/>
    </row>
    <row r="20307">
      <c r="F20307" s="17"/>
    </row>
    <row r="20308">
      <c r="F20308" s="17"/>
    </row>
    <row r="20309">
      <c r="F20309" s="17"/>
    </row>
    <row r="20310">
      <c r="F20310" s="17"/>
    </row>
    <row r="20311">
      <c r="F20311" s="17"/>
    </row>
    <row r="20312">
      <c r="F20312" s="17"/>
    </row>
    <row r="20313">
      <c r="F20313" s="17"/>
    </row>
    <row r="20314">
      <c r="F20314" s="17"/>
    </row>
    <row r="20315">
      <c r="F20315" s="17"/>
    </row>
    <row r="20316">
      <c r="F20316" s="17"/>
    </row>
    <row r="20317">
      <c r="F20317" s="17"/>
    </row>
    <row r="20318">
      <c r="F20318" s="17"/>
    </row>
    <row r="20319">
      <c r="F20319" s="17"/>
    </row>
    <row r="20320">
      <c r="F20320" s="17"/>
    </row>
    <row r="20321">
      <c r="F20321" s="17"/>
    </row>
    <row r="20322">
      <c r="F20322" s="17"/>
    </row>
    <row r="20323">
      <c r="F20323" s="17"/>
    </row>
    <row r="20324">
      <c r="F20324" s="17"/>
    </row>
    <row r="20325">
      <c r="F20325" s="17"/>
    </row>
    <row r="20326">
      <c r="F20326" s="17"/>
    </row>
    <row r="20327">
      <c r="F20327" s="17"/>
    </row>
    <row r="20328">
      <c r="F20328" s="17"/>
    </row>
    <row r="20329">
      <c r="F20329" s="17"/>
    </row>
    <row r="20330">
      <c r="F20330" s="17"/>
    </row>
    <row r="20331">
      <c r="F20331" s="17"/>
    </row>
    <row r="20332">
      <c r="F20332" s="17"/>
    </row>
    <row r="20333">
      <c r="F20333" s="17"/>
    </row>
    <row r="20334">
      <c r="F20334" s="17"/>
    </row>
    <row r="20335">
      <c r="F20335" s="17"/>
    </row>
    <row r="20336">
      <c r="F20336" s="17"/>
    </row>
    <row r="20337">
      <c r="F20337" s="17"/>
    </row>
    <row r="20338">
      <c r="F20338" s="17"/>
    </row>
    <row r="20339">
      <c r="F20339" s="17"/>
    </row>
    <row r="20340">
      <c r="F20340" s="17"/>
    </row>
    <row r="20341">
      <c r="F20341" s="17"/>
    </row>
    <row r="20342">
      <c r="F20342" s="17"/>
    </row>
    <row r="20343">
      <c r="F20343" s="17"/>
    </row>
    <row r="20344">
      <c r="F20344" s="17"/>
    </row>
    <row r="20345">
      <c r="F20345" s="17"/>
    </row>
    <row r="20346">
      <c r="F20346" s="17"/>
    </row>
    <row r="20347">
      <c r="F20347" s="17"/>
    </row>
    <row r="20348">
      <c r="F20348" s="17"/>
    </row>
    <row r="20349">
      <c r="F20349" s="17"/>
    </row>
    <row r="20350">
      <c r="F20350" s="17"/>
    </row>
    <row r="20351">
      <c r="F20351" s="17"/>
    </row>
    <row r="20352">
      <c r="F20352" s="17"/>
    </row>
    <row r="20353">
      <c r="F20353" s="17"/>
    </row>
    <row r="20354">
      <c r="F20354" s="17"/>
    </row>
    <row r="20355">
      <c r="F20355" s="17"/>
    </row>
    <row r="20356">
      <c r="F20356" s="17"/>
    </row>
    <row r="20357">
      <c r="F20357" s="17"/>
    </row>
    <row r="20358">
      <c r="F20358" s="17"/>
    </row>
    <row r="20359">
      <c r="F20359" s="17"/>
    </row>
    <row r="20360">
      <c r="F20360" s="17"/>
    </row>
    <row r="20361">
      <c r="F20361" s="17"/>
    </row>
    <row r="20362">
      <c r="F20362" s="17"/>
    </row>
    <row r="20363">
      <c r="F20363" s="17"/>
    </row>
    <row r="20364">
      <c r="F20364" s="17"/>
    </row>
    <row r="20365">
      <c r="F20365" s="17"/>
    </row>
    <row r="20366">
      <c r="F20366" s="17"/>
    </row>
    <row r="20367">
      <c r="F20367" s="17"/>
    </row>
    <row r="20368">
      <c r="F20368" s="17"/>
    </row>
    <row r="20369">
      <c r="F20369" s="17"/>
    </row>
    <row r="20370">
      <c r="F20370" s="17"/>
    </row>
    <row r="20371">
      <c r="F20371" s="17"/>
    </row>
    <row r="20372">
      <c r="F20372" s="17"/>
    </row>
    <row r="20373">
      <c r="F20373" s="17"/>
    </row>
    <row r="20374">
      <c r="F20374" s="17"/>
    </row>
    <row r="20375">
      <c r="F20375" s="17"/>
    </row>
    <row r="20376">
      <c r="F20376" s="17"/>
    </row>
    <row r="20377">
      <c r="F20377" s="17"/>
    </row>
    <row r="20378">
      <c r="F20378" s="17"/>
    </row>
    <row r="20379">
      <c r="F20379" s="17"/>
    </row>
    <row r="20380">
      <c r="F20380" s="17"/>
    </row>
    <row r="20381">
      <c r="F20381" s="17"/>
    </row>
    <row r="20382">
      <c r="F20382" s="17"/>
    </row>
    <row r="20383">
      <c r="F20383" s="17"/>
    </row>
    <row r="20384">
      <c r="F20384" s="17"/>
    </row>
    <row r="20385">
      <c r="F20385" s="17"/>
    </row>
    <row r="20386">
      <c r="F20386" s="17"/>
    </row>
    <row r="20387">
      <c r="F20387" s="17"/>
    </row>
    <row r="20388">
      <c r="F20388" s="17"/>
    </row>
    <row r="20389">
      <c r="F20389" s="17"/>
    </row>
    <row r="20390">
      <c r="F20390" s="17"/>
    </row>
    <row r="20391">
      <c r="F20391" s="17"/>
    </row>
    <row r="20392">
      <c r="F20392" s="17"/>
    </row>
    <row r="20393">
      <c r="F20393" s="17"/>
    </row>
    <row r="20394">
      <c r="F20394" s="17"/>
    </row>
    <row r="20395">
      <c r="F20395" s="17"/>
    </row>
    <row r="20396">
      <c r="F20396" s="17"/>
    </row>
    <row r="20397">
      <c r="F20397" s="17"/>
    </row>
    <row r="20398">
      <c r="F20398" s="17"/>
    </row>
    <row r="20399">
      <c r="F20399" s="17"/>
    </row>
    <row r="20400">
      <c r="F20400" s="17"/>
    </row>
    <row r="20401">
      <c r="F20401" s="17"/>
    </row>
    <row r="20402">
      <c r="F20402" s="17"/>
    </row>
    <row r="20403">
      <c r="F20403" s="17"/>
    </row>
    <row r="20404">
      <c r="F20404" s="17"/>
    </row>
    <row r="20405">
      <c r="F20405" s="17"/>
    </row>
    <row r="20406">
      <c r="F20406" s="17"/>
    </row>
    <row r="20407">
      <c r="F20407" s="17"/>
    </row>
    <row r="20408">
      <c r="F20408" s="17"/>
    </row>
    <row r="20409">
      <c r="F20409" s="17"/>
    </row>
    <row r="20410">
      <c r="F20410" s="17"/>
    </row>
    <row r="20411">
      <c r="F20411" s="17"/>
    </row>
    <row r="20412">
      <c r="F20412" s="17"/>
    </row>
    <row r="20413">
      <c r="F20413" s="17"/>
    </row>
    <row r="20414">
      <c r="F20414" s="17"/>
    </row>
    <row r="20415">
      <c r="F20415" s="17"/>
    </row>
    <row r="20416">
      <c r="F20416" s="17"/>
    </row>
    <row r="20417">
      <c r="F20417" s="17"/>
    </row>
    <row r="20418">
      <c r="F20418" s="17"/>
    </row>
    <row r="20419">
      <c r="F20419" s="17"/>
    </row>
    <row r="20420">
      <c r="F20420" s="17"/>
    </row>
    <row r="20421">
      <c r="F20421" s="17"/>
    </row>
    <row r="20422">
      <c r="F20422" s="17"/>
    </row>
    <row r="20423">
      <c r="F20423" s="17"/>
    </row>
    <row r="20424">
      <c r="F20424" s="17"/>
    </row>
    <row r="20425">
      <c r="F20425" s="17"/>
    </row>
    <row r="20426">
      <c r="F20426" s="17"/>
    </row>
    <row r="20427">
      <c r="F20427" s="17"/>
    </row>
    <row r="20428">
      <c r="F20428" s="17"/>
    </row>
    <row r="20429">
      <c r="F20429" s="17"/>
    </row>
    <row r="20430">
      <c r="F20430" s="17"/>
    </row>
    <row r="20431">
      <c r="F20431" s="17"/>
    </row>
    <row r="20432">
      <c r="F20432" s="17"/>
    </row>
    <row r="20433">
      <c r="F20433" s="17"/>
    </row>
    <row r="20434">
      <c r="F20434" s="17"/>
    </row>
    <row r="20435">
      <c r="F20435" s="17"/>
    </row>
    <row r="20436">
      <c r="F20436" s="17"/>
    </row>
    <row r="20437">
      <c r="F20437" s="17"/>
    </row>
    <row r="20438">
      <c r="F20438" s="17"/>
    </row>
    <row r="20439">
      <c r="F20439" s="17"/>
    </row>
    <row r="20440">
      <c r="F20440" s="17"/>
    </row>
    <row r="20441">
      <c r="F20441" s="17"/>
    </row>
    <row r="20442">
      <c r="F20442" s="17"/>
    </row>
    <row r="20443">
      <c r="F20443" s="17"/>
    </row>
    <row r="20444">
      <c r="F20444" s="17"/>
    </row>
    <row r="20445">
      <c r="F20445" s="17"/>
    </row>
    <row r="20446">
      <c r="F20446" s="17"/>
    </row>
    <row r="20447">
      <c r="F20447" s="17"/>
    </row>
    <row r="20448">
      <c r="F20448" s="17"/>
    </row>
    <row r="20449">
      <c r="F20449" s="17"/>
    </row>
    <row r="20450">
      <c r="F20450" s="17"/>
    </row>
    <row r="20451">
      <c r="F20451" s="17"/>
    </row>
    <row r="20452">
      <c r="F20452" s="17"/>
    </row>
    <row r="20453">
      <c r="F20453" s="17"/>
    </row>
    <row r="20454">
      <c r="F20454" s="17"/>
    </row>
    <row r="20455">
      <c r="F20455" s="17"/>
    </row>
    <row r="20456">
      <c r="F20456" s="17"/>
    </row>
    <row r="20457">
      <c r="F20457" s="17"/>
    </row>
    <row r="20458">
      <c r="F20458" s="17"/>
    </row>
    <row r="20459">
      <c r="F20459" s="17"/>
    </row>
    <row r="20460">
      <c r="F20460" s="17"/>
    </row>
    <row r="20461">
      <c r="F20461" s="17"/>
    </row>
    <row r="20462">
      <c r="F20462" s="17"/>
    </row>
    <row r="20463">
      <c r="F20463" s="17"/>
    </row>
    <row r="20464">
      <c r="F20464" s="17"/>
    </row>
    <row r="20465">
      <c r="F20465" s="17"/>
    </row>
    <row r="20466">
      <c r="F20466" s="17"/>
    </row>
    <row r="20467">
      <c r="F20467" s="17"/>
    </row>
    <row r="20468">
      <c r="F20468" s="17"/>
    </row>
    <row r="20469">
      <c r="F20469" s="17"/>
    </row>
    <row r="20470">
      <c r="F20470" s="17"/>
    </row>
    <row r="20471">
      <c r="F20471" s="17"/>
    </row>
    <row r="20472">
      <c r="F20472" s="17"/>
    </row>
    <row r="20473">
      <c r="F20473" s="17"/>
    </row>
    <row r="20474">
      <c r="F20474" s="17"/>
    </row>
    <row r="20475">
      <c r="F20475" s="17"/>
    </row>
    <row r="20476">
      <c r="F20476" s="17"/>
    </row>
    <row r="20477">
      <c r="F20477" s="17"/>
    </row>
    <row r="20478">
      <c r="F20478" s="17"/>
    </row>
    <row r="20479">
      <c r="F20479" s="17"/>
    </row>
    <row r="20480">
      <c r="F20480" s="17"/>
    </row>
    <row r="20481">
      <c r="F20481" s="17"/>
    </row>
    <row r="20482">
      <c r="F20482" s="17"/>
    </row>
    <row r="20483">
      <c r="F20483" s="17"/>
    </row>
    <row r="20484">
      <c r="F20484" s="17"/>
    </row>
    <row r="20485">
      <c r="F20485" s="17"/>
    </row>
    <row r="20486">
      <c r="F20486" s="17"/>
    </row>
    <row r="20487">
      <c r="F20487" s="17"/>
    </row>
    <row r="20488">
      <c r="F20488" s="17"/>
    </row>
    <row r="20489">
      <c r="F20489" s="17"/>
    </row>
    <row r="20490">
      <c r="F20490" s="17"/>
    </row>
    <row r="20491">
      <c r="F20491" s="17"/>
    </row>
    <row r="20492">
      <c r="F20492" s="17"/>
    </row>
    <row r="20493">
      <c r="F20493" s="17"/>
    </row>
    <row r="20494">
      <c r="F20494" s="17"/>
    </row>
    <row r="20495">
      <c r="F20495" s="17"/>
    </row>
    <row r="20496">
      <c r="F20496" s="17"/>
    </row>
    <row r="20497">
      <c r="F20497" s="17"/>
    </row>
    <row r="20498">
      <c r="F20498" s="17"/>
    </row>
    <row r="20499">
      <c r="F20499" s="17"/>
    </row>
    <row r="20500">
      <c r="F20500" s="17"/>
    </row>
    <row r="20501">
      <c r="F20501" s="17"/>
    </row>
    <row r="20502">
      <c r="F20502" s="17"/>
    </row>
    <row r="20503">
      <c r="F20503" s="17"/>
    </row>
    <row r="20504">
      <c r="F20504" s="17"/>
    </row>
    <row r="20505">
      <c r="F20505" s="17"/>
    </row>
    <row r="20506">
      <c r="F20506" s="17"/>
    </row>
    <row r="20507">
      <c r="F20507" s="17"/>
    </row>
    <row r="20508">
      <c r="F20508" s="17"/>
    </row>
    <row r="20509">
      <c r="F20509" s="17"/>
    </row>
    <row r="20510">
      <c r="F20510" s="17"/>
    </row>
    <row r="20511">
      <c r="F20511" s="17"/>
    </row>
    <row r="20512">
      <c r="F20512" s="17"/>
    </row>
    <row r="20513">
      <c r="F20513" s="17"/>
    </row>
    <row r="20514">
      <c r="F20514" s="17"/>
    </row>
    <row r="20515">
      <c r="F20515" s="17"/>
    </row>
    <row r="20516">
      <c r="F20516" s="17"/>
    </row>
    <row r="20517">
      <c r="F20517" s="17"/>
    </row>
    <row r="20518">
      <c r="F20518" s="17"/>
    </row>
    <row r="20519">
      <c r="F20519" s="17"/>
    </row>
    <row r="20520">
      <c r="F20520" s="17"/>
    </row>
    <row r="20521">
      <c r="F20521" s="17"/>
    </row>
    <row r="20522">
      <c r="F20522" s="17"/>
    </row>
    <row r="20523">
      <c r="F20523" s="17"/>
    </row>
    <row r="20524">
      <c r="F20524" s="17"/>
    </row>
    <row r="20525">
      <c r="F20525" s="17"/>
    </row>
    <row r="20526">
      <c r="F20526" s="17"/>
    </row>
    <row r="20527">
      <c r="F20527" s="17"/>
    </row>
    <row r="20528">
      <c r="F20528" s="17"/>
    </row>
    <row r="20529">
      <c r="F20529" s="17"/>
    </row>
    <row r="20530">
      <c r="F20530" s="17"/>
    </row>
    <row r="20531">
      <c r="F20531" s="17"/>
    </row>
    <row r="20532">
      <c r="F20532" s="17"/>
    </row>
    <row r="20533">
      <c r="F20533" s="17"/>
    </row>
    <row r="20534">
      <c r="F20534" s="17"/>
    </row>
    <row r="20535">
      <c r="F20535" s="17"/>
    </row>
    <row r="20536">
      <c r="F20536" s="17"/>
    </row>
    <row r="20537">
      <c r="F20537" s="17"/>
    </row>
    <row r="20538">
      <c r="F20538" s="17"/>
    </row>
    <row r="20539">
      <c r="F20539" s="17"/>
    </row>
    <row r="20540">
      <c r="F20540" s="17"/>
    </row>
    <row r="20541">
      <c r="F20541" s="17"/>
    </row>
    <row r="20542">
      <c r="F20542" s="17"/>
    </row>
    <row r="20543">
      <c r="F20543" s="17"/>
    </row>
    <row r="20544">
      <c r="F20544" s="17"/>
    </row>
    <row r="20545">
      <c r="F20545" s="17"/>
    </row>
    <row r="20546">
      <c r="F20546" s="17"/>
    </row>
    <row r="20547">
      <c r="F20547" s="17"/>
    </row>
    <row r="20548">
      <c r="F20548" s="17"/>
    </row>
    <row r="20549">
      <c r="F20549" s="17"/>
    </row>
    <row r="20550">
      <c r="F20550" s="17"/>
    </row>
    <row r="20551">
      <c r="F20551" s="17"/>
    </row>
    <row r="20552">
      <c r="F20552" s="17"/>
    </row>
    <row r="20553">
      <c r="F20553" s="17"/>
    </row>
    <row r="20554">
      <c r="F20554" s="17"/>
    </row>
    <row r="20555">
      <c r="F20555" s="17"/>
    </row>
    <row r="20556">
      <c r="F20556" s="17"/>
    </row>
    <row r="20557">
      <c r="F20557" s="17"/>
    </row>
    <row r="20558">
      <c r="F20558" s="17"/>
    </row>
    <row r="20559">
      <c r="F20559" s="17"/>
    </row>
    <row r="20560">
      <c r="F20560" s="17"/>
    </row>
    <row r="20561">
      <c r="F20561" s="17"/>
    </row>
    <row r="20562">
      <c r="F20562" s="17"/>
    </row>
    <row r="20563">
      <c r="F20563" s="17"/>
    </row>
    <row r="20564">
      <c r="F20564" s="17"/>
    </row>
    <row r="20565">
      <c r="F20565" s="17"/>
    </row>
    <row r="20566">
      <c r="F20566" s="17"/>
    </row>
    <row r="20567">
      <c r="F20567" s="17"/>
    </row>
    <row r="20568">
      <c r="F20568" s="17"/>
    </row>
    <row r="20569">
      <c r="F20569" s="17"/>
    </row>
    <row r="20570">
      <c r="F20570" s="17"/>
    </row>
    <row r="20571">
      <c r="F20571" s="17"/>
    </row>
    <row r="20572">
      <c r="F20572" s="17"/>
    </row>
    <row r="20573">
      <c r="F20573" s="17"/>
    </row>
    <row r="20574">
      <c r="F20574" s="17"/>
    </row>
    <row r="20575">
      <c r="F20575" s="17"/>
    </row>
    <row r="20576">
      <c r="F20576" s="17"/>
    </row>
    <row r="20577">
      <c r="F20577" s="17"/>
    </row>
    <row r="20578">
      <c r="F20578" s="17"/>
    </row>
    <row r="20579">
      <c r="F20579" s="17"/>
    </row>
    <row r="20580">
      <c r="F20580" s="17"/>
    </row>
    <row r="20581">
      <c r="F20581" s="17"/>
    </row>
    <row r="20582">
      <c r="F20582" s="17"/>
    </row>
    <row r="20583">
      <c r="F20583" s="17"/>
    </row>
    <row r="20584">
      <c r="F20584" s="17"/>
    </row>
    <row r="20585">
      <c r="F20585" s="17"/>
    </row>
    <row r="20586">
      <c r="F20586" s="17"/>
    </row>
    <row r="20587">
      <c r="F20587" s="17"/>
    </row>
    <row r="20588">
      <c r="F20588" s="17"/>
    </row>
    <row r="20589">
      <c r="F20589" s="17"/>
    </row>
    <row r="20590">
      <c r="F20590" s="17"/>
    </row>
    <row r="20591">
      <c r="F20591" s="17"/>
    </row>
    <row r="20592">
      <c r="F20592" s="17"/>
    </row>
    <row r="20593">
      <c r="F20593" s="17"/>
    </row>
    <row r="20594">
      <c r="F20594" s="17"/>
    </row>
    <row r="20595">
      <c r="F20595" s="17"/>
    </row>
    <row r="20596">
      <c r="F20596" s="17"/>
    </row>
    <row r="20597">
      <c r="F20597" s="17"/>
    </row>
    <row r="20598">
      <c r="F20598" s="17"/>
    </row>
    <row r="20599">
      <c r="F20599" s="17"/>
    </row>
    <row r="20600">
      <c r="F20600" s="17"/>
    </row>
    <row r="20601">
      <c r="F20601" s="17"/>
    </row>
    <row r="20602">
      <c r="F20602" s="17"/>
    </row>
    <row r="20603">
      <c r="F20603" s="17"/>
    </row>
    <row r="20604">
      <c r="F20604" s="17"/>
    </row>
    <row r="20605">
      <c r="F20605" s="17"/>
    </row>
    <row r="20606">
      <c r="F20606" s="17"/>
    </row>
    <row r="20607">
      <c r="F20607" s="17"/>
    </row>
    <row r="20608">
      <c r="F20608" s="17"/>
    </row>
    <row r="20609">
      <c r="F20609" s="17"/>
    </row>
    <row r="20610">
      <c r="F20610" s="17"/>
    </row>
    <row r="20611">
      <c r="F20611" s="17"/>
    </row>
    <row r="20612">
      <c r="F20612" s="17"/>
    </row>
    <row r="20613">
      <c r="F20613" s="17"/>
    </row>
    <row r="20614">
      <c r="F20614" s="17"/>
    </row>
    <row r="20615">
      <c r="F20615" s="17"/>
    </row>
    <row r="20616">
      <c r="F20616" s="17"/>
    </row>
    <row r="20617">
      <c r="F20617" s="17"/>
    </row>
    <row r="20618">
      <c r="F20618" s="17"/>
    </row>
    <row r="20619">
      <c r="F20619" s="17"/>
    </row>
    <row r="20620">
      <c r="F20620" s="17"/>
    </row>
    <row r="20621">
      <c r="F20621" s="17"/>
    </row>
    <row r="20622">
      <c r="F20622" s="17"/>
    </row>
    <row r="20623">
      <c r="F20623" s="17"/>
    </row>
    <row r="20624">
      <c r="F20624" s="17"/>
    </row>
    <row r="20625">
      <c r="F20625" s="17"/>
    </row>
    <row r="20626">
      <c r="F20626" s="17"/>
    </row>
    <row r="20627">
      <c r="F20627" s="17"/>
    </row>
    <row r="20628">
      <c r="F20628" s="17"/>
    </row>
    <row r="20629">
      <c r="F20629" s="17"/>
    </row>
    <row r="20630">
      <c r="F20630" s="17"/>
    </row>
    <row r="20631">
      <c r="F20631" s="17"/>
    </row>
    <row r="20632">
      <c r="F20632" s="17"/>
    </row>
    <row r="20633">
      <c r="F20633" s="17"/>
    </row>
    <row r="20634">
      <c r="F20634" s="17"/>
    </row>
    <row r="20635">
      <c r="F20635" s="17"/>
    </row>
    <row r="20636">
      <c r="F20636" s="17"/>
    </row>
    <row r="20637">
      <c r="F20637" s="17"/>
    </row>
    <row r="20638">
      <c r="F20638" s="17"/>
    </row>
    <row r="20639">
      <c r="F20639" s="17"/>
    </row>
    <row r="20640">
      <c r="F20640" s="17"/>
    </row>
    <row r="20641">
      <c r="F20641" s="17"/>
    </row>
    <row r="20642">
      <c r="F20642" s="17"/>
    </row>
    <row r="20643">
      <c r="F20643" s="17"/>
    </row>
    <row r="20644">
      <c r="F20644" s="17"/>
    </row>
    <row r="20645">
      <c r="F20645" s="17"/>
    </row>
    <row r="20646">
      <c r="F20646" s="17"/>
    </row>
    <row r="20647">
      <c r="F20647" s="17"/>
    </row>
    <row r="20648">
      <c r="F20648" s="17"/>
    </row>
    <row r="20649">
      <c r="F20649" s="17"/>
    </row>
    <row r="20650">
      <c r="F20650" s="17"/>
    </row>
    <row r="20651">
      <c r="F20651" s="17"/>
    </row>
    <row r="20652">
      <c r="F20652" s="17"/>
    </row>
    <row r="20653">
      <c r="F20653" s="17"/>
    </row>
    <row r="20654">
      <c r="F20654" s="17"/>
    </row>
    <row r="20655">
      <c r="F20655" s="17"/>
    </row>
    <row r="20656">
      <c r="F20656" s="17"/>
    </row>
    <row r="20657">
      <c r="F20657" s="17"/>
    </row>
    <row r="20658">
      <c r="F20658" s="17"/>
    </row>
    <row r="20659">
      <c r="F20659" s="17"/>
    </row>
    <row r="20660">
      <c r="F20660" s="17"/>
    </row>
    <row r="20661">
      <c r="F20661" s="17"/>
    </row>
    <row r="20662">
      <c r="F20662" s="17"/>
    </row>
    <row r="20663">
      <c r="F20663" s="17"/>
    </row>
    <row r="20664">
      <c r="F20664" s="17"/>
    </row>
    <row r="20665">
      <c r="F20665" s="17"/>
    </row>
    <row r="20666">
      <c r="F20666" s="17"/>
    </row>
    <row r="20667">
      <c r="F20667" s="17"/>
    </row>
    <row r="20668">
      <c r="F20668" s="17"/>
    </row>
    <row r="20669">
      <c r="F20669" s="17"/>
    </row>
    <row r="20670">
      <c r="F20670" s="17"/>
    </row>
    <row r="20671">
      <c r="F20671" s="17"/>
    </row>
    <row r="20672">
      <c r="F20672" s="17"/>
    </row>
    <row r="20673">
      <c r="F20673" s="17"/>
    </row>
    <row r="20674">
      <c r="F20674" s="17"/>
    </row>
    <row r="20675">
      <c r="F20675" s="17"/>
    </row>
    <row r="20676">
      <c r="F20676" s="17"/>
    </row>
    <row r="20677">
      <c r="F20677" s="17"/>
    </row>
    <row r="20678">
      <c r="F20678" s="17"/>
    </row>
    <row r="20679">
      <c r="F20679" s="17"/>
    </row>
    <row r="20680">
      <c r="F20680" s="17"/>
    </row>
    <row r="20681">
      <c r="F20681" s="17"/>
    </row>
    <row r="20682">
      <c r="F20682" s="17"/>
    </row>
    <row r="20683">
      <c r="F20683" s="17"/>
    </row>
    <row r="20684">
      <c r="F20684" s="17"/>
    </row>
    <row r="20685">
      <c r="F20685" s="17"/>
    </row>
    <row r="20686">
      <c r="F20686" s="17"/>
    </row>
    <row r="20687">
      <c r="F20687" s="17"/>
    </row>
    <row r="20688">
      <c r="F20688" s="17"/>
    </row>
    <row r="20689">
      <c r="F20689" s="17"/>
    </row>
    <row r="20690">
      <c r="F20690" s="17"/>
    </row>
    <row r="20691">
      <c r="F20691" s="17"/>
    </row>
    <row r="20692">
      <c r="F20692" s="17"/>
    </row>
    <row r="20693">
      <c r="F20693" s="17"/>
    </row>
    <row r="20694">
      <c r="F20694" s="17"/>
    </row>
    <row r="20695">
      <c r="F20695" s="17"/>
    </row>
    <row r="20696">
      <c r="F20696" s="17"/>
    </row>
    <row r="20697">
      <c r="F20697" s="17"/>
    </row>
    <row r="20698">
      <c r="F20698" s="17"/>
    </row>
    <row r="20699">
      <c r="F20699" s="17"/>
    </row>
    <row r="20700">
      <c r="F20700" s="17"/>
    </row>
    <row r="20701">
      <c r="F20701" s="17"/>
    </row>
    <row r="20702">
      <c r="F20702" s="17"/>
    </row>
    <row r="20703">
      <c r="F20703" s="17"/>
    </row>
    <row r="20704">
      <c r="F20704" s="17"/>
    </row>
    <row r="20705">
      <c r="F20705" s="17"/>
    </row>
    <row r="20706">
      <c r="F20706" s="17"/>
    </row>
    <row r="20707">
      <c r="F20707" s="17"/>
    </row>
    <row r="20708">
      <c r="F20708" s="17"/>
    </row>
    <row r="20709">
      <c r="F20709" s="17"/>
    </row>
    <row r="20710">
      <c r="F20710" s="17"/>
    </row>
    <row r="20711">
      <c r="F20711" s="17"/>
    </row>
    <row r="20712">
      <c r="F20712" s="17"/>
    </row>
    <row r="20713">
      <c r="F20713" s="17"/>
    </row>
    <row r="20714">
      <c r="F20714" s="17"/>
    </row>
    <row r="20715">
      <c r="F20715" s="17"/>
    </row>
    <row r="20716">
      <c r="F20716" s="17"/>
    </row>
    <row r="20717">
      <c r="F20717" s="17"/>
    </row>
    <row r="20718">
      <c r="F20718" s="17"/>
    </row>
    <row r="20719">
      <c r="F20719" s="17"/>
    </row>
    <row r="20720">
      <c r="F20720" s="17"/>
    </row>
    <row r="20721">
      <c r="F20721" s="17"/>
    </row>
    <row r="20722">
      <c r="F20722" s="17"/>
    </row>
    <row r="20723">
      <c r="F20723" s="17"/>
    </row>
    <row r="20724">
      <c r="F20724" s="17"/>
    </row>
    <row r="20725">
      <c r="F20725" s="17"/>
    </row>
    <row r="20726">
      <c r="F20726" s="17"/>
    </row>
    <row r="20727">
      <c r="F20727" s="17"/>
    </row>
    <row r="20728">
      <c r="F20728" s="17"/>
    </row>
    <row r="20729">
      <c r="F20729" s="17"/>
    </row>
    <row r="20730">
      <c r="F20730" s="17"/>
    </row>
    <row r="20731">
      <c r="F20731" s="17"/>
    </row>
    <row r="20732">
      <c r="F20732" s="17"/>
    </row>
    <row r="20733">
      <c r="F20733" s="17"/>
    </row>
    <row r="20734">
      <c r="F20734" s="17"/>
    </row>
    <row r="20735">
      <c r="F20735" s="17"/>
    </row>
    <row r="20736">
      <c r="F20736" s="17"/>
    </row>
    <row r="20737">
      <c r="F20737" s="17"/>
    </row>
    <row r="20738">
      <c r="F20738" s="17"/>
    </row>
    <row r="20739">
      <c r="F20739" s="17"/>
    </row>
    <row r="20740">
      <c r="F20740" s="17"/>
    </row>
    <row r="20741">
      <c r="F20741" s="17"/>
    </row>
    <row r="20742">
      <c r="F20742" s="17"/>
    </row>
    <row r="20743">
      <c r="F20743" s="17"/>
    </row>
    <row r="20744">
      <c r="F20744" s="17"/>
    </row>
    <row r="20745">
      <c r="F20745" s="17"/>
    </row>
    <row r="20746">
      <c r="F20746" s="17"/>
    </row>
    <row r="20747">
      <c r="F20747" s="17"/>
    </row>
    <row r="20748">
      <c r="F20748" s="17"/>
    </row>
    <row r="20749">
      <c r="F20749" s="17"/>
    </row>
    <row r="20750">
      <c r="F20750" s="17"/>
    </row>
    <row r="20751">
      <c r="F20751" s="17"/>
    </row>
    <row r="20752">
      <c r="F20752" s="17"/>
    </row>
    <row r="20753">
      <c r="F20753" s="17"/>
    </row>
    <row r="20754">
      <c r="F20754" s="17"/>
    </row>
    <row r="20755">
      <c r="F20755" s="17"/>
    </row>
    <row r="20756">
      <c r="F20756" s="17"/>
    </row>
    <row r="20757">
      <c r="F20757" s="17"/>
    </row>
    <row r="20758">
      <c r="F20758" s="17"/>
    </row>
    <row r="20759">
      <c r="F20759" s="17"/>
    </row>
    <row r="20760">
      <c r="F20760" s="17"/>
    </row>
    <row r="20761">
      <c r="F20761" s="17"/>
    </row>
    <row r="20762">
      <c r="F20762" s="17"/>
    </row>
    <row r="20763">
      <c r="F20763" s="17"/>
    </row>
    <row r="20764">
      <c r="F20764" s="17"/>
    </row>
    <row r="20765">
      <c r="F20765" s="17"/>
    </row>
    <row r="20766">
      <c r="F20766" s="17"/>
    </row>
    <row r="20767">
      <c r="F20767" s="17"/>
    </row>
    <row r="20768">
      <c r="F20768" s="17"/>
    </row>
    <row r="20769">
      <c r="F20769" s="17"/>
    </row>
    <row r="20770">
      <c r="F20770" s="17"/>
    </row>
    <row r="20771">
      <c r="F20771" s="17"/>
    </row>
    <row r="20772">
      <c r="F20772" s="17"/>
    </row>
    <row r="20773">
      <c r="F20773" s="17"/>
    </row>
    <row r="20774">
      <c r="F20774" s="17"/>
    </row>
    <row r="20775">
      <c r="F20775" s="17"/>
    </row>
    <row r="20776">
      <c r="F20776" s="17"/>
    </row>
    <row r="20777">
      <c r="F20777" s="17"/>
    </row>
    <row r="20778">
      <c r="F20778" s="17"/>
    </row>
    <row r="20779">
      <c r="F20779" s="17"/>
    </row>
    <row r="20780">
      <c r="F20780" s="17"/>
    </row>
    <row r="20781">
      <c r="F20781" s="17"/>
    </row>
    <row r="20782">
      <c r="F20782" s="17"/>
    </row>
    <row r="20783">
      <c r="F20783" s="17"/>
    </row>
    <row r="20784">
      <c r="F20784" s="17"/>
    </row>
    <row r="20785">
      <c r="F20785" s="17"/>
    </row>
    <row r="20786">
      <c r="F20786" s="17"/>
    </row>
    <row r="20787">
      <c r="F20787" s="17"/>
    </row>
    <row r="20788">
      <c r="F20788" s="17"/>
    </row>
    <row r="20789">
      <c r="F20789" s="17"/>
    </row>
    <row r="20790">
      <c r="F20790" s="17"/>
    </row>
    <row r="20791">
      <c r="F20791" s="17"/>
    </row>
    <row r="20792">
      <c r="F20792" s="17"/>
    </row>
    <row r="20793">
      <c r="F20793" s="17"/>
    </row>
    <row r="20794">
      <c r="F20794" s="17"/>
    </row>
    <row r="20795">
      <c r="F20795" s="17"/>
    </row>
    <row r="20796">
      <c r="F20796" s="17"/>
    </row>
    <row r="20797">
      <c r="F20797" s="17"/>
    </row>
    <row r="20798">
      <c r="F20798" s="17"/>
    </row>
    <row r="20799">
      <c r="F20799" s="17"/>
    </row>
    <row r="20800">
      <c r="F20800" s="17"/>
    </row>
    <row r="20801">
      <c r="F20801" s="17"/>
    </row>
    <row r="20802">
      <c r="F20802" s="17"/>
    </row>
    <row r="20803">
      <c r="F20803" s="17"/>
    </row>
    <row r="20804">
      <c r="F20804" s="17"/>
    </row>
    <row r="20805">
      <c r="F20805" s="17"/>
    </row>
    <row r="20806">
      <c r="F20806" s="17"/>
    </row>
    <row r="20807">
      <c r="F20807" s="17"/>
    </row>
    <row r="20808">
      <c r="F20808" s="17"/>
    </row>
    <row r="20809">
      <c r="F20809" s="17"/>
    </row>
    <row r="20810">
      <c r="F20810" s="17"/>
    </row>
    <row r="20811">
      <c r="F20811" s="17"/>
    </row>
    <row r="20812">
      <c r="F20812" s="17"/>
    </row>
    <row r="20813">
      <c r="F20813" s="17"/>
    </row>
    <row r="20814">
      <c r="F20814" s="17"/>
    </row>
    <row r="20815">
      <c r="F20815" s="17"/>
    </row>
    <row r="20816">
      <c r="F20816" s="17"/>
    </row>
    <row r="20817">
      <c r="F20817" s="17"/>
    </row>
    <row r="20818">
      <c r="F20818" s="17"/>
    </row>
    <row r="20819">
      <c r="F20819" s="17"/>
    </row>
    <row r="20820">
      <c r="F20820" s="17"/>
    </row>
    <row r="20821">
      <c r="F20821" s="17"/>
    </row>
    <row r="20822">
      <c r="F20822" s="17"/>
    </row>
    <row r="20823">
      <c r="F20823" s="17"/>
    </row>
    <row r="20824">
      <c r="F20824" s="17"/>
    </row>
    <row r="20825">
      <c r="F20825" s="17"/>
    </row>
    <row r="20826">
      <c r="F20826" s="17"/>
    </row>
    <row r="20827">
      <c r="F20827" s="17"/>
    </row>
    <row r="20828">
      <c r="F20828" s="17"/>
    </row>
    <row r="20829">
      <c r="F20829" s="17"/>
    </row>
    <row r="20830">
      <c r="F20830" s="17"/>
    </row>
    <row r="20831">
      <c r="F20831" s="17"/>
    </row>
    <row r="20832">
      <c r="F20832" s="17"/>
    </row>
    <row r="20833">
      <c r="F20833" s="17"/>
    </row>
    <row r="20834">
      <c r="F20834" s="17"/>
    </row>
    <row r="20835">
      <c r="F20835" s="17"/>
    </row>
    <row r="20836">
      <c r="F20836" s="17"/>
    </row>
    <row r="20837">
      <c r="F20837" s="17"/>
    </row>
    <row r="20838">
      <c r="F20838" s="17"/>
    </row>
    <row r="20839">
      <c r="F20839" s="17"/>
    </row>
    <row r="20840">
      <c r="F20840" s="17"/>
    </row>
    <row r="20841">
      <c r="F20841" s="17"/>
    </row>
    <row r="20842">
      <c r="F20842" s="17"/>
    </row>
    <row r="20843">
      <c r="F20843" s="17"/>
    </row>
    <row r="20844">
      <c r="F20844" s="17"/>
    </row>
    <row r="20845">
      <c r="F20845" s="17"/>
    </row>
    <row r="20846">
      <c r="F20846" s="17"/>
    </row>
    <row r="20847">
      <c r="F20847" s="17"/>
    </row>
    <row r="20848">
      <c r="F20848" s="17"/>
    </row>
    <row r="20849">
      <c r="F20849" s="17"/>
    </row>
    <row r="20850">
      <c r="F20850" s="17"/>
    </row>
    <row r="20851">
      <c r="F20851" s="17"/>
    </row>
    <row r="20852">
      <c r="F20852" s="17"/>
    </row>
    <row r="20853">
      <c r="F20853" s="17"/>
    </row>
    <row r="20854">
      <c r="F20854" s="17"/>
    </row>
    <row r="20855">
      <c r="F20855" s="17"/>
    </row>
    <row r="20856">
      <c r="F20856" s="17"/>
    </row>
    <row r="20857">
      <c r="F20857" s="17"/>
    </row>
    <row r="20858">
      <c r="F20858" s="17"/>
    </row>
    <row r="20859">
      <c r="F20859" s="17"/>
    </row>
    <row r="20860">
      <c r="F20860" s="17"/>
    </row>
    <row r="20861">
      <c r="F20861" s="17"/>
    </row>
    <row r="20862">
      <c r="F20862" s="17"/>
    </row>
    <row r="20863">
      <c r="F20863" s="17"/>
    </row>
    <row r="20864">
      <c r="F20864" s="17"/>
    </row>
    <row r="20865">
      <c r="F20865" s="17"/>
    </row>
    <row r="20866">
      <c r="F20866" s="17"/>
    </row>
    <row r="20867">
      <c r="F20867" s="17"/>
    </row>
    <row r="20868">
      <c r="F20868" s="17"/>
    </row>
    <row r="20869">
      <c r="F20869" s="17"/>
    </row>
    <row r="20870">
      <c r="F20870" s="17"/>
    </row>
    <row r="20871">
      <c r="F20871" s="17"/>
    </row>
    <row r="20872">
      <c r="F20872" s="17"/>
    </row>
    <row r="20873">
      <c r="F20873" s="17"/>
    </row>
    <row r="20874">
      <c r="F20874" s="17"/>
    </row>
    <row r="20875">
      <c r="F20875" s="17"/>
    </row>
    <row r="20876">
      <c r="F20876" s="17"/>
    </row>
    <row r="20877">
      <c r="F20877" s="17"/>
    </row>
    <row r="20878">
      <c r="F20878" s="17"/>
    </row>
    <row r="20879">
      <c r="F20879" s="17"/>
    </row>
    <row r="20880">
      <c r="F20880" s="17"/>
    </row>
    <row r="20881">
      <c r="F20881" s="17"/>
    </row>
    <row r="20882">
      <c r="F20882" s="17"/>
    </row>
    <row r="20883">
      <c r="F20883" s="17"/>
    </row>
    <row r="20884">
      <c r="F20884" s="17"/>
    </row>
    <row r="20885">
      <c r="F20885" s="17"/>
    </row>
    <row r="20886">
      <c r="F20886" s="17"/>
    </row>
    <row r="20887">
      <c r="F20887" s="17"/>
    </row>
    <row r="20888">
      <c r="F20888" s="17"/>
    </row>
    <row r="20889">
      <c r="F20889" s="17"/>
    </row>
    <row r="20890">
      <c r="F20890" s="17"/>
    </row>
    <row r="20891">
      <c r="F20891" s="17"/>
    </row>
    <row r="20892">
      <c r="F20892" s="17"/>
    </row>
    <row r="20893">
      <c r="F20893" s="17"/>
    </row>
    <row r="20894">
      <c r="F20894" s="17"/>
    </row>
    <row r="20895">
      <c r="F20895" s="17"/>
    </row>
    <row r="20896">
      <c r="F20896" s="17"/>
    </row>
    <row r="20897">
      <c r="F20897" s="17"/>
    </row>
    <row r="20898">
      <c r="F20898" s="17"/>
    </row>
    <row r="20899">
      <c r="F20899" s="17"/>
    </row>
    <row r="20900">
      <c r="F20900" s="17"/>
    </row>
    <row r="20901">
      <c r="F20901" s="17"/>
    </row>
    <row r="20902">
      <c r="F20902" s="17"/>
    </row>
    <row r="20903">
      <c r="F20903" s="17"/>
    </row>
    <row r="20904">
      <c r="F20904" s="17"/>
    </row>
    <row r="20905">
      <c r="F20905" s="17"/>
    </row>
    <row r="20906">
      <c r="F20906" s="17"/>
    </row>
    <row r="20907">
      <c r="F20907" s="17"/>
    </row>
    <row r="20908">
      <c r="F20908" s="17"/>
    </row>
    <row r="20909">
      <c r="F20909" s="17"/>
    </row>
    <row r="20910">
      <c r="F20910" s="17"/>
    </row>
    <row r="20911">
      <c r="F20911" s="17"/>
    </row>
    <row r="20912">
      <c r="F20912" s="17"/>
    </row>
    <row r="20913">
      <c r="F20913" s="17"/>
    </row>
    <row r="20914">
      <c r="F20914" s="17"/>
    </row>
    <row r="20915">
      <c r="F20915" s="17"/>
    </row>
    <row r="20916">
      <c r="F20916" s="17"/>
    </row>
    <row r="20917">
      <c r="F20917" s="17"/>
    </row>
    <row r="20918">
      <c r="F20918" s="17"/>
    </row>
    <row r="20919">
      <c r="F20919" s="17"/>
    </row>
    <row r="20920">
      <c r="F20920" s="17"/>
    </row>
    <row r="20921">
      <c r="F20921" s="17"/>
    </row>
    <row r="20922">
      <c r="F20922" s="17"/>
    </row>
    <row r="20923">
      <c r="F20923" s="17"/>
    </row>
    <row r="20924">
      <c r="F20924" s="17"/>
    </row>
    <row r="20925">
      <c r="F20925" s="17"/>
    </row>
    <row r="20926">
      <c r="F20926" s="17"/>
    </row>
    <row r="20927">
      <c r="F20927" s="17"/>
    </row>
    <row r="20928">
      <c r="F20928" s="17"/>
    </row>
    <row r="20929">
      <c r="F20929" s="17"/>
    </row>
    <row r="20930">
      <c r="F20930" s="17"/>
    </row>
    <row r="20931">
      <c r="F20931" s="17"/>
    </row>
    <row r="20932">
      <c r="F20932" s="17"/>
    </row>
    <row r="20933">
      <c r="F20933" s="17"/>
    </row>
    <row r="20934">
      <c r="F20934" s="17"/>
    </row>
    <row r="20935">
      <c r="F20935" s="17"/>
    </row>
    <row r="20936">
      <c r="F20936" s="17"/>
    </row>
    <row r="20937">
      <c r="F20937" s="17"/>
    </row>
    <row r="20938">
      <c r="F20938" s="17"/>
    </row>
    <row r="20939">
      <c r="F20939" s="17"/>
    </row>
    <row r="20940">
      <c r="F20940" s="17"/>
    </row>
    <row r="20941">
      <c r="F20941" s="17"/>
    </row>
    <row r="20942">
      <c r="F20942" s="17"/>
    </row>
    <row r="20943">
      <c r="F20943" s="17"/>
    </row>
    <row r="20944">
      <c r="F20944" s="17"/>
    </row>
    <row r="20945">
      <c r="F20945" s="17"/>
    </row>
    <row r="20946">
      <c r="F20946" s="17"/>
    </row>
    <row r="20947">
      <c r="F20947" s="17"/>
    </row>
    <row r="20948">
      <c r="F20948" s="17"/>
    </row>
    <row r="20949">
      <c r="F20949" s="17"/>
    </row>
    <row r="20950">
      <c r="F20950" s="17"/>
    </row>
    <row r="20951">
      <c r="F20951" s="17"/>
    </row>
    <row r="20952">
      <c r="F20952" s="17"/>
    </row>
    <row r="20953">
      <c r="F20953" s="17"/>
    </row>
    <row r="20954">
      <c r="F20954" s="17"/>
    </row>
    <row r="20955">
      <c r="F20955" s="17"/>
    </row>
    <row r="20956">
      <c r="F20956" s="17"/>
    </row>
    <row r="20957">
      <c r="F20957" s="17"/>
    </row>
    <row r="20958">
      <c r="F20958" s="17"/>
    </row>
    <row r="20959">
      <c r="F20959" s="17"/>
    </row>
    <row r="20960">
      <c r="F20960" s="17"/>
    </row>
    <row r="20961">
      <c r="F20961" s="17"/>
    </row>
    <row r="20962">
      <c r="F20962" s="17"/>
    </row>
    <row r="20963">
      <c r="F20963" s="17"/>
    </row>
    <row r="20964">
      <c r="F20964" s="17"/>
    </row>
    <row r="20965">
      <c r="F20965" s="17"/>
    </row>
    <row r="20966">
      <c r="F20966" s="17"/>
    </row>
    <row r="20967">
      <c r="F20967" s="17"/>
    </row>
    <row r="20968">
      <c r="F20968" s="17"/>
    </row>
    <row r="20969">
      <c r="F20969" s="17"/>
    </row>
    <row r="20970">
      <c r="F20970" s="17"/>
    </row>
    <row r="20971">
      <c r="F20971" s="17"/>
    </row>
    <row r="20972">
      <c r="F20972" s="17"/>
    </row>
    <row r="20973">
      <c r="F20973" s="17"/>
    </row>
    <row r="20974">
      <c r="F20974" s="17"/>
    </row>
    <row r="20975">
      <c r="F20975" s="17"/>
    </row>
    <row r="20976">
      <c r="F20976" s="17"/>
    </row>
    <row r="20977">
      <c r="F20977" s="17"/>
    </row>
    <row r="20978">
      <c r="F20978" s="17"/>
    </row>
    <row r="20979">
      <c r="F20979" s="17"/>
    </row>
    <row r="20980">
      <c r="F20980" s="17"/>
    </row>
    <row r="20981">
      <c r="F20981" s="17"/>
    </row>
    <row r="20982">
      <c r="F20982" s="17"/>
    </row>
    <row r="20983">
      <c r="F20983" s="17"/>
    </row>
    <row r="20984">
      <c r="F20984" s="17"/>
    </row>
    <row r="20985">
      <c r="F20985" s="17"/>
    </row>
    <row r="20986">
      <c r="F20986" s="17"/>
    </row>
    <row r="20987">
      <c r="F20987" s="17"/>
    </row>
    <row r="20988">
      <c r="F20988" s="17"/>
    </row>
    <row r="20989">
      <c r="F20989" s="17"/>
    </row>
    <row r="20990">
      <c r="F20990" s="17"/>
    </row>
    <row r="20991">
      <c r="F20991" s="17"/>
    </row>
    <row r="20992">
      <c r="F20992" s="17"/>
    </row>
    <row r="20993">
      <c r="F20993" s="17"/>
    </row>
    <row r="20994">
      <c r="F20994" s="17"/>
    </row>
    <row r="20995">
      <c r="F20995" s="17"/>
    </row>
    <row r="20996">
      <c r="F20996" s="17"/>
    </row>
    <row r="20997">
      <c r="F20997" s="17"/>
    </row>
    <row r="20998">
      <c r="F20998" s="17"/>
    </row>
    <row r="20999">
      <c r="F20999" s="17"/>
    </row>
    <row r="21000">
      <c r="F21000" s="17"/>
    </row>
    <row r="21001">
      <c r="F21001" s="17"/>
    </row>
    <row r="21002">
      <c r="F21002" s="17"/>
    </row>
    <row r="21003">
      <c r="F21003" s="17"/>
    </row>
    <row r="21004">
      <c r="F21004" s="17"/>
    </row>
    <row r="21005">
      <c r="F21005" s="17"/>
    </row>
    <row r="21006">
      <c r="F21006" s="17"/>
    </row>
    <row r="21007">
      <c r="F21007" s="17"/>
    </row>
    <row r="21008">
      <c r="F21008" s="17"/>
    </row>
    <row r="21009">
      <c r="F21009" s="17"/>
    </row>
    <row r="21010">
      <c r="F21010" s="17"/>
    </row>
    <row r="21011">
      <c r="F21011" s="17"/>
    </row>
    <row r="21012">
      <c r="F21012" s="17"/>
    </row>
    <row r="21013">
      <c r="F21013" s="17"/>
    </row>
    <row r="21014">
      <c r="F21014" s="17"/>
    </row>
    <row r="21015">
      <c r="F21015" s="17"/>
    </row>
    <row r="21016">
      <c r="F21016" s="17"/>
    </row>
    <row r="21017">
      <c r="F21017" s="17"/>
    </row>
    <row r="21018">
      <c r="F21018" s="17"/>
    </row>
    <row r="21019">
      <c r="F21019" s="17"/>
    </row>
    <row r="21020">
      <c r="F21020" s="17"/>
    </row>
    <row r="21021">
      <c r="F21021" s="17"/>
    </row>
    <row r="21022">
      <c r="F21022" s="17"/>
    </row>
    <row r="21023">
      <c r="F21023" s="17"/>
    </row>
    <row r="21024">
      <c r="F21024" s="17"/>
    </row>
    <row r="21025">
      <c r="F21025" s="17"/>
    </row>
    <row r="21026">
      <c r="F21026" s="17"/>
    </row>
    <row r="21027">
      <c r="F21027" s="17"/>
    </row>
    <row r="21028">
      <c r="F21028" s="17"/>
    </row>
    <row r="21029">
      <c r="F21029" s="17"/>
    </row>
    <row r="21030">
      <c r="F21030" s="17"/>
    </row>
    <row r="21031">
      <c r="F21031" s="17"/>
    </row>
    <row r="21032">
      <c r="F21032" s="17"/>
    </row>
    <row r="21033">
      <c r="F21033" s="17"/>
    </row>
    <row r="21034">
      <c r="F21034" s="17"/>
    </row>
    <row r="21035">
      <c r="F21035" s="17"/>
    </row>
    <row r="21036">
      <c r="F21036" s="17"/>
    </row>
    <row r="21037">
      <c r="F21037" s="17"/>
    </row>
    <row r="21038">
      <c r="F21038" s="17"/>
    </row>
    <row r="21039">
      <c r="F21039" s="17"/>
    </row>
    <row r="21040">
      <c r="F21040" s="17"/>
    </row>
    <row r="21041">
      <c r="F21041" s="17"/>
    </row>
    <row r="21042">
      <c r="F21042" s="17"/>
    </row>
    <row r="21043">
      <c r="F21043" s="17"/>
    </row>
    <row r="21044">
      <c r="F21044" s="17"/>
    </row>
    <row r="21045">
      <c r="F21045" s="17"/>
    </row>
    <row r="21046">
      <c r="F21046" s="17"/>
    </row>
    <row r="21047">
      <c r="F21047" s="17"/>
    </row>
    <row r="21048">
      <c r="F21048" s="17"/>
    </row>
    <row r="21049">
      <c r="F21049" s="17"/>
    </row>
    <row r="21050">
      <c r="F21050" s="17"/>
    </row>
    <row r="21051">
      <c r="F21051" s="17"/>
    </row>
    <row r="21052">
      <c r="F21052" s="17"/>
    </row>
    <row r="21053">
      <c r="F21053" s="17"/>
    </row>
    <row r="21054">
      <c r="F21054" s="17"/>
    </row>
    <row r="21055">
      <c r="F21055" s="17"/>
    </row>
    <row r="21056">
      <c r="F21056" s="17"/>
    </row>
    <row r="21057">
      <c r="F21057" s="17"/>
    </row>
    <row r="21058">
      <c r="F21058" s="17"/>
    </row>
    <row r="21059">
      <c r="F21059" s="17"/>
    </row>
    <row r="21060">
      <c r="F21060" s="17"/>
    </row>
    <row r="21061">
      <c r="F21061" s="17"/>
    </row>
    <row r="21062">
      <c r="F21062" s="17"/>
    </row>
    <row r="21063">
      <c r="F21063" s="17"/>
    </row>
    <row r="21064">
      <c r="F21064" s="17"/>
    </row>
    <row r="21065">
      <c r="F21065" s="17"/>
    </row>
    <row r="21066">
      <c r="F21066" s="17"/>
    </row>
    <row r="21067">
      <c r="F21067" s="17"/>
    </row>
    <row r="21068">
      <c r="F21068" s="17"/>
    </row>
    <row r="21069">
      <c r="F21069" s="17"/>
    </row>
    <row r="21070">
      <c r="F21070" s="17"/>
    </row>
    <row r="21071">
      <c r="F21071" s="17"/>
    </row>
    <row r="21072">
      <c r="F21072" s="17"/>
    </row>
    <row r="21073">
      <c r="F21073" s="17"/>
    </row>
    <row r="21074">
      <c r="F21074" s="17"/>
    </row>
    <row r="21075">
      <c r="F21075" s="17"/>
    </row>
    <row r="21076">
      <c r="F21076" s="17"/>
    </row>
    <row r="21077">
      <c r="F21077" s="17"/>
    </row>
    <row r="21078">
      <c r="F21078" s="17"/>
    </row>
    <row r="21079">
      <c r="F21079" s="17"/>
    </row>
    <row r="21080">
      <c r="F21080" s="17"/>
    </row>
    <row r="21081">
      <c r="F21081" s="17"/>
    </row>
    <row r="21082">
      <c r="F21082" s="17"/>
    </row>
    <row r="21083">
      <c r="F21083" s="17"/>
    </row>
    <row r="21084">
      <c r="F21084" s="17"/>
    </row>
    <row r="21085">
      <c r="F21085" s="17"/>
    </row>
    <row r="21086">
      <c r="F21086" s="17"/>
    </row>
    <row r="21087">
      <c r="F21087" s="17"/>
    </row>
    <row r="21088">
      <c r="F21088" s="17"/>
    </row>
    <row r="21089">
      <c r="F21089" s="17"/>
    </row>
    <row r="21090">
      <c r="F21090" s="17"/>
    </row>
    <row r="21091">
      <c r="F21091" s="17"/>
    </row>
    <row r="21092">
      <c r="F21092" s="17"/>
    </row>
    <row r="21093">
      <c r="F21093" s="17"/>
    </row>
    <row r="21094">
      <c r="F21094" s="17"/>
    </row>
    <row r="21095">
      <c r="F21095" s="17"/>
    </row>
    <row r="21096">
      <c r="F21096" s="17"/>
    </row>
    <row r="21097">
      <c r="F21097" s="17"/>
    </row>
    <row r="21098">
      <c r="F21098" s="17"/>
    </row>
    <row r="21099">
      <c r="F21099" s="17"/>
    </row>
    <row r="21100">
      <c r="F21100" s="17"/>
    </row>
    <row r="21101">
      <c r="F21101" s="17"/>
    </row>
    <row r="21102">
      <c r="F21102" s="17"/>
    </row>
    <row r="21103">
      <c r="F21103" s="17"/>
    </row>
    <row r="21104">
      <c r="F21104" s="17"/>
    </row>
    <row r="21105">
      <c r="F21105" s="17"/>
    </row>
    <row r="21106">
      <c r="F21106" s="17"/>
    </row>
    <row r="21107">
      <c r="F21107" s="17"/>
    </row>
    <row r="21108">
      <c r="F21108" s="17"/>
    </row>
    <row r="21109">
      <c r="F21109" s="17"/>
    </row>
    <row r="21110">
      <c r="F21110" s="17"/>
    </row>
    <row r="21111">
      <c r="F21111" s="17"/>
    </row>
    <row r="21112">
      <c r="F21112" s="17"/>
    </row>
    <row r="21113">
      <c r="F21113" s="17"/>
    </row>
    <row r="21114">
      <c r="F21114" s="17"/>
    </row>
    <row r="21115">
      <c r="F21115" s="17"/>
    </row>
    <row r="21116">
      <c r="F21116" s="17"/>
    </row>
    <row r="21117">
      <c r="F21117" s="17"/>
    </row>
    <row r="21118">
      <c r="F21118" s="17"/>
    </row>
    <row r="21119">
      <c r="F21119" s="17"/>
    </row>
    <row r="21120">
      <c r="F21120" s="17"/>
    </row>
    <row r="21121">
      <c r="F21121" s="17"/>
    </row>
    <row r="21122">
      <c r="F21122" s="17"/>
    </row>
    <row r="21123">
      <c r="F21123" s="17"/>
    </row>
    <row r="21124">
      <c r="F21124" s="17"/>
    </row>
    <row r="21125">
      <c r="F21125" s="17"/>
    </row>
    <row r="21126">
      <c r="F21126" s="17"/>
    </row>
    <row r="21127">
      <c r="F21127" s="17"/>
    </row>
    <row r="21128">
      <c r="F21128" s="17"/>
    </row>
    <row r="21129">
      <c r="F21129" s="17"/>
    </row>
    <row r="21130">
      <c r="F21130" s="17"/>
    </row>
    <row r="21131">
      <c r="F21131" s="17"/>
    </row>
    <row r="21132">
      <c r="F21132" s="17"/>
    </row>
    <row r="21133">
      <c r="F21133" s="17"/>
    </row>
    <row r="21134">
      <c r="F21134" s="17"/>
    </row>
    <row r="21135">
      <c r="F21135" s="17"/>
    </row>
    <row r="21136">
      <c r="F21136" s="17"/>
    </row>
    <row r="21137">
      <c r="F21137" s="17"/>
    </row>
    <row r="21138">
      <c r="F21138" s="17"/>
    </row>
    <row r="21139">
      <c r="F21139" s="17"/>
    </row>
    <row r="21140">
      <c r="F21140" s="17"/>
    </row>
    <row r="21141">
      <c r="F21141" s="17"/>
    </row>
    <row r="21142">
      <c r="F21142" s="17"/>
    </row>
    <row r="21143">
      <c r="F21143" s="17"/>
    </row>
    <row r="21144">
      <c r="F21144" s="17"/>
    </row>
    <row r="21145">
      <c r="F21145" s="17"/>
    </row>
    <row r="21146">
      <c r="F21146" s="17"/>
    </row>
    <row r="21147">
      <c r="F21147" s="17"/>
    </row>
    <row r="21148">
      <c r="F21148" s="17"/>
    </row>
    <row r="21149">
      <c r="F21149" s="17"/>
    </row>
    <row r="21150">
      <c r="F21150" s="17"/>
    </row>
    <row r="21151">
      <c r="F21151" s="17"/>
    </row>
    <row r="21152">
      <c r="F21152" s="17"/>
    </row>
    <row r="21153">
      <c r="F21153" s="17"/>
    </row>
    <row r="21154">
      <c r="F21154" s="17"/>
    </row>
    <row r="21155">
      <c r="F21155" s="17"/>
    </row>
    <row r="21156">
      <c r="F21156" s="17"/>
    </row>
    <row r="21157">
      <c r="F21157" s="17"/>
    </row>
    <row r="21158">
      <c r="F21158" s="17"/>
    </row>
    <row r="21159">
      <c r="F21159" s="17"/>
    </row>
    <row r="21160">
      <c r="F21160" s="17"/>
    </row>
    <row r="21161">
      <c r="F21161" s="17"/>
    </row>
    <row r="21162">
      <c r="F21162" s="17"/>
    </row>
    <row r="21163">
      <c r="F21163" s="17"/>
    </row>
    <row r="21164">
      <c r="F21164" s="17"/>
    </row>
    <row r="21165">
      <c r="F21165" s="17"/>
    </row>
    <row r="21166">
      <c r="F21166" s="17"/>
    </row>
    <row r="21167">
      <c r="F21167" s="17"/>
    </row>
    <row r="21168">
      <c r="F21168" s="17"/>
    </row>
    <row r="21169">
      <c r="F21169" s="17"/>
    </row>
    <row r="21170">
      <c r="F21170" s="17"/>
    </row>
    <row r="21171">
      <c r="F21171" s="17"/>
    </row>
    <row r="21172">
      <c r="F21172" s="17"/>
    </row>
    <row r="21173">
      <c r="F21173" s="17"/>
    </row>
    <row r="21174">
      <c r="F21174" s="17"/>
    </row>
    <row r="21175">
      <c r="F21175" s="17"/>
    </row>
    <row r="21176">
      <c r="F21176" s="17"/>
    </row>
    <row r="21177">
      <c r="F21177" s="17"/>
    </row>
    <row r="21178">
      <c r="F21178" s="17"/>
    </row>
    <row r="21179">
      <c r="F21179" s="17"/>
    </row>
    <row r="21180">
      <c r="F21180" s="17"/>
    </row>
    <row r="21181">
      <c r="F21181" s="17"/>
    </row>
    <row r="21182">
      <c r="F21182" s="17"/>
    </row>
    <row r="21183">
      <c r="F21183" s="17"/>
    </row>
    <row r="21184">
      <c r="F21184" s="17"/>
    </row>
    <row r="21185">
      <c r="F21185" s="17"/>
    </row>
    <row r="21186">
      <c r="F21186" s="17"/>
    </row>
    <row r="21187">
      <c r="F21187" s="17"/>
    </row>
    <row r="21188">
      <c r="F21188" s="17"/>
    </row>
    <row r="21189">
      <c r="F21189" s="17"/>
    </row>
    <row r="21190">
      <c r="F21190" s="17"/>
    </row>
    <row r="21191">
      <c r="F21191" s="17"/>
    </row>
    <row r="21192">
      <c r="F21192" s="17"/>
    </row>
    <row r="21193">
      <c r="F21193" s="17"/>
    </row>
    <row r="21194">
      <c r="F21194" s="17"/>
    </row>
    <row r="21195">
      <c r="F21195" s="17"/>
    </row>
    <row r="21196">
      <c r="F21196" s="17"/>
    </row>
    <row r="21197">
      <c r="F21197" s="17"/>
    </row>
    <row r="21198">
      <c r="F21198" s="17"/>
    </row>
    <row r="21199">
      <c r="F21199" s="17"/>
    </row>
    <row r="21200">
      <c r="F21200" s="17"/>
    </row>
    <row r="21201">
      <c r="F21201" s="17"/>
    </row>
    <row r="21202">
      <c r="F21202" s="17"/>
    </row>
    <row r="21203">
      <c r="F21203" s="17"/>
    </row>
    <row r="21204">
      <c r="F21204" s="17"/>
    </row>
    <row r="21205">
      <c r="F21205" s="17"/>
    </row>
    <row r="21206">
      <c r="F21206" s="17"/>
    </row>
    <row r="21207">
      <c r="F21207" s="17"/>
    </row>
    <row r="21208">
      <c r="F21208" s="17"/>
    </row>
    <row r="21209">
      <c r="F21209" s="17"/>
    </row>
    <row r="21210">
      <c r="F21210" s="17"/>
    </row>
    <row r="21211">
      <c r="F21211" s="17"/>
    </row>
    <row r="21212">
      <c r="F21212" s="17"/>
    </row>
    <row r="21213">
      <c r="F21213" s="17"/>
    </row>
    <row r="21214">
      <c r="F21214" s="17"/>
    </row>
    <row r="21215">
      <c r="F21215" s="17"/>
    </row>
    <row r="21216">
      <c r="F21216" s="17"/>
    </row>
    <row r="21217">
      <c r="F21217" s="17"/>
    </row>
    <row r="21218">
      <c r="F21218" s="17"/>
    </row>
    <row r="21219">
      <c r="F21219" s="17"/>
    </row>
    <row r="21220">
      <c r="F21220" s="17"/>
    </row>
    <row r="21221">
      <c r="F21221" s="17"/>
    </row>
    <row r="21222">
      <c r="F21222" s="17"/>
    </row>
    <row r="21223">
      <c r="F21223" s="17"/>
    </row>
    <row r="21224">
      <c r="F21224" s="17"/>
    </row>
    <row r="21225">
      <c r="F21225" s="17"/>
    </row>
    <row r="21226">
      <c r="F21226" s="17"/>
    </row>
    <row r="21227">
      <c r="F21227" s="17"/>
    </row>
    <row r="21228">
      <c r="F21228" s="17"/>
    </row>
    <row r="21229">
      <c r="F21229" s="17"/>
    </row>
    <row r="21230">
      <c r="F21230" s="17"/>
    </row>
    <row r="21231">
      <c r="F21231" s="17"/>
    </row>
    <row r="21232">
      <c r="F21232" s="17"/>
    </row>
    <row r="21233">
      <c r="F21233" s="17"/>
    </row>
    <row r="21234">
      <c r="F21234" s="17"/>
    </row>
    <row r="21235">
      <c r="F21235" s="17"/>
    </row>
    <row r="21236">
      <c r="F21236" s="17"/>
    </row>
    <row r="21237">
      <c r="F21237" s="17"/>
    </row>
    <row r="21238">
      <c r="F21238" s="17"/>
    </row>
    <row r="21239">
      <c r="F21239" s="17"/>
    </row>
    <row r="21240">
      <c r="F21240" s="17"/>
    </row>
    <row r="21241">
      <c r="F21241" s="17"/>
    </row>
    <row r="21242">
      <c r="F21242" s="17"/>
    </row>
    <row r="21243">
      <c r="F21243" s="17"/>
    </row>
    <row r="21244">
      <c r="F21244" s="17"/>
    </row>
    <row r="21245">
      <c r="F21245" s="17"/>
    </row>
    <row r="21246">
      <c r="F21246" s="17"/>
    </row>
    <row r="21247">
      <c r="F21247" s="17"/>
    </row>
    <row r="21248">
      <c r="F21248" s="17"/>
    </row>
    <row r="21249">
      <c r="F21249" s="17"/>
    </row>
    <row r="21250">
      <c r="F21250" s="17"/>
    </row>
    <row r="21251">
      <c r="F21251" s="17"/>
    </row>
    <row r="21252">
      <c r="F21252" s="17"/>
    </row>
    <row r="21253">
      <c r="F21253" s="17"/>
    </row>
    <row r="21254">
      <c r="F21254" s="17"/>
    </row>
    <row r="21255">
      <c r="F21255" s="17"/>
    </row>
    <row r="21256">
      <c r="F21256" s="17"/>
    </row>
    <row r="21257">
      <c r="F21257" s="17"/>
    </row>
    <row r="21258">
      <c r="F21258" s="17"/>
    </row>
    <row r="21259">
      <c r="F21259" s="17"/>
    </row>
    <row r="21260">
      <c r="F21260" s="17"/>
    </row>
    <row r="21261">
      <c r="F21261" s="17"/>
    </row>
    <row r="21262">
      <c r="F21262" s="17"/>
    </row>
    <row r="21263">
      <c r="F21263" s="17"/>
    </row>
    <row r="21264">
      <c r="F21264" s="17"/>
    </row>
    <row r="21265">
      <c r="F21265" s="17"/>
    </row>
    <row r="21266">
      <c r="F21266" s="17"/>
    </row>
    <row r="21267">
      <c r="F21267" s="17"/>
    </row>
    <row r="21268">
      <c r="F21268" s="17"/>
    </row>
    <row r="21269">
      <c r="F21269" s="17"/>
    </row>
    <row r="21270">
      <c r="F21270" s="17"/>
    </row>
    <row r="21271">
      <c r="F21271" s="17"/>
    </row>
    <row r="21272">
      <c r="F21272" s="17"/>
    </row>
    <row r="21273">
      <c r="F21273" s="17"/>
    </row>
    <row r="21274">
      <c r="F21274" s="17"/>
    </row>
    <row r="21275">
      <c r="F21275" s="17"/>
    </row>
    <row r="21276">
      <c r="F21276" s="17"/>
    </row>
    <row r="21277">
      <c r="F21277" s="17"/>
    </row>
    <row r="21278">
      <c r="F21278" s="17"/>
    </row>
    <row r="21279">
      <c r="F21279" s="17"/>
    </row>
    <row r="21280">
      <c r="F21280" s="17"/>
    </row>
    <row r="21281">
      <c r="F21281" s="17"/>
    </row>
    <row r="21282">
      <c r="F21282" s="17"/>
    </row>
    <row r="21283">
      <c r="F21283" s="17"/>
    </row>
    <row r="21284">
      <c r="F21284" s="17"/>
    </row>
    <row r="21285">
      <c r="F21285" s="17"/>
    </row>
    <row r="21286">
      <c r="F21286" s="17"/>
    </row>
    <row r="21287">
      <c r="F21287" s="17"/>
    </row>
    <row r="21288">
      <c r="F21288" s="17"/>
    </row>
    <row r="21289">
      <c r="F21289" s="17"/>
    </row>
    <row r="21290">
      <c r="F21290" s="17"/>
    </row>
    <row r="21291">
      <c r="F21291" s="17"/>
    </row>
    <row r="21292">
      <c r="F21292" s="17"/>
    </row>
    <row r="21293">
      <c r="F21293" s="17"/>
    </row>
    <row r="21294">
      <c r="F21294" s="17"/>
    </row>
    <row r="21295">
      <c r="F21295" s="17"/>
    </row>
    <row r="21296">
      <c r="F21296" s="17"/>
    </row>
    <row r="21297">
      <c r="F21297" s="17"/>
    </row>
    <row r="21298">
      <c r="F21298" s="17"/>
    </row>
    <row r="21299">
      <c r="F21299" s="17"/>
    </row>
    <row r="21300">
      <c r="F21300" s="17"/>
    </row>
    <row r="21301">
      <c r="F21301" s="17"/>
    </row>
    <row r="21302">
      <c r="F21302" s="17"/>
    </row>
    <row r="21303">
      <c r="F21303" s="17"/>
    </row>
    <row r="21304">
      <c r="F21304" s="17"/>
    </row>
    <row r="21305">
      <c r="F21305" s="17"/>
    </row>
    <row r="21306">
      <c r="F21306" s="17"/>
    </row>
    <row r="21307">
      <c r="F21307" s="17"/>
    </row>
    <row r="21308">
      <c r="F21308" s="17"/>
    </row>
    <row r="21309">
      <c r="F21309" s="17"/>
    </row>
    <row r="21310">
      <c r="F21310" s="17"/>
    </row>
    <row r="21311">
      <c r="F21311" s="17"/>
    </row>
    <row r="21312">
      <c r="F21312" s="17"/>
    </row>
    <row r="21313">
      <c r="F21313" s="17"/>
    </row>
    <row r="21314">
      <c r="F21314" s="17"/>
    </row>
    <row r="21315">
      <c r="F21315" s="17"/>
    </row>
    <row r="21316">
      <c r="F21316" s="17"/>
    </row>
    <row r="21317">
      <c r="F21317" s="17"/>
    </row>
    <row r="21318">
      <c r="F21318" s="17"/>
    </row>
    <row r="21319">
      <c r="F21319" s="17"/>
    </row>
    <row r="21320">
      <c r="F21320" s="17"/>
    </row>
    <row r="21321">
      <c r="F21321" s="17"/>
    </row>
    <row r="21322">
      <c r="F21322" s="17"/>
    </row>
    <row r="21323">
      <c r="F21323" s="17"/>
    </row>
    <row r="21324">
      <c r="F21324" s="17"/>
    </row>
    <row r="21325">
      <c r="F21325" s="17"/>
    </row>
    <row r="21326">
      <c r="F21326" s="17"/>
    </row>
    <row r="21327">
      <c r="F21327" s="17"/>
    </row>
    <row r="21328">
      <c r="F21328" s="17"/>
    </row>
    <row r="21329">
      <c r="F21329" s="17"/>
    </row>
    <row r="21330">
      <c r="F21330" s="17"/>
    </row>
    <row r="21331">
      <c r="F21331" s="17"/>
    </row>
    <row r="21332">
      <c r="F21332" s="17"/>
    </row>
    <row r="21333">
      <c r="F21333" s="17"/>
    </row>
    <row r="21334">
      <c r="F21334" s="17"/>
    </row>
    <row r="21335">
      <c r="F21335" s="17"/>
    </row>
    <row r="21336">
      <c r="F21336" s="17"/>
    </row>
    <row r="21337">
      <c r="F21337" s="17"/>
    </row>
    <row r="21338">
      <c r="F21338" s="17"/>
    </row>
    <row r="21339">
      <c r="F21339" s="17"/>
    </row>
    <row r="21340">
      <c r="F21340" s="17"/>
    </row>
    <row r="21341">
      <c r="F21341" s="17"/>
    </row>
    <row r="21342">
      <c r="F21342" s="17"/>
    </row>
    <row r="21343">
      <c r="F21343" s="17"/>
    </row>
    <row r="21344">
      <c r="F21344" s="17"/>
    </row>
    <row r="21345">
      <c r="F21345" s="17"/>
    </row>
    <row r="21346">
      <c r="F21346" s="17"/>
    </row>
    <row r="21347">
      <c r="F21347" s="17"/>
    </row>
    <row r="21348">
      <c r="F21348" s="17"/>
    </row>
    <row r="21349">
      <c r="F21349" s="17"/>
    </row>
    <row r="21350">
      <c r="F21350" s="17"/>
    </row>
    <row r="21351">
      <c r="F21351" s="17"/>
    </row>
    <row r="21352">
      <c r="F21352" s="17"/>
    </row>
    <row r="21353">
      <c r="F21353" s="17"/>
    </row>
    <row r="21354">
      <c r="F21354" s="17"/>
    </row>
    <row r="21355">
      <c r="F21355" s="17"/>
    </row>
    <row r="21356">
      <c r="F21356" s="17"/>
    </row>
    <row r="21357">
      <c r="F21357" s="17"/>
    </row>
    <row r="21358">
      <c r="F21358" s="17"/>
    </row>
    <row r="21359">
      <c r="F21359" s="17"/>
    </row>
    <row r="21360">
      <c r="F21360" s="17"/>
    </row>
    <row r="21361">
      <c r="F21361" s="17"/>
    </row>
    <row r="21362">
      <c r="F21362" s="17"/>
    </row>
    <row r="21363">
      <c r="F21363" s="17"/>
    </row>
    <row r="21364">
      <c r="F21364" s="17"/>
    </row>
    <row r="21365">
      <c r="F21365" s="17"/>
    </row>
    <row r="21366">
      <c r="F21366" s="17"/>
    </row>
    <row r="21367">
      <c r="F21367" s="17"/>
    </row>
    <row r="21368">
      <c r="F21368" s="17"/>
    </row>
    <row r="21369">
      <c r="F21369" s="17"/>
    </row>
    <row r="21370">
      <c r="F21370" s="17"/>
    </row>
    <row r="21371">
      <c r="F21371" s="17"/>
    </row>
    <row r="21372">
      <c r="F21372" s="17"/>
    </row>
    <row r="21373">
      <c r="F21373" s="17"/>
    </row>
    <row r="21374">
      <c r="F21374" s="17"/>
    </row>
    <row r="21375">
      <c r="F21375" s="17"/>
    </row>
    <row r="21376">
      <c r="F21376" s="17"/>
    </row>
    <row r="21377">
      <c r="F21377" s="17"/>
    </row>
    <row r="21378">
      <c r="F21378" s="17"/>
    </row>
    <row r="21379">
      <c r="F21379" s="17"/>
    </row>
    <row r="21380">
      <c r="F21380" s="17"/>
    </row>
    <row r="21381">
      <c r="F21381" s="17"/>
    </row>
    <row r="21382">
      <c r="F21382" s="17"/>
    </row>
    <row r="21383">
      <c r="F21383" s="17"/>
    </row>
    <row r="21384">
      <c r="F21384" s="17"/>
    </row>
    <row r="21385">
      <c r="F21385" s="17"/>
    </row>
    <row r="21386">
      <c r="F21386" s="17"/>
    </row>
    <row r="21387">
      <c r="F21387" s="17"/>
    </row>
    <row r="21388">
      <c r="F21388" s="17"/>
    </row>
    <row r="21389">
      <c r="F21389" s="17"/>
    </row>
    <row r="21390">
      <c r="F21390" s="17"/>
    </row>
    <row r="21391">
      <c r="F21391" s="17"/>
    </row>
    <row r="21392">
      <c r="F21392" s="17"/>
    </row>
    <row r="21393">
      <c r="F21393" s="17"/>
    </row>
    <row r="21394">
      <c r="F21394" s="17"/>
    </row>
    <row r="21395">
      <c r="F21395" s="17"/>
    </row>
    <row r="21396">
      <c r="F21396" s="17"/>
    </row>
    <row r="21397">
      <c r="F21397" s="17"/>
    </row>
    <row r="21398">
      <c r="F21398" s="17"/>
    </row>
    <row r="21399">
      <c r="F21399" s="17"/>
    </row>
    <row r="21400">
      <c r="F21400" s="17"/>
    </row>
    <row r="21401">
      <c r="F21401" s="17"/>
    </row>
    <row r="21402">
      <c r="F21402" s="17"/>
    </row>
    <row r="21403">
      <c r="F21403" s="17"/>
    </row>
    <row r="21404">
      <c r="F21404" s="17"/>
    </row>
    <row r="21405">
      <c r="F21405" s="17"/>
    </row>
    <row r="21406">
      <c r="F21406" s="17"/>
    </row>
    <row r="21407">
      <c r="F21407" s="17"/>
    </row>
    <row r="21408">
      <c r="F21408" s="17"/>
    </row>
    <row r="21409">
      <c r="F21409" s="17"/>
    </row>
    <row r="21410">
      <c r="F21410" s="17"/>
    </row>
    <row r="21411">
      <c r="F21411" s="17"/>
    </row>
    <row r="21412">
      <c r="F21412" s="17"/>
    </row>
    <row r="21413">
      <c r="F21413" s="17"/>
    </row>
    <row r="21414">
      <c r="F21414" s="17"/>
    </row>
    <row r="21415">
      <c r="F21415" s="17"/>
    </row>
    <row r="21416">
      <c r="F21416" s="17"/>
    </row>
    <row r="21417">
      <c r="F21417" s="17"/>
    </row>
    <row r="21418">
      <c r="F21418" s="17"/>
    </row>
    <row r="21419">
      <c r="F21419" s="17"/>
    </row>
    <row r="21420">
      <c r="F21420" s="17"/>
    </row>
    <row r="21421">
      <c r="F21421" s="17"/>
    </row>
    <row r="21422">
      <c r="F21422" s="17"/>
    </row>
    <row r="21423">
      <c r="F21423" s="17"/>
    </row>
    <row r="21424">
      <c r="F21424" s="17"/>
    </row>
    <row r="21425">
      <c r="F21425" s="17"/>
    </row>
    <row r="21426">
      <c r="F21426" s="17"/>
    </row>
    <row r="21427">
      <c r="F21427" s="17"/>
    </row>
    <row r="21428">
      <c r="F21428" s="17"/>
    </row>
    <row r="21429">
      <c r="F21429" s="17"/>
    </row>
    <row r="21430">
      <c r="F21430" s="17"/>
    </row>
    <row r="21431">
      <c r="F21431" s="17"/>
    </row>
    <row r="21432">
      <c r="F21432" s="17"/>
    </row>
    <row r="21433">
      <c r="F21433" s="17"/>
    </row>
    <row r="21434">
      <c r="F21434" s="17"/>
    </row>
    <row r="21435">
      <c r="F21435" s="17"/>
    </row>
    <row r="21436">
      <c r="F21436" s="17"/>
    </row>
    <row r="21437">
      <c r="F21437" s="17"/>
    </row>
    <row r="21438">
      <c r="F21438" s="17"/>
    </row>
    <row r="21439">
      <c r="F21439" s="17"/>
    </row>
    <row r="21440">
      <c r="F21440" s="17"/>
    </row>
    <row r="21441">
      <c r="F21441" s="17"/>
    </row>
    <row r="21442">
      <c r="F21442" s="17"/>
    </row>
    <row r="21443">
      <c r="F21443" s="17"/>
    </row>
    <row r="21444">
      <c r="F21444" s="17"/>
    </row>
    <row r="21445">
      <c r="F21445" s="17"/>
    </row>
    <row r="21446">
      <c r="F21446" s="17"/>
    </row>
    <row r="21447">
      <c r="F21447" s="17"/>
    </row>
    <row r="21448">
      <c r="F21448" s="17"/>
    </row>
    <row r="21449">
      <c r="F21449" s="17"/>
    </row>
    <row r="21450">
      <c r="F21450" s="17"/>
    </row>
    <row r="21451">
      <c r="F21451" s="17"/>
    </row>
    <row r="21452">
      <c r="F21452" s="17"/>
    </row>
    <row r="21453">
      <c r="F21453" s="17"/>
    </row>
    <row r="21454">
      <c r="F21454" s="17"/>
    </row>
    <row r="21455">
      <c r="F21455" s="17"/>
    </row>
    <row r="21456">
      <c r="F21456" s="17"/>
    </row>
    <row r="21457">
      <c r="F21457" s="17"/>
    </row>
    <row r="21458">
      <c r="F21458" s="17"/>
    </row>
    <row r="21459">
      <c r="F21459" s="17"/>
    </row>
    <row r="21460">
      <c r="F21460" s="17"/>
    </row>
    <row r="21461">
      <c r="F21461" s="17"/>
    </row>
    <row r="21462">
      <c r="F21462" s="17"/>
    </row>
    <row r="21463">
      <c r="F21463" s="17"/>
    </row>
    <row r="21464">
      <c r="F21464" s="17"/>
    </row>
    <row r="21465">
      <c r="F21465" s="17"/>
    </row>
    <row r="21466">
      <c r="F21466" s="17"/>
    </row>
    <row r="21467">
      <c r="F21467" s="17"/>
    </row>
    <row r="21468">
      <c r="F21468" s="17"/>
    </row>
    <row r="21469">
      <c r="F21469" s="17"/>
    </row>
    <row r="21470">
      <c r="F21470" s="17"/>
    </row>
    <row r="21471">
      <c r="F21471" s="17"/>
    </row>
    <row r="21472">
      <c r="F21472" s="17"/>
    </row>
    <row r="21473">
      <c r="F21473" s="17"/>
    </row>
    <row r="21474">
      <c r="F21474" s="17"/>
    </row>
    <row r="21475">
      <c r="F21475" s="17"/>
    </row>
    <row r="21476">
      <c r="F21476" s="17"/>
    </row>
    <row r="21477">
      <c r="F21477" s="17"/>
    </row>
    <row r="21478">
      <c r="F21478" s="17"/>
    </row>
    <row r="21479">
      <c r="F21479" s="17"/>
    </row>
    <row r="21480">
      <c r="F21480" s="17"/>
    </row>
    <row r="21481">
      <c r="F21481" s="17"/>
    </row>
    <row r="21482">
      <c r="F21482" s="17"/>
    </row>
    <row r="21483">
      <c r="F21483" s="17"/>
    </row>
    <row r="21484">
      <c r="F21484" s="17"/>
    </row>
    <row r="21485">
      <c r="F21485" s="17"/>
    </row>
    <row r="21486">
      <c r="F21486" s="17"/>
    </row>
    <row r="21487">
      <c r="F21487" s="17"/>
    </row>
    <row r="21488">
      <c r="F21488" s="17"/>
    </row>
    <row r="21489">
      <c r="F21489" s="17"/>
    </row>
    <row r="21490">
      <c r="F21490" s="17"/>
    </row>
    <row r="21491">
      <c r="F21491" s="17"/>
    </row>
    <row r="21492">
      <c r="F21492" s="17"/>
    </row>
    <row r="21493">
      <c r="F21493" s="17"/>
    </row>
    <row r="21494">
      <c r="F21494" s="17"/>
    </row>
    <row r="21495">
      <c r="F21495" s="17"/>
    </row>
    <row r="21496">
      <c r="F21496" s="17"/>
    </row>
    <row r="21497">
      <c r="F21497" s="17"/>
    </row>
    <row r="21498">
      <c r="F21498" s="17"/>
    </row>
    <row r="21499">
      <c r="F21499" s="17"/>
    </row>
    <row r="21500">
      <c r="F21500" s="17"/>
    </row>
    <row r="21501">
      <c r="F21501" s="17"/>
    </row>
    <row r="21502">
      <c r="F21502" s="17"/>
    </row>
    <row r="21503">
      <c r="F21503" s="17"/>
    </row>
    <row r="21504">
      <c r="F21504" s="17"/>
    </row>
    <row r="21505">
      <c r="F21505" s="17"/>
    </row>
    <row r="21506">
      <c r="F21506" s="17"/>
    </row>
    <row r="21507">
      <c r="F21507" s="17"/>
    </row>
    <row r="21508">
      <c r="F21508" s="17"/>
    </row>
    <row r="21509">
      <c r="F21509" s="17"/>
    </row>
    <row r="21510">
      <c r="F21510" s="17"/>
    </row>
    <row r="21511">
      <c r="F21511" s="17"/>
    </row>
    <row r="21512">
      <c r="F21512" s="17"/>
    </row>
    <row r="21513">
      <c r="F21513" s="17"/>
    </row>
    <row r="21514">
      <c r="F21514" s="17"/>
    </row>
    <row r="21515">
      <c r="F21515" s="17"/>
    </row>
    <row r="21516">
      <c r="F21516" s="17"/>
    </row>
    <row r="21517">
      <c r="F21517" s="17"/>
    </row>
    <row r="21518">
      <c r="F21518" s="17"/>
    </row>
    <row r="21519">
      <c r="F21519" s="17"/>
    </row>
    <row r="21520">
      <c r="F21520" s="17"/>
    </row>
    <row r="21521">
      <c r="F21521" s="17"/>
    </row>
    <row r="21522">
      <c r="F21522" s="17"/>
    </row>
    <row r="21523">
      <c r="F21523" s="17"/>
    </row>
    <row r="21524">
      <c r="F21524" s="17"/>
    </row>
    <row r="21525">
      <c r="F21525" s="17"/>
    </row>
    <row r="21526">
      <c r="F21526" s="17"/>
    </row>
    <row r="21527">
      <c r="F21527" s="17"/>
    </row>
    <row r="21528">
      <c r="F21528" s="17"/>
    </row>
    <row r="21529">
      <c r="F21529" s="17"/>
    </row>
    <row r="21530">
      <c r="F21530" s="17"/>
    </row>
    <row r="21531">
      <c r="F21531" s="17"/>
    </row>
    <row r="21532">
      <c r="F21532" s="17"/>
    </row>
    <row r="21533">
      <c r="F21533" s="17"/>
    </row>
    <row r="21534">
      <c r="F21534" s="17"/>
    </row>
    <row r="21535">
      <c r="F21535" s="17"/>
    </row>
    <row r="21536">
      <c r="F21536" s="17"/>
    </row>
    <row r="21537">
      <c r="F21537" s="17"/>
    </row>
    <row r="21538">
      <c r="F21538" s="17"/>
    </row>
    <row r="21539">
      <c r="F21539" s="17"/>
    </row>
    <row r="21540">
      <c r="F21540" s="17"/>
    </row>
    <row r="21541">
      <c r="F21541" s="17"/>
    </row>
    <row r="21542">
      <c r="F21542" s="17"/>
    </row>
    <row r="21543">
      <c r="F21543" s="17"/>
    </row>
    <row r="21544">
      <c r="F21544" s="17"/>
    </row>
    <row r="21545">
      <c r="F21545" s="17"/>
    </row>
    <row r="21546">
      <c r="F21546" s="17"/>
    </row>
    <row r="21547">
      <c r="F21547" s="17"/>
    </row>
    <row r="21548">
      <c r="F21548" s="17"/>
    </row>
    <row r="21549">
      <c r="F21549" s="17"/>
    </row>
    <row r="21550">
      <c r="F21550" s="17"/>
    </row>
    <row r="21551">
      <c r="F21551" s="17"/>
    </row>
    <row r="21552">
      <c r="F21552" s="17"/>
    </row>
    <row r="21553">
      <c r="F21553" s="17"/>
    </row>
    <row r="21554">
      <c r="F21554" s="17"/>
    </row>
    <row r="21555">
      <c r="F21555" s="17"/>
    </row>
    <row r="21556">
      <c r="F21556" s="17"/>
    </row>
    <row r="21557">
      <c r="F21557" s="17"/>
    </row>
    <row r="21558">
      <c r="F21558" s="17"/>
    </row>
    <row r="21559">
      <c r="F21559" s="17"/>
    </row>
    <row r="21560">
      <c r="F21560" s="17"/>
    </row>
    <row r="21561">
      <c r="F21561" s="17"/>
    </row>
    <row r="21562">
      <c r="F21562" s="17"/>
    </row>
    <row r="21563">
      <c r="F21563" s="17"/>
    </row>
    <row r="21564">
      <c r="F21564" s="17"/>
    </row>
    <row r="21565">
      <c r="F21565" s="17"/>
    </row>
    <row r="21566">
      <c r="F21566" s="17"/>
    </row>
    <row r="21567">
      <c r="F21567" s="17"/>
    </row>
    <row r="21568">
      <c r="F21568" s="17"/>
    </row>
    <row r="21569">
      <c r="F21569" s="17"/>
    </row>
    <row r="21570">
      <c r="F21570" s="17"/>
    </row>
    <row r="21571">
      <c r="F21571" s="17"/>
    </row>
    <row r="21572">
      <c r="F21572" s="17"/>
    </row>
    <row r="21573">
      <c r="F21573" s="17"/>
    </row>
    <row r="21574">
      <c r="F21574" s="17"/>
    </row>
    <row r="21575">
      <c r="F21575" s="17"/>
    </row>
    <row r="21576">
      <c r="F21576" s="17"/>
    </row>
    <row r="21577">
      <c r="F21577" s="17"/>
    </row>
    <row r="21578">
      <c r="F21578" s="17"/>
    </row>
    <row r="21579">
      <c r="F21579" s="17"/>
    </row>
    <row r="21580">
      <c r="F21580" s="17"/>
    </row>
    <row r="21581">
      <c r="F21581" s="17"/>
    </row>
    <row r="21582">
      <c r="F21582" s="17"/>
    </row>
    <row r="21583">
      <c r="F21583" s="17"/>
    </row>
    <row r="21584">
      <c r="F21584" s="17"/>
    </row>
    <row r="21585">
      <c r="F21585" s="17"/>
    </row>
    <row r="21586">
      <c r="F21586" s="17"/>
    </row>
    <row r="21587">
      <c r="F21587" s="17"/>
    </row>
    <row r="21588">
      <c r="F21588" s="17"/>
    </row>
    <row r="21589">
      <c r="F21589" s="17"/>
    </row>
    <row r="21590">
      <c r="F21590" s="17"/>
    </row>
    <row r="21591">
      <c r="F21591" s="17"/>
    </row>
    <row r="21592">
      <c r="F21592" s="17"/>
    </row>
    <row r="21593">
      <c r="F21593" s="17"/>
    </row>
    <row r="21594">
      <c r="F21594" s="17"/>
    </row>
    <row r="21595">
      <c r="F21595" s="17"/>
    </row>
    <row r="21596">
      <c r="F21596" s="17"/>
    </row>
    <row r="21597">
      <c r="F21597" s="17"/>
    </row>
    <row r="21598">
      <c r="F21598" s="17"/>
    </row>
    <row r="21599">
      <c r="F21599" s="17"/>
    </row>
    <row r="21600">
      <c r="F21600" s="17"/>
    </row>
    <row r="21601">
      <c r="F21601" s="17"/>
    </row>
    <row r="21602">
      <c r="F21602" s="17"/>
    </row>
    <row r="21603">
      <c r="F21603" s="17"/>
    </row>
    <row r="21604">
      <c r="F21604" s="17"/>
    </row>
    <row r="21605">
      <c r="F21605" s="17"/>
    </row>
    <row r="21606">
      <c r="F21606" s="17"/>
    </row>
    <row r="21607">
      <c r="F21607" s="17"/>
    </row>
    <row r="21608">
      <c r="F21608" s="17"/>
    </row>
    <row r="21609">
      <c r="F21609" s="17"/>
    </row>
    <row r="21610">
      <c r="F21610" s="17"/>
    </row>
    <row r="21611">
      <c r="F21611" s="17"/>
    </row>
    <row r="21612">
      <c r="F21612" s="17"/>
    </row>
    <row r="21613">
      <c r="F21613" s="17"/>
    </row>
    <row r="21614">
      <c r="F21614" s="17"/>
    </row>
    <row r="21615">
      <c r="F21615" s="17"/>
    </row>
    <row r="21616">
      <c r="F21616" s="17"/>
    </row>
    <row r="21617">
      <c r="F21617" s="17"/>
    </row>
    <row r="21618">
      <c r="F21618" s="17"/>
    </row>
    <row r="21619">
      <c r="F21619" s="17"/>
    </row>
    <row r="21620">
      <c r="F21620" s="17"/>
    </row>
    <row r="21621">
      <c r="F21621" s="17"/>
    </row>
    <row r="21622">
      <c r="F21622" s="17"/>
    </row>
    <row r="21623">
      <c r="F21623" s="17"/>
    </row>
    <row r="21624">
      <c r="F21624" s="17"/>
    </row>
    <row r="21625">
      <c r="F21625" s="17"/>
    </row>
    <row r="21626">
      <c r="F21626" s="17"/>
    </row>
    <row r="21627">
      <c r="F21627" s="17"/>
    </row>
    <row r="21628">
      <c r="F21628" s="17"/>
    </row>
    <row r="21629">
      <c r="F21629" s="17"/>
    </row>
    <row r="21630">
      <c r="F21630" s="17"/>
    </row>
    <row r="21631">
      <c r="F21631" s="17"/>
    </row>
    <row r="21632">
      <c r="F21632" s="17"/>
    </row>
    <row r="21633">
      <c r="F21633" s="17"/>
    </row>
    <row r="21634">
      <c r="F21634" s="17"/>
    </row>
    <row r="21635">
      <c r="F21635" s="17"/>
    </row>
    <row r="21636">
      <c r="F21636" s="17"/>
    </row>
    <row r="21637">
      <c r="F21637" s="17"/>
    </row>
    <row r="21638">
      <c r="F21638" s="17"/>
    </row>
    <row r="21639">
      <c r="F21639" s="17"/>
    </row>
    <row r="21640">
      <c r="F21640" s="17"/>
    </row>
    <row r="21641">
      <c r="F21641" s="17"/>
    </row>
    <row r="21642">
      <c r="F21642" s="17"/>
    </row>
    <row r="21643">
      <c r="F21643" s="17"/>
    </row>
    <row r="21644">
      <c r="F21644" s="17"/>
    </row>
    <row r="21645">
      <c r="F21645" s="17"/>
    </row>
    <row r="21646">
      <c r="F21646" s="17"/>
    </row>
    <row r="21647">
      <c r="F21647" s="17"/>
    </row>
    <row r="21648">
      <c r="F21648" s="17"/>
    </row>
    <row r="21649">
      <c r="F21649" s="17"/>
    </row>
    <row r="21650">
      <c r="F21650" s="17"/>
    </row>
    <row r="21651">
      <c r="F21651" s="17"/>
    </row>
    <row r="21652">
      <c r="F21652" s="17"/>
    </row>
    <row r="21653">
      <c r="F21653" s="17"/>
    </row>
    <row r="21654">
      <c r="F21654" s="17"/>
    </row>
    <row r="21655">
      <c r="F21655" s="17"/>
    </row>
    <row r="21656">
      <c r="F21656" s="17"/>
    </row>
    <row r="21657">
      <c r="F21657" s="17"/>
    </row>
    <row r="21658">
      <c r="F21658" s="17"/>
    </row>
    <row r="21659">
      <c r="F21659" s="17"/>
    </row>
    <row r="21660">
      <c r="F21660" s="17"/>
    </row>
    <row r="21661">
      <c r="F21661" s="17"/>
    </row>
    <row r="21662">
      <c r="F21662" s="17"/>
    </row>
    <row r="21663">
      <c r="F21663" s="17"/>
    </row>
    <row r="21664">
      <c r="F21664" s="17"/>
    </row>
    <row r="21665">
      <c r="F21665" s="17"/>
    </row>
    <row r="21666">
      <c r="F21666" s="17"/>
    </row>
    <row r="21667">
      <c r="F21667" s="17"/>
    </row>
    <row r="21668">
      <c r="F21668" s="17"/>
    </row>
    <row r="21669">
      <c r="F21669" s="17"/>
    </row>
    <row r="21670">
      <c r="F21670" s="17"/>
    </row>
    <row r="21671">
      <c r="F21671" s="17"/>
    </row>
    <row r="21672">
      <c r="F21672" s="17"/>
    </row>
    <row r="21673">
      <c r="F21673" s="17"/>
    </row>
    <row r="21674">
      <c r="F21674" s="17"/>
    </row>
    <row r="21675">
      <c r="F21675" s="17"/>
    </row>
    <row r="21676">
      <c r="F21676" s="17"/>
    </row>
    <row r="21677">
      <c r="F21677" s="17"/>
    </row>
    <row r="21678">
      <c r="F21678" s="17"/>
    </row>
    <row r="21679">
      <c r="F21679" s="17"/>
    </row>
    <row r="21680">
      <c r="F21680" s="17"/>
    </row>
    <row r="21681">
      <c r="F21681" s="17"/>
    </row>
    <row r="21682">
      <c r="F21682" s="17"/>
    </row>
    <row r="21683">
      <c r="F21683" s="17"/>
    </row>
    <row r="21684">
      <c r="F21684" s="17"/>
    </row>
    <row r="21685">
      <c r="F21685" s="17"/>
    </row>
    <row r="21686">
      <c r="F21686" s="17"/>
    </row>
    <row r="21687">
      <c r="F21687" s="17"/>
    </row>
    <row r="21688">
      <c r="F21688" s="17"/>
    </row>
    <row r="21689">
      <c r="F21689" s="17"/>
    </row>
    <row r="21690">
      <c r="F21690" s="17"/>
    </row>
    <row r="21691">
      <c r="F21691" s="17"/>
    </row>
    <row r="21692">
      <c r="F21692" s="17"/>
    </row>
    <row r="21693">
      <c r="F21693" s="17"/>
    </row>
    <row r="21694">
      <c r="F21694" s="17"/>
    </row>
    <row r="21695">
      <c r="F21695" s="17"/>
    </row>
    <row r="21696">
      <c r="F21696" s="17"/>
    </row>
    <row r="21697">
      <c r="F21697" s="17"/>
    </row>
    <row r="21698">
      <c r="F21698" s="17"/>
    </row>
    <row r="21699">
      <c r="F21699" s="17"/>
    </row>
    <row r="21700">
      <c r="F21700" s="17"/>
    </row>
    <row r="21701">
      <c r="F21701" s="17"/>
    </row>
    <row r="21702">
      <c r="F21702" s="17"/>
    </row>
    <row r="21703">
      <c r="F21703" s="17"/>
    </row>
    <row r="21704">
      <c r="F21704" s="17"/>
    </row>
    <row r="21705">
      <c r="F21705" s="17"/>
    </row>
    <row r="21706">
      <c r="F21706" s="17"/>
    </row>
    <row r="21707">
      <c r="F21707" s="17"/>
    </row>
    <row r="21708">
      <c r="F21708" s="17"/>
    </row>
    <row r="21709">
      <c r="F21709" s="17"/>
    </row>
    <row r="21710">
      <c r="F21710" s="17"/>
    </row>
    <row r="21711">
      <c r="F21711" s="17"/>
    </row>
    <row r="21712">
      <c r="F21712" s="17"/>
    </row>
    <row r="21713">
      <c r="F21713" s="17"/>
    </row>
    <row r="21714">
      <c r="F21714" s="17"/>
    </row>
    <row r="21715">
      <c r="F21715" s="17"/>
    </row>
    <row r="21716">
      <c r="F21716" s="17"/>
    </row>
    <row r="21717">
      <c r="F21717" s="17"/>
    </row>
    <row r="21718">
      <c r="F21718" s="17"/>
    </row>
    <row r="21719">
      <c r="F21719" s="17"/>
    </row>
    <row r="21720">
      <c r="F21720" s="17"/>
    </row>
    <row r="21721">
      <c r="F21721" s="17"/>
    </row>
    <row r="21722">
      <c r="F21722" s="17"/>
    </row>
    <row r="21723">
      <c r="F21723" s="17"/>
    </row>
    <row r="21724">
      <c r="F21724" s="17"/>
    </row>
    <row r="21725">
      <c r="F21725" s="17"/>
    </row>
    <row r="21726">
      <c r="F21726" s="17"/>
    </row>
    <row r="21727">
      <c r="F21727" s="17"/>
    </row>
    <row r="21728">
      <c r="F21728" s="17"/>
    </row>
    <row r="21729">
      <c r="F21729" s="17"/>
    </row>
    <row r="21730">
      <c r="F21730" s="17"/>
    </row>
    <row r="21731">
      <c r="F21731" s="17"/>
    </row>
    <row r="21732">
      <c r="F21732" s="17"/>
    </row>
    <row r="21733">
      <c r="F21733" s="17"/>
    </row>
    <row r="21734">
      <c r="F21734" s="17"/>
    </row>
    <row r="21735">
      <c r="F21735" s="17"/>
    </row>
    <row r="21736">
      <c r="F21736" s="17"/>
    </row>
    <row r="21737">
      <c r="F21737" s="17"/>
    </row>
    <row r="21738">
      <c r="F21738" s="17"/>
    </row>
    <row r="21739">
      <c r="F21739" s="17"/>
    </row>
    <row r="21740">
      <c r="F21740" s="17"/>
    </row>
    <row r="21741">
      <c r="F21741" s="17"/>
    </row>
    <row r="21742">
      <c r="F21742" s="17"/>
    </row>
    <row r="21743">
      <c r="F21743" s="17"/>
    </row>
    <row r="21744">
      <c r="F21744" s="17"/>
    </row>
    <row r="21745">
      <c r="F21745" s="17"/>
    </row>
    <row r="21746">
      <c r="F21746" s="17"/>
    </row>
    <row r="21747">
      <c r="F21747" s="17"/>
    </row>
    <row r="21748">
      <c r="F21748" s="17"/>
    </row>
    <row r="21749">
      <c r="F21749" s="17"/>
    </row>
    <row r="21750">
      <c r="F21750" s="17"/>
    </row>
    <row r="21751">
      <c r="F21751" s="17"/>
    </row>
    <row r="21752">
      <c r="F21752" s="17"/>
    </row>
    <row r="21753">
      <c r="F21753" s="17"/>
    </row>
    <row r="21754">
      <c r="F21754" s="17"/>
    </row>
    <row r="21755">
      <c r="F21755" s="17"/>
    </row>
    <row r="21756">
      <c r="F21756" s="17"/>
    </row>
    <row r="21757">
      <c r="F21757" s="17"/>
    </row>
    <row r="21758">
      <c r="F21758" s="17"/>
    </row>
    <row r="21759">
      <c r="F21759" s="17"/>
    </row>
    <row r="21760">
      <c r="F21760" s="17"/>
    </row>
    <row r="21761">
      <c r="F21761" s="17"/>
    </row>
    <row r="21762">
      <c r="F21762" s="17"/>
    </row>
    <row r="21763">
      <c r="F21763" s="17"/>
    </row>
    <row r="21764">
      <c r="F21764" s="17"/>
    </row>
    <row r="21765">
      <c r="F21765" s="17"/>
    </row>
    <row r="21766">
      <c r="F21766" s="17"/>
    </row>
    <row r="21767">
      <c r="F21767" s="17"/>
    </row>
    <row r="21768">
      <c r="F21768" s="17"/>
    </row>
    <row r="21769">
      <c r="F21769" s="17"/>
    </row>
    <row r="21770">
      <c r="F21770" s="17"/>
    </row>
    <row r="21771">
      <c r="F21771" s="17"/>
    </row>
    <row r="21772">
      <c r="F21772" s="17"/>
    </row>
    <row r="21773">
      <c r="F21773" s="17"/>
    </row>
    <row r="21774">
      <c r="F21774" s="17"/>
    </row>
    <row r="21775">
      <c r="F21775" s="17"/>
    </row>
    <row r="21776">
      <c r="F21776" s="17"/>
    </row>
    <row r="21777">
      <c r="F21777" s="17"/>
    </row>
    <row r="21778">
      <c r="F21778" s="17"/>
    </row>
    <row r="21779">
      <c r="F21779" s="17"/>
    </row>
    <row r="21780">
      <c r="F21780" s="17"/>
    </row>
    <row r="21781">
      <c r="F21781" s="17"/>
    </row>
    <row r="21782">
      <c r="F21782" s="17"/>
    </row>
    <row r="21783">
      <c r="F21783" s="17"/>
    </row>
    <row r="21784">
      <c r="F21784" s="17"/>
    </row>
    <row r="21785">
      <c r="F21785" s="17"/>
    </row>
    <row r="21786">
      <c r="F21786" s="17"/>
    </row>
    <row r="21787">
      <c r="F21787" s="17"/>
    </row>
    <row r="21788">
      <c r="F21788" s="17"/>
    </row>
    <row r="21789">
      <c r="F21789" s="17"/>
    </row>
    <row r="21790">
      <c r="F21790" s="17"/>
    </row>
    <row r="21791">
      <c r="F21791" s="17"/>
    </row>
    <row r="21792">
      <c r="F21792" s="17"/>
    </row>
    <row r="21793">
      <c r="F21793" s="17"/>
    </row>
    <row r="21794">
      <c r="F21794" s="17"/>
    </row>
    <row r="21795">
      <c r="F21795" s="17"/>
    </row>
    <row r="21796">
      <c r="F21796" s="17"/>
    </row>
    <row r="21797">
      <c r="F21797" s="17"/>
    </row>
    <row r="21798">
      <c r="F21798" s="17"/>
    </row>
    <row r="21799">
      <c r="F21799" s="17"/>
    </row>
    <row r="21800">
      <c r="F21800" s="17"/>
    </row>
    <row r="21801">
      <c r="F21801" s="17"/>
    </row>
    <row r="21802">
      <c r="F21802" s="17"/>
    </row>
    <row r="21803">
      <c r="F21803" s="17"/>
    </row>
    <row r="21804">
      <c r="F21804" s="17"/>
    </row>
    <row r="21805">
      <c r="F21805" s="17"/>
    </row>
    <row r="21806">
      <c r="F21806" s="17"/>
    </row>
    <row r="21807">
      <c r="F21807" s="17"/>
    </row>
    <row r="21808">
      <c r="F21808" s="17"/>
    </row>
    <row r="21809">
      <c r="F21809" s="17"/>
    </row>
    <row r="21810">
      <c r="F21810" s="17"/>
    </row>
    <row r="21811">
      <c r="F21811" s="17"/>
    </row>
    <row r="21812">
      <c r="F21812" s="17"/>
    </row>
    <row r="21813">
      <c r="F21813" s="17"/>
    </row>
    <row r="21814">
      <c r="F21814" s="17"/>
    </row>
    <row r="21815">
      <c r="F21815" s="17"/>
    </row>
    <row r="21816">
      <c r="F21816" s="17"/>
    </row>
    <row r="21817">
      <c r="F21817" s="17"/>
    </row>
    <row r="21818">
      <c r="F21818" s="17"/>
    </row>
    <row r="21819">
      <c r="F21819" s="17"/>
    </row>
    <row r="21820">
      <c r="F21820" s="17"/>
    </row>
    <row r="21821">
      <c r="F21821" s="17"/>
    </row>
    <row r="21822">
      <c r="F21822" s="17"/>
    </row>
    <row r="21823">
      <c r="F21823" s="17"/>
    </row>
    <row r="21824">
      <c r="F21824" s="17"/>
    </row>
    <row r="21825">
      <c r="F21825" s="17"/>
    </row>
    <row r="21826">
      <c r="F21826" s="17"/>
    </row>
    <row r="21827">
      <c r="F21827" s="17"/>
    </row>
    <row r="21828">
      <c r="F21828" s="17"/>
    </row>
    <row r="21829">
      <c r="F21829" s="17"/>
    </row>
    <row r="21830">
      <c r="F21830" s="17"/>
    </row>
    <row r="21831">
      <c r="F21831" s="17"/>
    </row>
    <row r="21832">
      <c r="F21832" s="17"/>
    </row>
    <row r="21833">
      <c r="F21833" s="17"/>
    </row>
    <row r="21834">
      <c r="F21834" s="17"/>
    </row>
    <row r="21835">
      <c r="F21835" s="17"/>
    </row>
    <row r="21836">
      <c r="F21836" s="17"/>
    </row>
    <row r="21837">
      <c r="F21837" s="17"/>
    </row>
    <row r="21838">
      <c r="F21838" s="17"/>
    </row>
    <row r="21839">
      <c r="F21839" s="17"/>
    </row>
    <row r="21840">
      <c r="F21840" s="17"/>
    </row>
    <row r="21841">
      <c r="F21841" s="17"/>
    </row>
    <row r="21842">
      <c r="F21842" s="17"/>
    </row>
    <row r="21843">
      <c r="F21843" s="17"/>
    </row>
    <row r="21844">
      <c r="F21844" s="17"/>
    </row>
    <row r="21845">
      <c r="F21845" s="17"/>
    </row>
    <row r="21846">
      <c r="F21846" s="17"/>
    </row>
    <row r="21847">
      <c r="F21847" s="17"/>
    </row>
    <row r="21848">
      <c r="F21848" s="17"/>
    </row>
    <row r="21849">
      <c r="F21849" s="17"/>
    </row>
    <row r="21850">
      <c r="F21850" s="17"/>
    </row>
    <row r="21851">
      <c r="F21851" s="17"/>
    </row>
    <row r="21852">
      <c r="F21852" s="17"/>
    </row>
    <row r="21853">
      <c r="F21853" s="17"/>
    </row>
    <row r="21854">
      <c r="F21854" s="17"/>
    </row>
    <row r="21855">
      <c r="F21855" s="17"/>
    </row>
    <row r="21856">
      <c r="F21856" s="17"/>
    </row>
    <row r="21857">
      <c r="F21857" s="17"/>
    </row>
    <row r="21858">
      <c r="F21858" s="17"/>
    </row>
    <row r="21859">
      <c r="F21859" s="17"/>
    </row>
    <row r="21860">
      <c r="F21860" s="17"/>
    </row>
    <row r="21861">
      <c r="F21861" s="17"/>
    </row>
    <row r="21862">
      <c r="F21862" s="17"/>
    </row>
    <row r="21863">
      <c r="F21863" s="17"/>
    </row>
    <row r="21864">
      <c r="F21864" s="17"/>
    </row>
    <row r="21865">
      <c r="F21865" s="17"/>
    </row>
    <row r="21866">
      <c r="F21866" s="17"/>
    </row>
    <row r="21867">
      <c r="F21867" s="17"/>
    </row>
    <row r="21868">
      <c r="F21868" s="17"/>
    </row>
    <row r="21869">
      <c r="F21869" s="17"/>
    </row>
    <row r="21870">
      <c r="F21870" s="17"/>
    </row>
    <row r="21871">
      <c r="F21871" s="17"/>
    </row>
    <row r="21872">
      <c r="F21872" s="17"/>
    </row>
    <row r="21873">
      <c r="F21873" s="17"/>
    </row>
    <row r="21874">
      <c r="F21874" s="17"/>
    </row>
    <row r="21875">
      <c r="F21875" s="17"/>
    </row>
    <row r="21876">
      <c r="F21876" s="17"/>
    </row>
    <row r="21877">
      <c r="F21877" s="17"/>
    </row>
    <row r="21878">
      <c r="F21878" s="17"/>
    </row>
    <row r="21879">
      <c r="F21879" s="17"/>
    </row>
    <row r="21880">
      <c r="F21880" s="17"/>
    </row>
    <row r="21881">
      <c r="F21881" s="17"/>
    </row>
    <row r="21882">
      <c r="F21882" s="17"/>
    </row>
    <row r="21883">
      <c r="F21883" s="17"/>
    </row>
    <row r="21884">
      <c r="F21884" s="17"/>
    </row>
    <row r="21885">
      <c r="F21885" s="17"/>
    </row>
    <row r="21886">
      <c r="F21886" s="17"/>
    </row>
    <row r="21887">
      <c r="F21887" s="17"/>
    </row>
    <row r="21888">
      <c r="F21888" s="17"/>
    </row>
    <row r="21889">
      <c r="F21889" s="17"/>
    </row>
    <row r="21890">
      <c r="F21890" s="17"/>
    </row>
    <row r="21891">
      <c r="F21891" s="17"/>
    </row>
    <row r="21892">
      <c r="F21892" s="17"/>
    </row>
    <row r="21893">
      <c r="F21893" s="17"/>
    </row>
    <row r="21894">
      <c r="F21894" s="17"/>
    </row>
    <row r="21895">
      <c r="F21895" s="17"/>
    </row>
    <row r="21896">
      <c r="F21896" s="17"/>
    </row>
    <row r="21897">
      <c r="F21897" s="17"/>
    </row>
    <row r="21898">
      <c r="F21898" s="17"/>
    </row>
    <row r="21899">
      <c r="F21899" s="17"/>
    </row>
    <row r="21900">
      <c r="F21900" s="17"/>
    </row>
    <row r="21901">
      <c r="F21901" s="17"/>
    </row>
    <row r="21902">
      <c r="F21902" s="17"/>
    </row>
    <row r="21903">
      <c r="F21903" s="17"/>
    </row>
    <row r="21904">
      <c r="F21904" s="17"/>
    </row>
    <row r="21905">
      <c r="F21905" s="17"/>
    </row>
    <row r="21906">
      <c r="F21906" s="17"/>
    </row>
    <row r="21907">
      <c r="F21907" s="17"/>
    </row>
    <row r="21908">
      <c r="F21908" s="17"/>
    </row>
    <row r="21909">
      <c r="F21909" s="17"/>
    </row>
    <row r="21910">
      <c r="F21910" s="17"/>
    </row>
    <row r="21911">
      <c r="F21911" s="17"/>
    </row>
    <row r="21912">
      <c r="F21912" s="17"/>
    </row>
    <row r="21913">
      <c r="F21913" s="17"/>
    </row>
    <row r="21914">
      <c r="F21914" s="17"/>
    </row>
    <row r="21915">
      <c r="F21915" s="17"/>
    </row>
    <row r="21916">
      <c r="F21916" s="17"/>
    </row>
    <row r="21917">
      <c r="F21917" s="17"/>
    </row>
    <row r="21918">
      <c r="F21918" s="17"/>
    </row>
    <row r="21919">
      <c r="F21919" s="17"/>
    </row>
    <row r="21920">
      <c r="F21920" s="17"/>
    </row>
    <row r="21921">
      <c r="F21921" s="17"/>
    </row>
    <row r="21922">
      <c r="F21922" s="17"/>
    </row>
    <row r="21923">
      <c r="F21923" s="17"/>
    </row>
    <row r="21924">
      <c r="F21924" s="17"/>
    </row>
    <row r="21925">
      <c r="F21925" s="17"/>
    </row>
    <row r="21926">
      <c r="F21926" s="17"/>
    </row>
    <row r="21927">
      <c r="F21927" s="17"/>
    </row>
    <row r="21928">
      <c r="F21928" s="17"/>
    </row>
    <row r="21929">
      <c r="F21929" s="17"/>
    </row>
    <row r="21930">
      <c r="F21930" s="17"/>
    </row>
    <row r="21931">
      <c r="F21931" s="17"/>
    </row>
    <row r="21932">
      <c r="F21932" s="17"/>
    </row>
    <row r="21933">
      <c r="F21933" s="17"/>
    </row>
    <row r="21934">
      <c r="F21934" s="17"/>
    </row>
    <row r="21935">
      <c r="F21935" s="17"/>
    </row>
    <row r="21936">
      <c r="F21936" s="17"/>
    </row>
    <row r="21937">
      <c r="F21937" s="17"/>
    </row>
    <row r="21938">
      <c r="F21938" s="17"/>
    </row>
    <row r="21939">
      <c r="F21939" s="17"/>
    </row>
    <row r="21940">
      <c r="F21940" s="17"/>
    </row>
    <row r="21941">
      <c r="F21941" s="17"/>
    </row>
    <row r="21942">
      <c r="F21942" s="17"/>
    </row>
    <row r="21943">
      <c r="F21943" s="17"/>
    </row>
    <row r="21944">
      <c r="F21944" s="17"/>
    </row>
    <row r="21945">
      <c r="F21945" s="17"/>
    </row>
    <row r="21946">
      <c r="F21946" s="17"/>
    </row>
    <row r="21947">
      <c r="F21947" s="17"/>
    </row>
    <row r="21948">
      <c r="F21948" s="17"/>
    </row>
    <row r="21949">
      <c r="F21949" s="17"/>
    </row>
    <row r="21950">
      <c r="F21950" s="17"/>
    </row>
    <row r="21951">
      <c r="F21951" s="17"/>
    </row>
    <row r="21952">
      <c r="F21952" s="17"/>
    </row>
    <row r="21953">
      <c r="F21953" s="17"/>
    </row>
    <row r="21954">
      <c r="F21954" s="17"/>
    </row>
    <row r="21955">
      <c r="F21955" s="17"/>
    </row>
    <row r="21956">
      <c r="F21956" s="17"/>
    </row>
    <row r="21957">
      <c r="F21957" s="17"/>
    </row>
    <row r="21958">
      <c r="F21958" s="17"/>
    </row>
    <row r="21959">
      <c r="F21959" s="17"/>
    </row>
    <row r="21960">
      <c r="F21960" s="17"/>
    </row>
    <row r="21961">
      <c r="F21961" s="17"/>
    </row>
    <row r="21962">
      <c r="F21962" s="17"/>
    </row>
    <row r="21963">
      <c r="F21963" s="17"/>
    </row>
    <row r="21964">
      <c r="F21964" s="17"/>
    </row>
    <row r="21965">
      <c r="F21965" s="17"/>
    </row>
    <row r="21966">
      <c r="F21966" s="17"/>
    </row>
    <row r="21967">
      <c r="F21967" s="17"/>
    </row>
    <row r="21968">
      <c r="F21968" s="17"/>
    </row>
    <row r="21969">
      <c r="F21969" s="17"/>
    </row>
    <row r="21970">
      <c r="F21970" s="17"/>
    </row>
    <row r="21971">
      <c r="F21971" s="17"/>
    </row>
    <row r="21972">
      <c r="F21972" s="17"/>
    </row>
    <row r="21973">
      <c r="F21973" s="17"/>
    </row>
    <row r="21974">
      <c r="F21974" s="17"/>
    </row>
    <row r="21975">
      <c r="F21975" s="17"/>
    </row>
    <row r="21976">
      <c r="F21976" s="17"/>
    </row>
    <row r="21977">
      <c r="F21977" s="17"/>
    </row>
    <row r="21978">
      <c r="F21978" s="17"/>
    </row>
    <row r="21979">
      <c r="F21979" s="17"/>
    </row>
    <row r="21980">
      <c r="F21980" s="17"/>
    </row>
    <row r="21981">
      <c r="F21981" s="17"/>
    </row>
    <row r="21982">
      <c r="F21982" s="17"/>
    </row>
    <row r="21983">
      <c r="F21983" s="17"/>
    </row>
    <row r="21984">
      <c r="F21984" s="17"/>
    </row>
    <row r="21985">
      <c r="F21985" s="17"/>
    </row>
    <row r="21986">
      <c r="F21986" s="17"/>
    </row>
    <row r="21987">
      <c r="F21987" s="17"/>
    </row>
    <row r="21988">
      <c r="F21988" s="17"/>
    </row>
    <row r="21989">
      <c r="F21989" s="17"/>
    </row>
    <row r="21990">
      <c r="F21990" s="17"/>
    </row>
    <row r="21991">
      <c r="F21991" s="17"/>
    </row>
    <row r="21992">
      <c r="F21992" s="17"/>
    </row>
    <row r="21993">
      <c r="F21993" s="17"/>
    </row>
    <row r="21994">
      <c r="F21994" s="17"/>
    </row>
    <row r="21995">
      <c r="F21995" s="17"/>
    </row>
    <row r="21996">
      <c r="F21996" s="17"/>
    </row>
    <row r="21997">
      <c r="F21997" s="17"/>
    </row>
    <row r="21998">
      <c r="F21998" s="17"/>
    </row>
    <row r="21999">
      <c r="F21999" s="17"/>
    </row>
    <row r="22000">
      <c r="F22000" s="17"/>
    </row>
    <row r="22001">
      <c r="F22001" s="17"/>
    </row>
    <row r="22002">
      <c r="F22002" s="17"/>
    </row>
    <row r="22003">
      <c r="F22003" s="17"/>
    </row>
    <row r="22004">
      <c r="F22004" s="17"/>
    </row>
    <row r="22005">
      <c r="F22005" s="17"/>
    </row>
    <row r="22006">
      <c r="F22006" s="17"/>
    </row>
    <row r="22007">
      <c r="F22007" s="17"/>
    </row>
    <row r="22008">
      <c r="F22008" s="17"/>
    </row>
    <row r="22009">
      <c r="F22009" s="17"/>
    </row>
    <row r="22010">
      <c r="F22010" s="17"/>
    </row>
    <row r="22011">
      <c r="F22011" s="17"/>
    </row>
    <row r="22012">
      <c r="F22012" s="17"/>
    </row>
    <row r="22013">
      <c r="F22013" s="17"/>
    </row>
    <row r="22014">
      <c r="F22014" s="17"/>
    </row>
    <row r="22015">
      <c r="F22015" s="17"/>
    </row>
    <row r="22016">
      <c r="F22016" s="17"/>
    </row>
    <row r="22017">
      <c r="F22017" s="17"/>
    </row>
    <row r="22018">
      <c r="F22018" s="17"/>
    </row>
    <row r="22019">
      <c r="F22019" s="17"/>
    </row>
    <row r="22020">
      <c r="F22020" s="17"/>
    </row>
    <row r="22021">
      <c r="F22021" s="17"/>
    </row>
    <row r="22022">
      <c r="F22022" s="17"/>
    </row>
    <row r="22023">
      <c r="F22023" s="17"/>
    </row>
    <row r="22024">
      <c r="F22024" s="17"/>
    </row>
    <row r="22025">
      <c r="F22025" s="17"/>
    </row>
    <row r="22026">
      <c r="F22026" s="17"/>
    </row>
    <row r="22027">
      <c r="F22027" s="17"/>
    </row>
    <row r="22028">
      <c r="F22028" s="17"/>
    </row>
    <row r="22029">
      <c r="F22029" s="17"/>
    </row>
    <row r="22030">
      <c r="F22030" s="17"/>
    </row>
    <row r="22031">
      <c r="F22031" s="17"/>
    </row>
    <row r="22032">
      <c r="F22032" s="17"/>
    </row>
    <row r="22033">
      <c r="F22033" s="17"/>
    </row>
    <row r="22034">
      <c r="F22034" s="17"/>
    </row>
    <row r="22035">
      <c r="F22035" s="17"/>
    </row>
    <row r="22036">
      <c r="F22036" s="17"/>
    </row>
    <row r="22037">
      <c r="F22037" s="17"/>
    </row>
    <row r="22038">
      <c r="F22038" s="17"/>
    </row>
    <row r="22039">
      <c r="F22039" s="17"/>
    </row>
    <row r="22040">
      <c r="F22040" s="17"/>
    </row>
    <row r="22041">
      <c r="F22041" s="17"/>
    </row>
    <row r="22042">
      <c r="F22042" s="17"/>
    </row>
    <row r="22043">
      <c r="F22043" s="17"/>
    </row>
    <row r="22044">
      <c r="F22044" s="17"/>
    </row>
    <row r="22045">
      <c r="F22045" s="17"/>
    </row>
    <row r="22046">
      <c r="F22046" s="17"/>
    </row>
    <row r="22047">
      <c r="F22047" s="17"/>
    </row>
    <row r="22048">
      <c r="F22048" s="17"/>
    </row>
    <row r="22049">
      <c r="F22049" s="17"/>
    </row>
    <row r="22050">
      <c r="F22050" s="17"/>
    </row>
    <row r="22051">
      <c r="F22051" s="17"/>
    </row>
    <row r="22052">
      <c r="F22052" s="17"/>
    </row>
    <row r="22053">
      <c r="F22053" s="17"/>
    </row>
    <row r="22054">
      <c r="F22054" s="17"/>
    </row>
    <row r="22055">
      <c r="F22055" s="17"/>
    </row>
    <row r="22056">
      <c r="F22056" s="17"/>
    </row>
    <row r="22057">
      <c r="F22057" s="17"/>
    </row>
    <row r="22058">
      <c r="F22058" s="17"/>
    </row>
    <row r="22059">
      <c r="F22059" s="17"/>
    </row>
    <row r="22060">
      <c r="F22060" s="17"/>
    </row>
    <row r="22061">
      <c r="F22061" s="17"/>
    </row>
    <row r="22062">
      <c r="F22062" s="17"/>
    </row>
    <row r="22063">
      <c r="F22063" s="17"/>
    </row>
    <row r="22064">
      <c r="F22064" s="17"/>
    </row>
    <row r="22065">
      <c r="F22065" s="17"/>
    </row>
    <row r="22066">
      <c r="F22066" s="17"/>
    </row>
    <row r="22067">
      <c r="F22067" s="17"/>
    </row>
    <row r="22068">
      <c r="F22068" s="17"/>
    </row>
    <row r="22069">
      <c r="F22069" s="17"/>
    </row>
    <row r="22070">
      <c r="F22070" s="17"/>
    </row>
    <row r="22071">
      <c r="F22071" s="17"/>
    </row>
    <row r="22072">
      <c r="F22072" s="17"/>
    </row>
    <row r="22073">
      <c r="F22073" s="17"/>
    </row>
    <row r="22074">
      <c r="F22074" s="17"/>
    </row>
    <row r="22075">
      <c r="F22075" s="17"/>
    </row>
    <row r="22076">
      <c r="F22076" s="17"/>
    </row>
    <row r="22077">
      <c r="F22077" s="17"/>
    </row>
    <row r="22078">
      <c r="F22078" s="17"/>
    </row>
    <row r="22079">
      <c r="F22079" s="17"/>
    </row>
    <row r="22080">
      <c r="F22080" s="17"/>
    </row>
    <row r="22081">
      <c r="F22081" s="17"/>
    </row>
    <row r="22082">
      <c r="F22082" s="17"/>
    </row>
    <row r="22083">
      <c r="F22083" s="17"/>
    </row>
    <row r="22084">
      <c r="F22084" s="17"/>
    </row>
    <row r="22085">
      <c r="F22085" s="17"/>
    </row>
    <row r="22086">
      <c r="F22086" s="17"/>
    </row>
    <row r="22087">
      <c r="F22087" s="17"/>
    </row>
    <row r="22088">
      <c r="F22088" s="17"/>
    </row>
    <row r="22089">
      <c r="F22089" s="17"/>
    </row>
    <row r="22090">
      <c r="F22090" s="17"/>
    </row>
    <row r="22091">
      <c r="F22091" s="17"/>
    </row>
    <row r="22092">
      <c r="F22092" s="17"/>
    </row>
    <row r="22093">
      <c r="F22093" s="17"/>
    </row>
    <row r="22094">
      <c r="F22094" s="17"/>
    </row>
    <row r="22095">
      <c r="F22095" s="17"/>
    </row>
    <row r="22096">
      <c r="F22096" s="17"/>
    </row>
    <row r="22097">
      <c r="F22097" s="17"/>
    </row>
    <row r="22098">
      <c r="F22098" s="17"/>
    </row>
    <row r="22099">
      <c r="F22099" s="17"/>
    </row>
    <row r="22100">
      <c r="F22100" s="17"/>
    </row>
    <row r="22101">
      <c r="F22101" s="17"/>
    </row>
    <row r="22102">
      <c r="F22102" s="17"/>
    </row>
    <row r="22103">
      <c r="F22103" s="17"/>
    </row>
    <row r="22104">
      <c r="F22104" s="17"/>
    </row>
    <row r="22105">
      <c r="F22105" s="17"/>
    </row>
    <row r="22106">
      <c r="F22106" s="17"/>
    </row>
    <row r="22107">
      <c r="F22107" s="17"/>
    </row>
    <row r="22108">
      <c r="F22108" s="17"/>
    </row>
    <row r="22109">
      <c r="F22109" s="17"/>
    </row>
    <row r="22110">
      <c r="F22110" s="17"/>
    </row>
    <row r="22111">
      <c r="F22111" s="17"/>
    </row>
    <row r="22112">
      <c r="F22112" s="17"/>
    </row>
    <row r="22113">
      <c r="F22113" s="17"/>
    </row>
    <row r="22114">
      <c r="F22114" s="17"/>
    </row>
    <row r="22115">
      <c r="F22115" s="17"/>
    </row>
    <row r="22116">
      <c r="F22116" s="17"/>
    </row>
    <row r="22117">
      <c r="F22117" s="17"/>
    </row>
    <row r="22118">
      <c r="F22118" s="17"/>
    </row>
    <row r="22119">
      <c r="F22119" s="17"/>
    </row>
    <row r="22120">
      <c r="F22120" s="17"/>
    </row>
    <row r="22121">
      <c r="F22121" s="17"/>
    </row>
    <row r="22122">
      <c r="F22122" s="17"/>
    </row>
    <row r="22123">
      <c r="F22123" s="17"/>
    </row>
    <row r="22124">
      <c r="F22124" s="17"/>
    </row>
    <row r="22125">
      <c r="F22125" s="17"/>
    </row>
    <row r="22126">
      <c r="F22126" s="17"/>
    </row>
    <row r="22127">
      <c r="F22127" s="17"/>
    </row>
    <row r="22128">
      <c r="F22128" s="17"/>
    </row>
    <row r="22129">
      <c r="F22129" s="17"/>
    </row>
    <row r="22130">
      <c r="F22130" s="17"/>
    </row>
    <row r="22131">
      <c r="F22131" s="17"/>
    </row>
    <row r="22132">
      <c r="F22132" s="17"/>
    </row>
    <row r="22133">
      <c r="F22133" s="17"/>
    </row>
    <row r="22134">
      <c r="F22134" s="17"/>
    </row>
    <row r="22135">
      <c r="F22135" s="17"/>
    </row>
    <row r="22136">
      <c r="F22136" s="17"/>
    </row>
    <row r="22137">
      <c r="F22137" s="17"/>
    </row>
    <row r="22138">
      <c r="F22138" s="17"/>
    </row>
    <row r="22139">
      <c r="F22139" s="17"/>
    </row>
    <row r="22140">
      <c r="F22140" s="17"/>
    </row>
    <row r="22141">
      <c r="F22141" s="17"/>
    </row>
    <row r="22142">
      <c r="F22142" s="17"/>
    </row>
    <row r="22143">
      <c r="F22143" s="17"/>
    </row>
    <row r="22144">
      <c r="F22144" s="17"/>
    </row>
    <row r="22145">
      <c r="F22145" s="17"/>
    </row>
    <row r="22146">
      <c r="F22146" s="17"/>
    </row>
    <row r="22147">
      <c r="F22147" s="17"/>
    </row>
    <row r="22148">
      <c r="F22148" s="17"/>
    </row>
    <row r="22149">
      <c r="F22149" s="17"/>
    </row>
    <row r="22150">
      <c r="F22150" s="17"/>
    </row>
    <row r="22151">
      <c r="F22151" s="17"/>
    </row>
    <row r="22152">
      <c r="F22152" s="17"/>
    </row>
    <row r="22153">
      <c r="F22153" s="17"/>
    </row>
    <row r="22154">
      <c r="F22154" s="17"/>
    </row>
    <row r="22155">
      <c r="F22155" s="17"/>
    </row>
    <row r="22156">
      <c r="F22156" s="17"/>
    </row>
    <row r="22157">
      <c r="F22157" s="17"/>
    </row>
    <row r="22158">
      <c r="F22158" s="17"/>
    </row>
    <row r="22159">
      <c r="F22159" s="17"/>
    </row>
    <row r="22160">
      <c r="F22160" s="17"/>
    </row>
    <row r="22161">
      <c r="F22161" s="17"/>
    </row>
    <row r="22162">
      <c r="F22162" s="17"/>
    </row>
    <row r="22163">
      <c r="F22163" s="17"/>
    </row>
    <row r="22164">
      <c r="F22164" s="17"/>
    </row>
    <row r="22165">
      <c r="F22165" s="17"/>
    </row>
    <row r="22166">
      <c r="F22166" s="17"/>
    </row>
    <row r="22167">
      <c r="F22167" s="17"/>
    </row>
    <row r="22168">
      <c r="F22168" s="17"/>
    </row>
    <row r="22169">
      <c r="F22169" s="17"/>
    </row>
    <row r="22170">
      <c r="F22170" s="17"/>
    </row>
    <row r="22171">
      <c r="F22171" s="17"/>
    </row>
    <row r="22172">
      <c r="F22172" s="17"/>
    </row>
    <row r="22173">
      <c r="F22173" s="17"/>
    </row>
    <row r="22174">
      <c r="F22174" s="17"/>
    </row>
    <row r="22175">
      <c r="F22175" s="17"/>
    </row>
    <row r="22176">
      <c r="F22176" s="17"/>
    </row>
    <row r="22177">
      <c r="F22177" s="17"/>
    </row>
    <row r="22178">
      <c r="F22178" s="17"/>
    </row>
    <row r="22179">
      <c r="F22179" s="17"/>
    </row>
    <row r="22180">
      <c r="F22180" s="17"/>
    </row>
    <row r="22181">
      <c r="F22181" s="17"/>
    </row>
    <row r="22182">
      <c r="F22182" s="17"/>
    </row>
    <row r="22183">
      <c r="F22183" s="17"/>
    </row>
    <row r="22184">
      <c r="F22184" s="17"/>
    </row>
    <row r="22185">
      <c r="F22185" s="17"/>
    </row>
    <row r="22186">
      <c r="F22186" s="17"/>
    </row>
    <row r="22187">
      <c r="F22187" s="17"/>
    </row>
    <row r="22188">
      <c r="F22188" s="17"/>
    </row>
    <row r="22189">
      <c r="F22189" s="17"/>
    </row>
    <row r="22190">
      <c r="F22190" s="17"/>
    </row>
    <row r="22191">
      <c r="F22191" s="17"/>
    </row>
    <row r="22192">
      <c r="F22192" s="17"/>
    </row>
    <row r="22193">
      <c r="F22193" s="17"/>
    </row>
    <row r="22194">
      <c r="F22194" s="17"/>
    </row>
    <row r="22195">
      <c r="F22195" s="17"/>
    </row>
    <row r="22196">
      <c r="F22196" s="17"/>
    </row>
    <row r="22197">
      <c r="F22197" s="17"/>
    </row>
    <row r="22198">
      <c r="F22198" s="17"/>
    </row>
    <row r="22199">
      <c r="F22199" s="17"/>
    </row>
    <row r="22200">
      <c r="F22200" s="17"/>
    </row>
    <row r="22201">
      <c r="F22201" s="17"/>
    </row>
    <row r="22202">
      <c r="F22202" s="17"/>
    </row>
    <row r="22203">
      <c r="F22203" s="17"/>
    </row>
    <row r="22204">
      <c r="F22204" s="17"/>
    </row>
    <row r="22205">
      <c r="F22205" s="17"/>
    </row>
    <row r="22206">
      <c r="F22206" s="17"/>
    </row>
    <row r="22207">
      <c r="F22207" s="17"/>
    </row>
    <row r="22208">
      <c r="F22208" s="17"/>
    </row>
    <row r="22209">
      <c r="F22209" s="17"/>
    </row>
    <row r="22210">
      <c r="F22210" s="17"/>
    </row>
    <row r="22211">
      <c r="F22211" s="17"/>
    </row>
    <row r="22212">
      <c r="F22212" s="17"/>
    </row>
    <row r="22213">
      <c r="F22213" s="17"/>
    </row>
    <row r="22214">
      <c r="F22214" s="17"/>
    </row>
    <row r="22215">
      <c r="F22215" s="17"/>
    </row>
    <row r="22216">
      <c r="F22216" s="17"/>
    </row>
    <row r="22217">
      <c r="F22217" s="17"/>
    </row>
    <row r="22218">
      <c r="F22218" s="17"/>
    </row>
    <row r="22219">
      <c r="F22219" s="17"/>
    </row>
    <row r="22220">
      <c r="F22220" s="17"/>
    </row>
    <row r="22221">
      <c r="F22221" s="17"/>
    </row>
    <row r="22222">
      <c r="F22222" s="17"/>
    </row>
    <row r="22223">
      <c r="F22223" s="17"/>
    </row>
    <row r="22224">
      <c r="F22224" s="17"/>
    </row>
    <row r="22225">
      <c r="F22225" s="17"/>
    </row>
    <row r="22226">
      <c r="F22226" s="17"/>
    </row>
    <row r="22227">
      <c r="F22227" s="17"/>
    </row>
    <row r="22228">
      <c r="F22228" s="17"/>
    </row>
    <row r="22229">
      <c r="F22229" s="17"/>
    </row>
    <row r="22230">
      <c r="F22230" s="17"/>
    </row>
    <row r="22231">
      <c r="F22231" s="17"/>
    </row>
    <row r="22232">
      <c r="F22232" s="17"/>
    </row>
    <row r="22233">
      <c r="F22233" s="17"/>
    </row>
    <row r="22234">
      <c r="F22234" s="17"/>
    </row>
    <row r="22235">
      <c r="F22235" s="17"/>
    </row>
    <row r="22236">
      <c r="F22236" s="17"/>
    </row>
    <row r="22237">
      <c r="F22237" s="17"/>
    </row>
    <row r="22238">
      <c r="F22238" s="17"/>
    </row>
    <row r="22239">
      <c r="F22239" s="17"/>
    </row>
    <row r="22240">
      <c r="F22240" s="17"/>
    </row>
    <row r="22241">
      <c r="F22241" s="17"/>
    </row>
    <row r="22242">
      <c r="F22242" s="17"/>
    </row>
    <row r="22243">
      <c r="F22243" s="17"/>
    </row>
    <row r="22244">
      <c r="F22244" s="17"/>
    </row>
    <row r="22245">
      <c r="F22245" s="17"/>
    </row>
    <row r="22246">
      <c r="F22246" s="17"/>
    </row>
    <row r="22247">
      <c r="F22247" s="17"/>
    </row>
    <row r="22248">
      <c r="F22248" s="17"/>
    </row>
    <row r="22249">
      <c r="F22249" s="17"/>
    </row>
    <row r="22250">
      <c r="F22250" s="17"/>
    </row>
    <row r="22251">
      <c r="F22251" s="17"/>
    </row>
    <row r="22252">
      <c r="F22252" s="17"/>
    </row>
    <row r="22253">
      <c r="F22253" s="17"/>
    </row>
    <row r="22254">
      <c r="F22254" s="17"/>
    </row>
    <row r="22255">
      <c r="F22255" s="17"/>
    </row>
    <row r="22256">
      <c r="F22256" s="17"/>
    </row>
    <row r="22257">
      <c r="F22257" s="17"/>
    </row>
    <row r="22258">
      <c r="F22258" s="17"/>
    </row>
    <row r="22259">
      <c r="F22259" s="17"/>
    </row>
    <row r="22260">
      <c r="F22260" s="17"/>
    </row>
    <row r="22261">
      <c r="F22261" s="17"/>
    </row>
    <row r="22262">
      <c r="F22262" s="17"/>
    </row>
    <row r="22263">
      <c r="F22263" s="17"/>
    </row>
    <row r="22264">
      <c r="F22264" s="17"/>
    </row>
    <row r="22265">
      <c r="F22265" s="17"/>
    </row>
    <row r="22266">
      <c r="F22266" s="17"/>
    </row>
    <row r="22267">
      <c r="F22267" s="17"/>
    </row>
    <row r="22268">
      <c r="F22268" s="17"/>
    </row>
    <row r="22269">
      <c r="F22269" s="17"/>
    </row>
    <row r="22270">
      <c r="F22270" s="17"/>
    </row>
    <row r="22271">
      <c r="F22271" s="17"/>
    </row>
    <row r="22272">
      <c r="F22272" s="17"/>
    </row>
    <row r="22273">
      <c r="F22273" s="17"/>
    </row>
    <row r="22274">
      <c r="F22274" s="17"/>
    </row>
    <row r="22275">
      <c r="F22275" s="17"/>
    </row>
    <row r="22276">
      <c r="F22276" s="17"/>
    </row>
    <row r="22277">
      <c r="F22277" s="17"/>
    </row>
    <row r="22278">
      <c r="F22278" s="17"/>
    </row>
    <row r="22279">
      <c r="F22279" s="17"/>
    </row>
    <row r="22280">
      <c r="F22280" s="17"/>
    </row>
    <row r="22281">
      <c r="F22281" s="17"/>
    </row>
    <row r="22282">
      <c r="F22282" s="17"/>
    </row>
    <row r="22283">
      <c r="F22283" s="17"/>
    </row>
    <row r="22284">
      <c r="F22284" s="17"/>
    </row>
    <row r="22285">
      <c r="F22285" s="17"/>
    </row>
    <row r="22286">
      <c r="F22286" s="17"/>
    </row>
    <row r="22287">
      <c r="F22287" s="17"/>
    </row>
    <row r="22288">
      <c r="F22288" s="17"/>
    </row>
    <row r="22289">
      <c r="F22289" s="17"/>
    </row>
    <row r="22290">
      <c r="F22290" s="17"/>
    </row>
    <row r="22291">
      <c r="F22291" s="17"/>
    </row>
    <row r="22292">
      <c r="F22292" s="17"/>
    </row>
    <row r="22293">
      <c r="F22293" s="17"/>
    </row>
    <row r="22294">
      <c r="F22294" s="17"/>
    </row>
    <row r="22295">
      <c r="F22295" s="17"/>
    </row>
    <row r="22296">
      <c r="F22296" s="17"/>
    </row>
    <row r="22297">
      <c r="F22297" s="17"/>
    </row>
    <row r="22298">
      <c r="F22298" s="17"/>
    </row>
    <row r="22299">
      <c r="F22299" s="17"/>
    </row>
    <row r="22300">
      <c r="F22300" s="17"/>
    </row>
    <row r="22301">
      <c r="F22301" s="17"/>
    </row>
    <row r="22302">
      <c r="F22302" s="17"/>
    </row>
    <row r="22303">
      <c r="F22303" s="17"/>
    </row>
    <row r="22304">
      <c r="F22304" s="17"/>
    </row>
    <row r="22305">
      <c r="F22305" s="17"/>
    </row>
    <row r="22306">
      <c r="F22306" s="17"/>
    </row>
    <row r="22307">
      <c r="F22307" s="17"/>
    </row>
    <row r="22308">
      <c r="F22308" s="17"/>
    </row>
    <row r="22309">
      <c r="F22309" s="17"/>
    </row>
    <row r="22310">
      <c r="F22310" s="17"/>
    </row>
    <row r="22311">
      <c r="F22311" s="17"/>
    </row>
    <row r="22312">
      <c r="F22312" s="17"/>
    </row>
    <row r="22313">
      <c r="F22313" s="17"/>
    </row>
    <row r="22314">
      <c r="F22314" s="17"/>
    </row>
    <row r="22315">
      <c r="F22315" s="17"/>
    </row>
    <row r="22316">
      <c r="F22316" s="17"/>
    </row>
    <row r="22317">
      <c r="F22317" s="17"/>
    </row>
    <row r="22318">
      <c r="F22318" s="17"/>
    </row>
    <row r="22319">
      <c r="F22319" s="17"/>
    </row>
    <row r="22320">
      <c r="F22320" s="17"/>
    </row>
    <row r="22321">
      <c r="F22321" s="17"/>
    </row>
    <row r="22322">
      <c r="F22322" s="17"/>
    </row>
    <row r="22323">
      <c r="F22323" s="17"/>
    </row>
    <row r="22324">
      <c r="F22324" s="17"/>
    </row>
    <row r="22325">
      <c r="F22325" s="17"/>
    </row>
    <row r="22326">
      <c r="F22326" s="17"/>
    </row>
    <row r="22327">
      <c r="F22327" s="17"/>
    </row>
    <row r="22328">
      <c r="F22328" s="17"/>
    </row>
    <row r="22329">
      <c r="F22329" s="17"/>
    </row>
    <row r="22330">
      <c r="F22330" s="17"/>
    </row>
    <row r="22331">
      <c r="F22331" s="17"/>
    </row>
    <row r="22332">
      <c r="F22332" s="17"/>
    </row>
    <row r="22333">
      <c r="F22333" s="17"/>
    </row>
    <row r="22334">
      <c r="F22334" s="17"/>
    </row>
    <row r="22335">
      <c r="F22335" s="17"/>
    </row>
    <row r="22336">
      <c r="F22336" s="17"/>
    </row>
    <row r="22337">
      <c r="F22337" s="17"/>
    </row>
    <row r="22338">
      <c r="F22338" s="17"/>
    </row>
    <row r="22339">
      <c r="F22339" s="17"/>
    </row>
    <row r="22340">
      <c r="F22340" s="17"/>
    </row>
    <row r="22341">
      <c r="F22341" s="17"/>
    </row>
    <row r="22342">
      <c r="F22342" s="17"/>
    </row>
    <row r="22343">
      <c r="F22343" s="17"/>
    </row>
    <row r="22344">
      <c r="F22344" s="17"/>
    </row>
    <row r="22345">
      <c r="F22345" s="17"/>
    </row>
    <row r="22346">
      <c r="F22346" s="17"/>
    </row>
    <row r="22347">
      <c r="F22347" s="17"/>
    </row>
    <row r="22348">
      <c r="F22348" s="17"/>
    </row>
    <row r="22349">
      <c r="F22349" s="17"/>
    </row>
    <row r="22350">
      <c r="F22350" s="17"/>
    </row>
    <row r="22351">
      <c r="F22351" s="17"/>
    </row>
    <row r="22352">
      <c r="F22352" s="17"/>
    </row>
    <row r="22353">
      <c r="F22353" s="17"/>
    </row>
    <row r="22354">
      <c r="F22354" s="17"/>
    </row>
    <row r="22355">
      <c r="F22355" s="17"/>
    </row>
    <row r="22356">
      <c r="F22356" s="17"/>
    </row>
    <row r="22357">
      <c r="F22357" s="17"/>
    </row>
    <row r="22358">
      <c r="F22358" s="17"/>
    </row>
    <row r="22359">
      <c r="F22359" s="17"/>
    </row>
    <row r="22360">
      <c r="F22360" s="17"/>
    </row>
    <row r="22361">
      <c r="F22361" s="17"/>
    </row>
    <row r="22362">
      <c r="F22362" s="17"/>
    </row>
    <row r="22363">
      <c r="F22363" s="17"/>
    </row>
    <row r="22364">
      <c r="F22364" s="17"/>
    </row>
    <row r="22365">
      <c r="F22365" s="17"/>
    </row>
    <row r="22366">
      <c r="F22366" s="17"/>
    </row>
    <row r="22367">
      <c r="F22367" s="17"/>
    </row>
    <row r="22368">
      <c r="F22368" s="17"/>
    </row>
    <row r="22369">
      <c r="F22369" s="17"/>
    </row>
    <row r="22370">
      <c r="F22370" s="17"/>
    </row>
    <row r="22371">
      <c r="F22371" s="17"/>
    </row>
    <row r="22372">
      <c r="F22372" s="17"/>
    </row>
    <row r="22373">
      <c r="F22373" s="17"/>
    </row>
    <row r="22374">
      <c r="F22374" s="17"/>
    </row>
    <row r="22375">
      <c r="F22375" s="17"/>
    </row>
    <row r="22376">
      <c r="F22376" s="17"/>
    </row>
    <row r="22377">
      <c r="F22377" s="17"/>
    </row>
    <row r="22378">
      <c r="F22378" s="17"/>
    </row>
    <row r="22379">
      <c r="F22379" s="17"/>
    </row>
    <row r="22380">
      <c r="F22380" s="17"/>
    </row>
    <row r="22381">
      <c r="F22381" s="17"/>
    </row>
    <row r="22382">
      <c r="F22382" s="17"/>
    </row>
    <row r="22383">
      <c r="F22383" s="17"/>
    </row>
    <row r="22384">
      <c r="F22384" s="17"/>
    </row>
    <row r="22385">
      <c r="F22385" s="17"/>
    </row>
    <row r="22386">
      <c r="F22386" s="17"/>
    </row>
    <row r="22387">
      <c r="F22387" s="17"/>
    </row>
    <row r="22388">
      <c r="F22388" s="17"/>
    </row>
    <row r="22389">
      <c r="F22389" s="17"/>
    </row>
    <row r="22390">
      <c r="F22390" s="17"/>
    </row>
    <row r="22391">
      <c r="F22391" s="17"/>
    </row>
    <row r="22392">
      <c r="F22392" s="17"/>
    </row>
    <row r="22393">
      <c r="F22393" s="17"/>
    </row>
    <row r="22394">
      <c r="F22394" s="17"/>
    </row>
    <row r="22395">
      <c r="F22395" s="17"/>
    </row>
    <row r="22396">
      <c r="F22396" s="17"/>
    </row>
    <row r="22397">
      <c r="F22397" s="17"/>
    </row>
    <row r="22398">
      <c r="F22398" s="17"/>
    </row>
    <row r="22399">
      <c r="F22399" s="17"/>
    </row>
    <row r="22400">
      <c r="F22400" s="17"/>
    </row>
    <row r="22401">
      <c r="F22401" s="17"/>
    </row>
    <row r="22402">
      <c r="F22402" s="17"/>
    </row>
    <row r="22403">
      <c r="F22403" s="17"/>
    </row>
    <row r="22404">
      <c r="F22404" s="17"/>
    </row>
    <row r="22405">
      <c r="F22405" s="17"/>
    </row>
    <row r="22406">
      <c r="F22406" s="17"/>
    </row>
    <row r="22407">
      <c r="F22407" s="17"/>
    </row>
    <row r="22408">
      <c r="F22408" s="17"/>
    </row>
    <row r="22409">
      <c r="F22409" s="17"/>
    </row>
    <row r="22410">
      <c r="F22410" s="17"/>
    </row>
    <row r="22411">
      <c r="F22411" s="17"/>
    </row>
    <row r="22412">
      <c r="F22412" s="17"/>
    </row>
    <row r="22413">
      <c r="F22413" s="17"/>
    </row>
    <row r="22414">
      <c r="F22414" s="17"/>
    </row>
    <row r="22415">
      <c r="F22415" s="17"/>
    </row>
    <row r="22416">
      <c r="F22416" s="17"/>
    </row>
    <row r="22417">
      <c r="F22417" s="17"/>
    </row>
    <row r="22418">
      <c r="F22418" s="17"/>
    </row>
    <row r="22419">
      <c r="F22419" s="17"/>
    </row>
    <row r="22420">
      <c r="F22420" s="17"/>
    </row>
    <row r="22421">
      <c r="F22421" s="17"/>
    </row>
    <row r="22422">
      <c r="F22422" s="17"/>
    </row>
    <row r="22423">
      <c r="F22423" s="17"/>
    </row>
    <row r="22424">
      <c r="F22424" s="17"/>
    </row>
    <row r="22425">
      <c r="F22425" s="17"/>
    </row>
    <row r="22426">
      <c r="F22426" s="17"/>
    </row>
    <row r="22427">
      <c r="F22427" s="17"/>
    </row>
    <row r="22428">
      <c r="F22428" s="17"/>
    </row>
    <row r="22429">
      <c r="F22429" s="17"/>
    </row>
    <row r="22430">
      <c r="F22430" s="17"/>
    </row>
    <row r="22431">
      <c r="F22431" s="17"/>
    </row>
    <row r="22432">
      <c r="F22432" s="17"/>
    </row>
    <row r="22433">
      <c r="F22433" s="17"/>
    </row>
    <row r="22434">
      <c r="F22434" s="17"/>
    </row>
    <row r="22435">
      <c r="F22435" s="17"/>
    </row>
    <row r="22436">
      <c r="F22436" s="17"/>
    </row>
    <row r="22437">
      <c r="F22437" s="17"/>
    </row>
    <row r="22438">
      <c r="F22438" s="17"/>
    </row>
    <row r="22439">
      <c r="F22439" s="17"/>
    </row>
    <row r="22440">
      <c r="F22440" s="17"/>
    </row>
    <row r="22441">
      <c r="F22441" s="17"/>
    </row>
    <row r="22442">
      <c r="F22442" s="17"/>
    </row>
    <row r="22443">
      <c r="F22443" s="17"/>
    </row>
    <row r="22444">
      <c r="F22444" s="17"/>
    </row>
    <row r="22445">
      <c r="F22445" s="17"/>
    </row>
    <row r="22446">
      <c r="F22446" s="17"/>
    </row>
    <row r="22447">
      <c r="F22447" s="17"/>
    </row>
    <row r="22448">
      <c r="F22448" s="17"/>
    </row>
    <row r="22449">
      <c r="F22449" s="17"/>
    </row>
    <row r="22450">
      <c r="F22450" s="17"/>
    </row>
    <row r="22451">
      <c r="F22451" s="17"/>
    </row>
    <row r="22452">
      <c r="F22452" s="17"/>
    </row>
    <row r="22453">
      <c r="F22453" s="17"/>
    </row>
    <row r="22454">
      <c r="F22454" s="17"/>
    </row>
    <row r="22455">
      <c r="F22455" s="17"/>
    </row>
    <row r="22456">
      <c r="F22456" s="17"/>
    </row>
    <row r="22457">
      <c r="F22457" s="17"/>
    </row>
    <row r="22458">
      <c r="F22458" s="17"/>
    </row>
    <row r="22459">
      <c r="F22459" s="17"/>
    </row>
    <row r="22460">
      <c r="F22460" s="17"/>
    </row>
    <row r="22461">
      <c r="F22461" s="17"/>
    </row>
    <row r="22462">
      <c r="F22462" s="17"/>
    </row>
    <row r="22463">
      <c r="F22463" s="17"/>
    </row>
    <row r="22464">
      <c r="F22464" s="17"/>
    </row>
    <row r="22465">
      <c r="F22465" s="17"/>
    </row>
    <row r="22466">
      <c r="F22466" s="17"/>
    </row>
    <row r="22467">
      <c r="F22467" s="17"/>
    </row>
    <row r="22468">
      <c r="F22468" s="17"/>
    </row>
    <row r="22469">
      <c r="F22469" s="17"/>
    </row>
    <row r="22470">
      <c r="F22470" s="17"/>
    </row>
    <row r="22471">
      <c r="F22471" s="17"/>
    </row>
    <row r="22472">
      <c r="F22472" s="17"/>
    </row>
    <row r="22473">
      <c r="F22473" s="17"/>
    </row>
    <row r="22474">
      <c r="F22474" s="17"/>
    </row>
    <row r="22475">
      <c r="F22475" s="17"/>
    </row>
    <row r="22476">
      <c r="F22476" s="17"/>
    </row>
    <row r="22477">
      <c r="F22477" s="17"/>
    </row>
    <row r="22478">
      <c r="F22478" s="17"/>
    </row>
    <row r="22479">
      <c r="F22479" s="17"/>
    </row>
    <row r="22480">
      <c r="F22480" s="17"/>
    </row>
    <row r="22481">
      <c r="F22481" s="17"/>
    </row>
    <row r="22482">
      <c r="F22482" s="17"/>
    </row>
    <row r="22483">
      <c r="F22483" s="17"/>
    </row>
    <row r="22484">
      <c r="F22484" s="17"/>
    </row>
    <row r="22485">
      <c r="F22485" s="17"/>
    </row>
    <row r="22486">
      <c r="F22486" s="17"/>
    </row>
    <row r="22487">
      <c r="F22487" s="17"/>
    </row>
    <row r="22488">
      <c r="F22488" s="17"/>
    </row>
    <row r="22489">
      <c r="F22489" s="17"/>
    </row>
    <row r="22490">
      <c r="F22490" s="17"/>
    </row>
    <row r="22491">
      <c r="F22491" s="17"/>
    </row>
    <row r="22492">
      <c r="F22492" s="17"/>
    </row>
    <row r="22493">
      <c r="F22493" s="17"/>
    </row>
    <row r="22494">
      <c r="F22494" s="17"/>
    </row>
    <row r="22495">
      <c r="F22495" s="17"/>
    </row>
    <row r="22496">
      <c r="F22496" s="17"/>
    </row>
    <row r="22497">
      <c r="F22497" s="17"/>
    </row>
    <row r="22498">
      <c r="F22498" s="17"/>
    </row>
    <row r="22499">
      <c r="F22499" s="17"/>
    </row>
    <row r="22500">
      <c r="F22500" s="17"/>
    </row>
    <row r="22501">
      <c r="F22501" s="17"/>
    </row>
    <row r="22502">
      <c r="F22502" s="17"/>
    </row>
    <row r="22503">
      <c r="F22503" s="17"/>
    </row>
    <row r="22504">
      <c r="F22504" s="17"/>
    </row>
    <row r="22505">
      <c r="F22505" s="17"/>
    </row>
    <row r="22506">
      <c r="F22506" s="17"/>
    </row>
    <row r="22507">
      <c r="F22507" s="17"/>
    </row>
    <row r="22508">
      <c r="F22508" s="17"/>
    </row>
    <row r="22509">
      <c r="F22509" s="17"/>
    </row>
    <row r="22510">
      <c r="F22510" s="17"/>
    </row>
    <row r="22511">
      <c r="F22511" s="17"/>
    </row>
    <row r="22512">
      <c r="F22512" s="17"/>
    </row>
    <row r="22513">
      <c r="F22513" s="17"/>
    </row>
    <row r="22514">
      <c r="F22514" s="17"/>
    </row>
    <row r="22515">
      <c r="F22515" s="17"/>
    </row>
    <row r="22516">
      <c r="F22516" s="17"/>
    </row>
    <row r="22517">
      <c r="F22517" s="17"/>
    </row>
    <row r="22518">
      <c r="F22518" s="17"/>
    </row>
    <row r="22519">
      <c r="F22519" s="17"/>
    </row>
    <row r="22520">
      <c r="F22520" s="17"/>
    </row>
    <row r="22521">
      <c r="F22521" s="17"/>
    </row>
    <row r="22522">
      <c r="F22522" s="17"/>
    </row>
    <row r="22523">
      <c r="F22523" s="17"/>
    </row>
    <row r="22524">
      <c r="F22524" s="17"/>
    </row>
    <row r="22525">
      <c r="F22525" s="17"/>
    </row>
    <row r="22526">
      <c r="F22526" s="17"/>
    </row>
    <row r="22527">
      <c r="F22527" s="17"/>
    </row>
    <row r="22528">
      <c r="F22528" s="17"/>
    </row>
    <row r="22529">
      <c r="F22529" s="17"/>
    </row>
    <row r="22530">
      <c r="F22530" s="17"/>
    </row>
    <row r="22531">
      <c r="F22531" s="17"/>
    </row>
    <row r="22532">
      <c r="F22532" s="17"/>
    </row>
    <row r="22533">
      <c r="F22533" s="17"/>
    </row>
    <row r="22534">
      <c r="F22534" s="17"/>
    </row>
    <row r="22535">
      <c r="F22535" s="17"/>
    </row>
    <row r="22536">
      <c r="F22536" s="17"/>
    </row>
    <row r="22537">
      <c r="F22537" s="17"/>
    </row>
    <row r="22538">
      <c r="F22538" s="17"/>
    </row>
    <row r="22539">
      <c r="F22539" s="17"/>
    </row>
    <row r="22540">
      <c r="F22540" s="17"/>
    </row>
    <row r="22541">
      <c r="F22541" s="17"/>
    </row>
    <row r="22542">
      <c r="F22542" s="17"/>
    </row>
    <row r="22543">
      <c r="F22543" s="17"/>
    </row>
    <row r="22544">
      <c r="F22544" s="17"/>
    </row>
    <row r="22545">
      <c r="F22545" s="17"/>
    </row>
    <row r="22546">
      <c r="F22546" s="17"/>
    </row>
    <row r="22547">
      <c r="F22547" s="17"/>
    </row>
    <row r="22548">
      <c r="F22548" s="17"/>
    </row>
    <row r="22549">
      <c r="F22549" s="17"/>
    </row>
    <row r="22550">
      <c r="F22550" s="17"/>
    </row>
    <row r="22551">
      <c r="F22551" s="17"/>
    </row>
    <row r="22552">
      <c r="F22552" s="17"/>
    </row>
    <row r="22553">
      <c r="F22553" s="17"/>
    </row>
    <row r="22554">
      <c r="F22554" s="17"/>
    </row>
    <row r="22555">
      <c r="F22555" s="17"/>
    </row>
    <row r="22556">
      <c r="F22556" s="17"/>
    </row>
    <row r="22557">
      <c r="F22557" s="17"/>
    </row>
    <row r="22558">
      <c r="F22558" s="17"/>
    </row>
    <row r="22559">
      <c r="F22559" s="17"/>
    </row>
    <row r="22560">
      <c r="F22560" s="17"/>
    </row>
    <row r="22561">
      <c r="F22561" s="17"/>
    </row>
    <row r="22562">
      <c r="F22562" s="17"/>
    </row>
    <row r="22563">
      <c r="F22563" s="17"/>
    </row>
    <row r="22564">
      <c r="F22564" s="17"/>
    </row>
    <row r="22565">
      <c r="F22565" s="17"/>
    </row>
    <row r="22566">
      <c r="F22566" s="17"/>
    </row>
    <row r="22567">
      <c r="F22567" s="17"/>
    </row>
    <row r="22568">
      <c r="F22568" s="17"/>
    </row>
    <row r="22569">
      <c r="F22569" s="17"/>
    </row>
    <row r="22570">
      <c r="F22570" s="17"/>
    </row>
    <row r="22571">
      <c r="F22571" s="17"/>
    </row>
    <row r="22572">
      <c r="F22572" s="17"/>
    </row>
    <row r="22573">
      <c r="F22573" s="17"/>
    </row>
    <row r="22574">
      <c r="F22574" s="17"/>
    </row>
    <row r="22575">
      <c r="F22575" s="17"/>
    </row>
    <row r="22576">
      <c r="F22576" s="17"/>
    </row>
    <row r="22577">
      <c r="F22577" s="17"/>
    </row>
    <row r="22578">
      <c r="F22578" s="17"/>
    </row>
    <row r="22579">
      <c r="F22579" s="17"/>
    </row>
    <row r="22580">
      <c r="F22580" s="17"/>
    </row>
    <row r="22581">
      <c r="F22581" s="17"/>
    </row>
    <row r="22582">
      <c r="F22582" s="17"/>
    </row>
    <row r="22583">
      <c r="F22583" s="17"/>
    </row>
    <row r="22584">
      <c r="F22584" s="17"/>
    </row>
    <row r="22585">
      <c r="F22585" s="17"/>
    </row>
    <row r="22586">
      <c r="F22586" s="17"/>
    </row>
    <row r="22587">
      <c r="F22587" s="17"/>
    </row>
    <row r="22588">
      <c r="F22588" s="17"/>
    </row>
    <row r="22589">
      <c r="F22589" s="17"/>
    </row>
    <row r="22590">
      <c r="F22590" s="17"/>
    </row>
    <row r="22591">
      <c r="F22591" s="17"/>
    </row>
    <row r="22592">
      <c r="F22592" s="17"/>
    </row>
    <row r="22593">
      <c r="F22593" s="17"/>
    </row>
    <row r="22594">
      <c r="F22594" s="17"/>
    </row>
    <row r="22595">
      <c r="F22595" s="17"/>
    </row>
    <row r="22596">
      <c r="F22596" s="17"/>
    </row>
    <row r="22597">
      <c r="F22597" s="17"/>
    </row>
    <row r="22598">
      <c r="F22598" s="17"/>
    </row>
    <row r="22599">
      <c r="F22599" s="17"/>
    </row>
    <row r="22600">
      <c r="F22600" s="17"/>
    </row>
    <row r="22601">
      <c r="F22601" s="17"/>
    </row>
    <row r="22602">
      <c r="F22602" s="17"/>
    </row>
    <row r="22603">
      <c r="F22603" s="17"/>
    </row>
    <row r="22604">
      <c r="F22604" s="17"/>
    </row>
    <row r="22605">
      <c r="F22605" s="17"/>
    </row>
    <row r="22606">
      <c r="F22606" s="17"/>
    </row>
    <row r="22607">
      <c r="F22607" s="17"/>
    </row>
    <row r="22608">
      <c r="F22608" s="17"/>
    </row>
    <row r="22609">
      <c r="F22609" s="17"/>
    </row>
    <row r="22610">
      <c r="F22610" s="17"/>
    </row>
    <row r="22611">
      <c r="F22611" s="17"/>
    </row>
    <row r="22612">
      <c r="F22612" s="17"/>
    </row>
    <row r="22613">
      <c r="F22613" s="17"/>
    </row>
    <row r="22614">
      <c r="F22614" s="17"/>
    </row>
    <row r="22615">
      <c r="F22615" s="17"/>
    </row>
    <row r="22616">
      <c r="F22616" s="17"/>
    </row>
    <row r="22617">
      <c r="F22617" s="17"/>
    </row>
    <row r="22618">
      <c r="F22618" s="17"/>
    </row>
    <row r="22619">
      <c r="F22619" s="17"/>
    </row>
    <row r="22620">
      <c r="F22620" s="17"/>
    </row>
    <row r="22621">
      <c r="F22621" s="17"/>
    </row>
    <row r="22622">
      <c r="F22622" s="17"/>
    </row>
    <row r="22623">
      <c r="F22623" s="17"/>
    </row>
    <row r="22624">
      <c r="F22624" s="17"/>
    </row>
    <row r="22625">
      <c r="F22625" s="17"/>
    </row>
    <row r="22626">
      <c r="F22626" s="17"/>
    </row>
    <row r="22627">
      <c r="F22627" s="17"/>
    </row>
    <row r="22628">
      <c r="F22628" s="17"/>
    </row>
    <row r="22629">
      <c r="F22629" s="17"/>
    </row>
    <row r="22630">
      <c r="F22630" s="17"/>
    </row>
    <row r="22631">
      <c r="F22631" s="17"/>
    </row>
    <row r="22632">
      <c r="F22632" s="17"/>
    </row>
    <row r="22633">
      <c r="F22633" s="17"/>
    </row>
    <row r="22634">
      <c r="F22634" s="17"/>
    </row>
    <row r="22635">
      <c r="F22635" s="17"/>
    </row>
    <row r="22636">
      <c r="F22636" s="17"/>
    </row>
    <row r="22637">
      <c r="F22637" s="17"/>
    </row>
    <row r="22638">
      <c r="F22638" s="17"/>
    </row>
    <row r="22639">
      <c r="F22639" s="17"/>
    </row>
    <row r="22640">
      <c r="F22640" s="17"/>
    </row>
    <row r="22641">
      <c r="F22641" s="17"/>
    </row>
    <row r="22642">
      <c r="F22642" s="17"/>
    </row>
    <row r="22643">
      <c r="F22643" s="17"/>
    </row>
    <row r="22644">
      <c r="F22644" s="17"/>
    </row>
    <row r="22645">
      <c r="F22645" s="17"/>
    </row>
    <row r="22646">
      <c r="F22646" s="17"/>
    </row>
    <row r="22647">
      <c r="F22647" s="17"/>
    </row>
    <row r="22648">
      <c r="F22648" s="17"/>
    </row>
    <row r="22649">
      <c r="F22649" s="17"/>
    </row>
    <row r="22650">
      <c r="F22650" s="17"/>
    </row>
    <row r="22651">
      <c r="F22651" s="17"/>
    </row>
    <row r="22652">
      <c r="F22652" s="17"/>
    </row>
    <row r="22653">
      <c r="F22653" s="17"/>
    </row>
    <row r="22654">
      <c r="F22654" s="17"/>
    </row>
    <row r="22655">
      <c r="F22655" s="17"/>
    </row>
    <row r="22656">
      <c r="F22656" s="17"/>
    </row>
    <row r="22657">
      <c r="F22657" s="17"/>
    </row>
    <row r="22658">
      <c r="F22658" s="17"/>
    </row>
    <row r="22659">
      <c r="F22659" s="17"/>
    </row>
    <row r="22660">
      <c r="F22660" s="17"/>
    </row>
    <row r="22661">
      <c r="F22661" s="17"/>
    </row>
    <row r="22662">
      <c r="F22662" s="17"/>
    </row>
    <row r="22663">
      <c r="F22663" s="17"/>
    </row>
    <row r="22664">
      <c r="F22664" s="17"/>
    </row>
    <row r="22665">
      <c r="F22665" s="17"/>
    </row>
    <row r="22666">
      <c r="F22666" s="17"/>
    </row>
    <row r="22667">
      <c r="F22667" s="17"/>
    </row>
    <row r="22668">
      <c r="F22668" s="17"/>
    </row>
    <row r="22669">
      <c r="F22669" s="17"/>
    </row>
    <row r="22670">
      <c r="F22670" s="17"/>
    </row>
    <row r="22671">
      <c r="F22671" s="17"/>
    </row>
    <row r="22672">
      <c r="F22672" s="17"/>
    </row>
    <row r="22673">
      <c r="F22673" s="17"/>
    </row>
    <row r="22674">
      <c r="F22674" s="17"/>
    </row>
    <row r="22675">
      <c r="F22675" s="17"/>
    </row>
    <row r="22676">
      <c r="F22676" s="17"/>
    </row>
    <row r="22677">
      <c r="F22677" s="17"/>
    </row>
    <row r="22678">
      <c r="F22678" s="17"/>
    </row>
    <row r="22679">
      <c r="F22679" s="17"/>
    </row>
    <row r="22680">
      <c r="F22680" s="17"/>
    </row>
    <row r="22681">
      <c r="F22681" s="17"/>
    </row>
    <row r="22682">
      <c r="F22682" s="17"/>
    </row>
    <row r="22683">
      <c r="F22683" s="17"/>
    </row>
    <row r="22684">
      <c r="F22684" s="17"/>
    </row>
    <row r="22685">
      <c r="F22685" s="17"/>
    </row>
    <row r="22686">
      <c r="F22686" s="17"/>
    </row>
    <row r="22687">
      <c r="F22687" s="17"/>
    </row>
    <row r="22688">
      <c r="F22688" s="17"/>
    </row>
    <row r="22689">
      <c r="F22689" s="17"/>
    </row>
    <row r="22690">
      <c r="F22690" s="17"/>
    </row>
    <row r="22691">
      <c r="F22691" s="17"/>
    </row>
    <row r="22692">
      <c r="F22692" s="17"/>
    </row>
    <row r="22693">
      <c r="F22693" s="17"/>
    </row>
    <row r="22694">
      <c r="F22694" s="17"/>
    </row>
    <row r="22695">
      <c r="F22695" s="17"/>
    </row>
    <row r="22696">
      <c r="F22696" s="17"/>
    </row>
    <row r="22697">
      <c r="F22697" s="17"/>
    </row>
    <row r="22698">
      <c r="F22698" s="17"/>
    </row>
    <row r="22699">
      <c r="F22699" s="17"/>
    </row>
    <row r="22700">
      <c r="F22700" s="17"/>
    </row>
    <row r="22701">
      <c r="F22701" s="17"/>
    </row>
    <row r="22702">
      <c r="F22702" s="17"/>
    </row>
    <row r="22703">
      <c r="F22703" s="17"/>
    </row>
    <row r="22704">
      <c r="F22704" s="17"/>
    </row>
    <row r="22705">
      <c r="F22705" s="17"/>
    </row>
    <row r="22706">
      <c r="F22706" s="17"/>
    </row>
    <row r="22707">
      <c r="F22707" s="17"/>
    </row>
    <row r="22708">
      <c r="F22708" s="17"/>
    </row>
    <row r="22709">
      <c r="F22709" s="17"/>
    </row>
    <row r="22710">
      <c r="F22710" s="17"/>
    </row>
    <row r="22711">
      <c r="F22711" s="17"/>
    </row>
    <row r="22712">
      <c r="F22712" s="17"/>
    </row>
    <row r="22713">
      <c r="F22713" s="17"/>
    </row>
    <row r="22714">
      <c r="F22714" s="17"/>
    </row>
    <row r="22715">
      <c r="F22715" s="17"/>
    </row>
    <row r="22716">
      <c r="F22716" s="17"/>
    </row>
    <row r="22717">
      <c r="F22717" s="17"/>
    </row>
    <row r="22718">
      <c r="F22718" s="17"/>
    </row>
    <row r="22719">
      <c r="F22719" s="17"/>
    </row>
    <row r="22720">
      <c r="F22720" s="17"/>
    </row>
    <row r="22721">
      <c r="F22721" s="17"/>
    </row>
    <row r="22722">
      <c r="F22722" s="17"/>
    </row>
    <row r="22723">
      <c r="F22723" s="17"/>
    </row>
    <row r="22724">
      <c r="F22724" s="17"/>
    </row>
    <row r="22725">
      <c r="F22725" s="17"/>
    </row>
    <row r="22726">
      <c r="F22726" s="17"/>
    </row>
    <row r="22727">
      <c r="F22727" s="17"/>
    </row>
    <row r="22728">
      <c r="F22728" s="17"/>
    </row>
    <row r="22729">
      <c r="F22729" s="17"/>
    </row>
    <row r="22730">
      <c r="F22730" s="17"/>
    </row>
    <row r="22731">
      <c r="F22731" s="17"/>
    </row>
    <row r="22732">
      <c r="F22732" s="17"/>
    </row>
    <row r="22733">
      <c r="F22733" s="17"/>
    </row>
    <row r="22734">
      <c r="F22734" s="17"/>
    </row>
    <row r="22735">
      <c r="F22735" s="17"/>
    </row>
    <row r="22736">
      <c r="F22736" s="17"/>
    </row>
    <row r="22737">
      <c r="F22737" s="17"/>
    </row>
    <row r="22738">
      <c r="F22738" s="17"/>
    </row>
    <row r="22739">
      <c r="F22739" s="17"/>
    </row>
    <row r="22740">
      <c r="F22740" s="17"/>
    </row>
    <row r="22741">
      <c r="F22741" s="17"/>
    </row>
    <row r="22742">
      <c r="F22742" s="17"/>
    </row>
    <row r="22743">
      <c r="F22743" s="17"/>
    </row>
    <row r="22744">
      <c r="F22744" s="17"/>
    </row>
    <row r="22745">
      <c r="F22745" s="17"/>
    </row>
    <row r="22746">
      <c r="F22746" s="17"/>
    </row>
    <row r="22747">
      <c r="F22747" s="17"/>
    </row>
    <row r="22748">
      <c r="F22748" s="17"/>
    </row>
    <row r="22749">
      <c r="F22749" s="17"/>
    </row>
    <row r="22750">
      <c r="F22750" s="17"/>
    </row>
    <row r="22751">
      <c r="F22751" s="17"/>
    </row>
    <row r="22752">
      <c r="F22752" s="17"/>
    </row>
    <row r="22753">
      <c r="F22753" s="17"/>
    </row>
    <row r="22754">
      <c r="F22754" s="17"/>
    </row>
    <row r="22755">
      <c r="F22755" s="17"/>
    </row>
    <row r="22756">
      <c r="F22756" s="17"/>
    </row>
    <row r="22757">
      <c r="F22757" s="17"/>
    </row>
    <row r="22758">
      <c r="F22758" s="17"/>
    </row>
    <row r="22759">
      <c r="F22759" s="17"/>
    </row>
    <row r="22760">
      <c r="F22760" s="17"/>
    </row>
    <row r="22761">
      <c r="F22761" s="17"/>
    </row>
    <row r="22762">
      <c r="F22762" s="17"/>
    </row>
    <row r="22763">
      <c r="F22763" s="17"/>
    </row>
    <row r="22764">
      <c r="F22764" s="17"/>
    </row>
    <row r="22765">
      <c r="F22765" s="17"/>
    </row>
    <row r="22766">
      <c r="F22766" s="17"/>
    </row>
    <row r="22767">
      <c r="F22767" s="17"/>
    </row>
    <row r="22768">
      <c r="F22768" s="17"/>
    </row>
    <row r="22769">
      <c r="F22769" s="17"/>
    </row>
    <row r="22770">
      <c r="F22770" s="17"/>
    </row>
    <row r="22771">
      <c r="F22771" s="17"/>
    </row>
    <row r="22772">
      <c r="F22772" s="17"/>
    </row>
    <row r="22773">
      <c r="F22773" s="17"/>
    </row>
    <row r="22774">
      <c r="F22774" s="17"/>
    </row>
    <row r="22775">
      <c r="F22775" s="17"/>
    </row>
    <row r="22776">
      <c r="F22776" s="17"/>
    </row>
    <row r="22777">
      <c r="F22777" s="17"/>
    </row>
    <row r="22778">
      <c r="F22778" s="17"/>
    </row>
    <row r="22779">
      <c r="F22779" s="17"/>
    </row>
    <row r="22780">
      <c r="F22780" s="17"/>
    </row>
    <row r="22781">
      <c r="F22781" s="17"/>
    </row>
    <row r="22782">
      <c r="F22782" s="17"/>
    </row>
    <row r="22783">
      <c r="F22783" s="17"/>
    </row>
    <row r="22784">
      <c r="F22784" s="17"/>
    </row>
    <row r="22785">
      <c r="F22785" s="17"/>
    </row>
    <row r="22786">
      <c r="F22786" s="17"/>
    </row>
    <row r="22787">
      <c r="F22787" s="17"/>
    </row>
    <row r="22788">
      <c r="F22788" s="17"/>
    </row>
    <row r="22789">
      <c r="F22789" s="17"/>
    </row>
    <row r="22790">
      <c r="F22790" s="17"/>
    </row>
    <row r="22791">
      <c r="F22791" s="17"/>
    </row>
    <row r="22792">
      <c r="F22792" s="17"/>
    </row>
    <row r="22793">
      <c r="F22793" s="17"/>
    </row>
    <row r="22794">
      <c r="F22794" s="17"/>
    </row>
    <row r="22795">
      <c r="F22795" s="17"/>
    </row>
    <row r="22796">
      <c r="F22796" s="17"/>
    </row>
    <row r="22797">
      <c r="F22797" s="17"/>
    </row>
    <row r="22798">
      <c r="F22798" s="17"/>
    </row>
    <row r="22799">
      <c r="F22799" s="17"/>
    </row>
    <row r="22800">
      <c r="F22800" s="17"/>
    </row>
    <row r="22801">
      <c r="F22801" s="17"/>
    </row>
    <row r="22802">
      <c r="F22802" s="17"/>
    </row>
    <row r="22803">
      <c r="F22803" s="17"/>
    </row>
    <row r="22804">
      <c r="F22804" s="17"/>
    </row>
    <row r="22805">
      <c r="F22805" s="17"/>
    </row>
    <row r="22806">
      <c r="F22806" s="17"/>
    </row>
    <row r="22807">
      <c r="F22807" s="17"/>
    </row>
    <row r="22808">
      <c r="F22808" s="17"/>
    </row>
    <row r="22809">
      <c r="F22809" s="17"/>
    </row>
    <row r="22810">
      <c r="F22810" s="17"/>
    </row>
    <row r="22811">
      <c r="F22811" s="17"/>
    </row>
    <row r="22812">
      <c r="F22812" s="17"/>
    </row>
    <row r="22813">
      <c r="F22813" s="17"/>
    </row>
    <row r="22814">
      <c r="F22814" s="17"/>
    </row>
    <row r="22815">
      <c r="F22815" s="17"/>
    </row>
    <row r="22816">
      <c r="F22816" s="17"/>
    </row>
    <row r="22817">
      <c r="F22817" s="17"/>
    </row>
    <row r="22818">
      <c r="F22818" s="17"/>
    </row>
    <row r="22819">
      <c r="F22819" s="17"/>
    </row>
    <row r="22820">
      <c r="F22820" s="17"/>
    </row>
    <row r="22821">
      <c r="F22821" s="17"/>
    </row>
    <row r="22822">
      <c r="F22822" s="17"/>
    </row>
    <row r="22823">
      <c r="F22823" s="17"/>
    </row>
    <row r="22824">
      <c r="F22824" s="17"/>
    </row>
    <row r="22825">
      <c r="F22825" s="17"/>
    </row>
    <row r="22826">
      <c r="F22826" s="17"/>
    </row>
    <row r="22827">
      <c r="F22827" s="17"/>
    </row>
    <row r="22828">
      <c r="F22828" s="17"/>
    </row>
    <row r="22829">
      <c r="F22829" s="17"/>
    </row>
    <row r="22830">
      <c r="F22830" s="17"/>
    </row>
    <row r="22831">
      <c r="F22831" s="17"/>
    </row>
    <row r="22832">
      <c r="F22832" s="17"/>
    </row>
    <row r="22833">
      <c r="F22833" s="17"/>
    </row>
    <row r="22834">
      <c r="F22834" s="17"/>
    </row>
    <row r="22835">
      <c r="F22835" s="17"/>
    </row>
    <row r="22836">
      <c r="F22836" s="17"/>
    </row>
    <row r="22837">
      <c r="F22837" s="17"/>
    </row>
    <row r="22838">
      <c r="F22838" s="17"/>
    </row>
    <row r="22839">
      <c r="F22839" s="17"/>
    </row>
    <row r="22840">
      <c r="F22840" s="17"/>
    </row>
    <row r="22841">
      <c r="F22841" s="17"/>
    </row>
    <row r="22842">
      <c r="F22842" s="17"/>
    </row>
    <row r="22843">
      <c r="F22843" s="17"/>
    </row>
    <row r="22844">
      <c r="F22844" s="17"/>
    </row>
    <row r="22845">
      <c r="F22845" s="17"/>
    </row>
    <row r="22846">
      <c r="F22846" s="17"/>
    </row>
    <row r="22847">
      <c r="F22847" s="17"/>
    </row>
    <row r="22848">
      <c r="F22848" s="17"/>
    </row>
    <row r="22849">
      <c r="F22849" s="17"/>
    </row>
    <row r="22850">
      <c r="F22850" s="17"/>
    </row>
    <row r="22851">
      <c r="F22851" s="17"/>
    </row>
    <row r="22852">
      <c r="F22852" s="17"/>
    </row>
    <row r="22853">
      <c r="F22853" s="17"/>
    </row>
    <row r="22854">
      <c r="F22854" s="17"/>
    </row>
    <row r="22855">
      <c r="F22855" s="17"/>
    </row>
    <row r="22856">
      <c r="F22856" s="17"/>
    </row>
    <row r="22857">
      <c r="F22857" s="17"/>
    </row>
    <row r="22858">
      <c r="F22858" s="17"/>
    </row>
    <row r="22859">
      <c r="F22859" s="17"/>
    </row>
    <row r="22860">
      <c r="F22860" s="17"/>
    </row>
    <row r="22861">
      <c r="F22861" s="17"/>
    </row>
    <row r="22862">
      <c r="F22862" s="17"/>
    </row>
    <row r="22863">
      <c r="F22863" s="17"/>
    </row>
    <row r="22864">
      <c r="F22864" s="17"/>
    </row>
    <row r="22865">
      <c r="F22865" s="17"/>
    </row>
    <row r="22866">
      <c r="F22866" s="17"/>
    </row>
    <row r="22867">
      <c r="F22867" s="17"/>
    </row>
    <row r="22868">
      <c r="F22868" s="17"/>
    </row>
    <row r="22869">
      <c r="F22869" s="17"/>
    </row>
    <row r="22870">
      <c r="F22870" s="17"/>
    </row>
    <row r="22871">
      <c r="F22871" s="17"/>
    </row>
    <row r="22872">
      <c r="F22872" s="17"/>
    </row>
    <row r="22873">
      <c r="F22873" s="17"/>
    </row>
    <row r="22874">
      <c r="F22874" s="17"/>
    </row>
    <row r="22875">
      <c r="F22875" s="17"/>
    </row>
    <row r="22876">
      <c r="F22876" s="17"/>
    </row>
    <row r="22877">
      <c r="F22877" s="17"/>
    </row>
    <row r="22878">
      <c r="F22878" s="17"/>
    </row>
    <row r="22879">
      <c r="F22879" s="17"/>
    </row>
    <row r="22880">
      <c r="F22880" s="17"/>
    </row>
    <row r="22881">
      <c r="F22881" s="17"/>
    </row>
    <row r="22882">
      <c r="F22882" s="17"/>
    </row>
    <row r="22883">
      <c r="F22883" s="17"/>
    </row>
    <row r="22884">
      <c r="F22884" s="17"/>
    </row>
    <row r="22885">
      <c r="F22885" s="17"/>
    </row>
    <row r="22886">
      <c r="F22886" s="17"/>
    </row>
    <row r="22887">
      <c r="F22887" s="17"/>
    </row>
    <row r="22888">
      <c r="F22888" s="17"/>
    </row>
    <row r="22889">
      <c r="F22889" s="17"/>
    </row>
    <row r="22890">
      <c r="F22890" s="17"/>
    </row>
    <row r="22891">
      <c r="F22891" s="17"/>
    </row>
    <row r="22892">
      <c r="F22892" s="17"/>
    </row>
    <row r="22893">
      <c r="F22893" s="17"/>
    </row>
    <row r="22894">
      <c r="F22894" s="17"/>
    </row>
    <row r="22895">
      <c r="F22895" s="17"/>
    </row>
    <row r="22896">
      <c r="F22896" s="17"/>
    </row>
    <row r="22897">
      <c r="F22897" s="17"/>
    </row>
    <row r="22898">
      <c r="F22898" s="17"/>
    </row>
    <row r="22899">
      <c r="F22899" s="17"/>
    </row>
    <row r="22900">
      <c r="F22900" s="17"/>
    </row>
    <row r="22901">
      <c r="F22901" s="17"/>
    </row>
    <row r="22902">
      <c r="F22902" s="17"/>
    </row>
    <row r="22903">
      <c r="F22903" s="17"/>
    </row>
    <row r="22904">
      <c r="F22904" s="17"/>
    </row>
    <row r="22905">
      <c r="F22905" s="17"/>
    </row>
    <row r="22906">
      <c r="F22906" s="17"/>
    </row>
    <row r="22907">
      <c r="F22907" s="17"/>
    </row>
    <row r="22908">
      <c r="F22908" s="17"/>
    </row>
    <row r="22909">
      <c r="F22909" s="17"/>
    </row>
    <row r="22910">
      <c r="F22910" s="17"/>
    </row>
    <row r="22911">
      <c r="F22911" s="17"/>
    </row>
    <row r="22912">
      <c r="F22912" s="17"/>
    </row>
    <row r="22913">
      <c r="F22913" s="17"/>
    </row>
    <row r="22914">
      <c r="F22914" s="17"/>
    </row>
    <row r="22915">
      <c r="F22915" s="17"/>
    </row>
    <row r="22916">
      <c r="F22916" s="17"/>
    </row>
    <row r="22917">
      <c r="F22917" s="17"/>
    </row>
    <row r="22918">
      <c r="F22918" s="17"/>
    </row>
    <row r="22919">
      <c r="F22919" s="17"/>
    </row>
    <row r="22920">
      <c r="F22920" s="17"/>
    </row>
    <row r="22921">
      <c r="F22921" s="17"/>
    </row>
    <row r="22922">
      <c r="F22922" s="17"/>
    </row>
    <row r="22923">
      <c r="F22923" s="17"/>
    </row>
    <row r="22924">
      <c r="F22924" s="17"/>
    </row>
    <row r="22925">
      <c r="F22925" s="17"/>
    </row>
    <row r="22926">
      <c r="F22926" s="17"/>
    </row>
    <row r="22927">
      <c r="F22927" s="17"/>
    </row>
    <row r="22928">
      <c r="F22928" s="17"/>
    </row>
    <row r="22929">
      <c r="F22929" s="17"/>
    </row>
    <row r="22930">
      <c r="F22930" s="17"/>
    </row>
    <row r="22931">
      <c r="F22931" s="17"/>
    </row>
    <row r="22932">
      <c r="F22932" s="17"/>
    </row>
    <row r="22933">
      <c r="F22933" s="17"/>
    </row>
    <row r="22934">
      <c r="F22934" s="17"/>
    </row>
    <row r="22935">
      <c r="F22935" s="17"/>
    </row>
    <row r="22936">
      <c r="F22936" s="17"/>
    </row>
    <row r="22937">
      <c r="F22937" s="17"/>
    </row>
    <row r="22938">
      <c r="F22938" s="17"/>
    </row>
    <row r="22939">
      <c r="F22939" s="17"/>
    </row>
    <row r="22940">
      <c r="F22940" s="17"/>
    </row>
    <row r="22941">
      <c r="F22941" s="17"/>
    </row>
    <row r="22942">
      <c r="F22942" s="17"/>
    </row>
    <row r="22943">
      <c r="F22943" s="17"/>
    </row>
    <row r="22944">
      <c r="F22944" s="17"/>
    </row>
    <row r="22945">
      <c r="F22945" s="17"/>
    </row>
    <row r="22946">
      <c r="F22946" s="17"/>
    </row>
    <row r="22947">
      <c r="F22947" s="17"/>
    </row>
    <row r="22948">
      <c r="F22948" s="17"/>
    </row>
    <row r="22949">
      <c r="F22949" s="17"/>
    </row>
    <row r="22950">
      <c r="F22950" s="17"/>
    </row>
    <row r="22951">
      <c r="F22951" s="17"/>
    </row>
    <row r="22952">
      <c r="F22952" s="17"/>
    </row>
    <row r="22953">
      <c r="F22953" s="17"/>
    </row>
    <row r="22954">
      <c r="F22954" s="17"/>
    </row>
    <row r="22955">
      <c r="F22955" s="17"/>
    </row>
    <row r="22956">
      <c r="F22956" s="17"/>
    </row>
    <row r="22957">
      <c r="F22957" s="17"/>
    </row>
    <row r="22958">
      <c r="F22958" s="17"/>
    </row>
    <row r="22959">
      <c r="F22959" s="17"/>
    </row>
    <row r="22960">
      <c r="F22960" s="17"/>
    </row>
    <row r="22961">
      <c r="F22961" s="17"/>
    </row>
    <row r="22962">
      <c r="F22962" s="17"/>
    </row>
    <row r="22963">
      <c r="F22963" s="17"/>
    </row>
    <row r="22964">
      <c r="F22964" s="17"/>
    </row>
    <row r="22965">
      <c r="F22965" s="17"/>
    </row>
    <row r="22966">
      <c r="F22966" s="17"/>
    </row>
    <row r="22967">
      <c r="F22967" s="17"/>
    </row>
    <row r="22968">
      <c r="F22968" s="17"/>
    </row>
    <row r="22969">
      <c r="F22969" s="17"/>
    </row>
    <row r="22970">
      <c r="F22970" s="17"/>
    </row>
    <row r="22971">
      <c r="F22971" s="17"/>
    </row>
    <row r="22972">
      <c r="F22972" s="17"/>
    </row>
    <row r="22973">
      <c r="F22973" s="17"/>
    </row>
    <row r="22974">
      <c r="F22974" s="17"/>
    </row>
    <row r="22975">
      <c r="F22975" s="17"/>
    </row>
    <row r="22976">
      <c r="F22976" s="17"/>
    </row>
    <row r="22977">
      <c r="F22977" s="17"/>
    </row>
    <row r="22978">
      <c r="F22978" s="17"/>
    </row>
    <row r="22979">
      <c r="F22979" s="17"/>
    </row>
    <row r="22980">
      <c r="F22980" s="17"/>
    </row>
    <row r="22981">
      <c r="F22981" s="17"/>
    </row>
    <row r="22982">
      <c r="F22982" s="17"/>
    </row>
    <row r="22983">
      <c r="F22983" s="17"/>
    </row>
    <row r="22984">
      <c r="F22984" s="17"/>
    </row>
    <row r="22985">
      <c r="F22985" s="17"/>
    </row>
    <row r="22986">
      <c r="F22986" s="17"/>
    </row>
    <row r="22987">
      <c r="F22987" s="17"/>
    </row>
    <row r="22988">
      <c r="F22988" s="17"/>
    </row>
    <row r="22989">
      <c r="F22989" s="17"/>
    </row>
    <row r="22990">
      <c r="F22990" s="17"/>
    </row>
    <row r="22991">
      <c r="F22991" s="17"/>
    </row>
    <row r="22992">
      <c r="F22992" s="17"/>
    </row>
    <row r="22993">
      <c r="F22993" s="17"/>
    </row>
    <row r="22994">
      <c r="F22994" s="17"/>
    </row>
    <row r="22995">
      <c r="F22995" s="17"/>
    </row>
    <row r="22996">
      <c r="F22996" s="17"/>
    </row>
    <row r="22997">
      <c r="F22997" s="17"/>
    </row>
    <row r="22998">
      <c r="F22998" s="17"/>
    </row>
    <row r="22999">
      <c r="F22999" s="17"/>
    </row>
    <row r="23000">
      <c r="F23000" s="17"/>
    </row>
    <row r="23001">
      <c r="F23001" s="17"/>
    </row>
    <row r="23002">
      <c r="F23002" s="17"/>
    </row>
    <row r="23003">
      <c r="F23003" s="17"/>
    </row>
    <row r="23004">
      <c r="F23004" s="17"/>
    </row>
    <row r="23005">
      <c r="F23005" s="17"/>
    </row>
    <row r="23006">
      <c r="F23006" s="17"/>
    </row>
    <row r="23007">
      <c r="F23007" s="17"/>
    </row>
    <row r="23008">
      <c r="F23008" s="17"/>
    </row>
    <row r="23009">
      <c r="F23009" s="17"/>
    </row>
    <row r="23010">
      <c r="F23010" s="17"/>
    </row>
    <row r="23011">
      <c r="F23011" s="17"/>
    </row>
    <row r="23012">
      <c r="F23012" s="17"/>
    </row>
    <row r="23013">
      <c r="F23013" s="17"/>
    </row>
    <row r="23014">
      <c r="F23014" s="17"/>
    </row>
    <row r="23015">
      <c r="F23015" s="17"/>
    </row>
    <row r="23016">
      <c r="F23016" s="17"/>
    </row>
    <row r="23017">
      <c r="F23017" s="17"/>
    </row>
    <row r="23018">
      <c r="F23018" s="17"/>
    </row>
    <row r="23019">
      <c r="F23019" s="17"/>
    </row>
    <row r="23020">
      <c r="F23020" s="17"/>
    </row>
    <row r="23021">
      <c r="F23021" s="17"/>
    </row>
    <row r="23022">
      <c r="F23022" s="17"/>
    </row>
    <row r="23023">
      <c r="F23023" s="17"/>
    </row>
    <row r="23024">
      <c r="F23024" s="17"/>
    </row>
    <row r="23025">
      <c r="F23025" s="17"/>
    </row>
    <row r="23026">
      <c r="F23026" s="17"/>
    </row>
    <row r="23027">
      <c r="F23027" s="17"/>
    </row>
    <row r="23028">
      <c r="F23028" s="17"/>
    </row>
    <row r="23029">
      <c r="F23029" s="17"/>
    </row>
    <row r="23030">
      <c r="F23030" s="17"/>
    </row>
    <row r="23031">
      <c r="F23031" s="17"/>
    </row>
    <row r="23032">
      <c r="F23032" s="17"/>
    </row>
    <row r="23033">
      <c r="F23033" s="17"/>
    </row>
    <row r="23034">
      <c r="F23034" s="17"/>
    </row>
    <row r="23035">
      <c r="F23035" s="17"/>
    </row>
    <row r="23036">
      <c r="F23036" s="17"/>
    </row>
    <row r="23037">
      <c r="F23037" s="17"/>
    </row>
    <row r="23038">
      <c r="F23038" s="17"/>
    </row>
    <row r="23039">
      <c r="F23039" s="17"/>
    </row>
    <row r="23040">
      <c r="F23040" s="17"/>
    </row>
    <row r="23041">
      <c r="F23041" s="17"/>
    </row>
    <row r="23042">
      <c r="F23042" s="17"/>
    </row>
    <row r="23043">
      <c r="F23043" s="17"/>
    </row>
    <row r="23044">
      <c r="F23044" s="17"/>
    </row>
    <row r="23045">
      <c r="F23045" s="17"/>
    </row>
    <row r="23046">
      <c r="F23046" s="17"/>
    </row>
    <row r="23047">
      <c r="F23047" s="17"/>
    </row>
    <row r="23048">
      <c r="F23048" s="17"/>
    </row>
    <row r="23049">
      <c r="F23049" s="17"/>
    </row>
    <row r="23050">
      <c r="F23050" s="17"/>
    </row>
    <row r="23051">
      <c r="F23051" s="17"/>
    </row>
    <row r="23052">
      <c r="F23052" s="17"/>
    </row>
    <row r="23053">
      <c r="F23053" s="17"/>
    </row>
    <row r="23054">
      <c r="F23054" s="17"/>
    </row>
    <row r="23055">
      <c r="F23055" s="17"/>
    </row>
    <row r="23056">
      <c r="F23056" s="17"/>
    </row>
    <row r="23057">
      <c r="F23057" s="17"/>
    </row>
    <row r="23058">
      <c r="F23058" s="17"/>
    </row>
    <row r="23059">
      <c r="F23059" s="17"/>
    </row>
    <row r="23060">
      <c r="F23060" s="17"/>
    </row>
    <row r="23061">
      <c r="F23061" s="17"/>
    </row>
    <row r="23062">
      <c r="F23062" s="17"/>
    </row>
    <row r="23063">
      <c r="F23063" s="17"/>
    </row>
    <row r="23064">
      <c r="F23064" s="17"/>
    </row>
    <row r="23065">
      <c r="F23065" s="17"/>
    </row>
    <row r="23066">
      <c r="F23066" s="17"/>
    </row>
    <row r="23067">
      <c r="F23067" s="17"/>
    </row>
    <row r="23068">
      <c r="F23068" s="17"/>
    </row>
    <row r="23069">
      <c r="F23069" s="17"/>
    </row>
    <row r="23070">
      <c r="F23070" s="17"/>
    </row>
    <row r="23071">
      <c r="F23071" s="17"/>
    </row>
    <row r="23072">
      <c r="F23072" s="17"/>
    </row>
    <row r="23073">
      <c r="F23073" s="17"/>
    </row>
    <row r="23074">
      <c r="F23074" s="17"/>
    </row>
    <row r="23075">
      <c r="F23075" s="17"/>
    </row>
    <row r="23076">
      <c r="F23076" s="17"/>
    </row>
    <row r="23077">
      <c r="F23077" s="17"/>
    </row>
    <row r="23078">
      <c r="F23078" s="17"/>
    </row>
    <row r="23079">
      <c r="F23079" s="17"/>
    </row>
    <row r="23080">
      <c r="F23080" s="17"/>
    </row>
    <row r="23081">
      <c r="F23081" s="17"/>
    </row>
    <row r="23082">
      <c r="F23082" s="17"/>
    </row>
    <row r="23083">
      <c r="F23083" s="17"/>
    </row>
    <row r="23084">
      <c r="F23084" s="17"/>
    </row>
    <row r="23085">
      <c r="F23085" s="17"/>
    </row>
    <row r="23086">
      <c r="F23086" s="17"/>
    </row>
    <row r="23087">
      <c r="F23087" s="17"/>
    </row>
    <row r="23088">
      <c r="F23088" s="17"/>
    </row>
    <row r="23089">
      <c r="F23089" s="17"/>
    </row>
    <row r="23090">
      <c r="F23090" s="17"/>
    </row>
    <row r="23091">
      <c r="F23091" s="17"/>
    </row>
    <row r="23092">
      <c r="F23092" s="17"/>
    </row>
    <row r="23093">
      <c r="F23093" s="17"/>
    </row>
    <row r="23094">
      <c r="F23094" s="17"/>
    </row>
    <row r="23095">
      <c r="F23095" s="17"/>
    </row>
    <row r="23096">
      <c r="F23096" s="17"/>
    </row>
    <row r="23097">
      <c r="F23097" s="17"/>
    </row>
    <row r="23098">
      <c r="F23098" s="17"/>
    </row>
    <row r="23099">
      <c r="F23099" s="17"/>
    </row>
    <row r="23100">
      <c r="F23100" s="17"/>
    </row>
    <row r="23101">
      <c r="F23101" s="17"/>
    </row>
    <row r="23102">
      <c r="F23102" s="17"/>
    </row>
    <row r="23103">
      <c r="F23103" s="17"/>
    </row>
    <row r="23104">
      <c r="F23104" s="17"/>
    </row>
    <row r="23105">
      <c r="F23105" s="17"/>
    </row>
    <row r="23106">
      <c r="F23106" s="17"/>
    </row>
    <row r="23107">
      <c r="F23107" s="17"/>
    </row>
    <row r="23108">
      <c r="F23108" s="17"/>
    </row>
    <row r="23109">
      <c r="F23109" s="17"/>
    </row>
    <row r="23110">
      <c r="F23110" s="17"/>
    </row>
    <row r="23111">
      <c r="F23111" s="17"/>
    </row>
    <row r="23112">
      <c r="F23112" s="17"/>
    </row>
    <row r="23113">
      <c r="F23113" s="17"/>
    </row>
    <row r="23114">
      <c r="F23114" s="17"/>
    </row>
    <row r="23115">
      <c r="F23115" s="17"/>
    </row>
    <row r="23116">
      <c r="F23116" s="17"/>
    </row>
    <row r="23117">
      <c r="F23117" s="17"/>
    </row>
    <row r="23118">
      <c r="F23118" s="17"/>
    </row>
    <row r="23119">
      <c r="F23119" s="17"/>
    </row>
    <row r="23120">
      <c r="F23120" s="17"/>
    </row>
    <row r="23121">
      <c r="F23121" s="17"/>
    </row>
    <row r="23122">
      <c r="F23122" s="17"/>
    </row>
    <row r="23123">
      <c r="F23123" s="17"/>
    </row>
    <row r="23124">
      <c r="F23124" s="17"/>
    </row>
    <row r="23125">
      <c r="F23125" s="17"/>
    </row>
    <row r="23126">
      <c r="F23126" s="17"/>
    </row>
    <row r="23127">
      <c r="F23127" s="17"/>
    </row>
    <row r="23128">
      <c r="F23128" s="17"/>
    </row>
    <row r="23129">
      <c r="F23129" s="17"/>
    </row>
    <row r="23130">
      <c r="F23130" s="17"/>
    </row>
    <row r="23131">
      <c r="F23131" s="17"/>
    </row>
    <row r="23132">
      <c r="F23132" s="17"/>
    </row>
    <row r="23133">
      <c r="F23133" s="17"/>
    </row>
    <row r="23134">
      <c r="F23134" s="17"/>
    </row>
    <row r="23135">
      <c r="F23135" s="17"/>
    </row>
    <row r="23136">
      <c r="F23136" s="17"/>
    </row>
    <row r="23137">
      <c r="F23137" s="17"/>
    </row>
    <row r="23138">
      <c r="F23138" s="17"/>
    </row>
    <row r="23139">
      <c r="F23139" s="17"/>
    </row>
    <row r="23140">
      <c r="F23140" s="17"/>
    </row>
    <row r="23141">
      <c r="F23141" s="17"/>
    </row>
    <row r="23142">
      <c r="F23142" s="17"/>
    </row>
    <row r="23143">
      <c r="F23143" s="17"/>
    </row>
    <row r="23144">
      <c r="F23144" s="17"/>
    </row>
    <row r="23145">
      <c r="F23145" s="17"/>
    </row>
    <row r="23146">
      <c r="F23146" s="17"/>
    </row>
    <row r="23147">
      <c r="F23147" s="17"/>
    </row>
    <row r="23148">
      <c r="F23148" s="17"/>
    </row>
    <row r="23149">
      <c r="F23149" s="17"/>
    </row>
    <row r="23150">
      <c r="F23150" s="17"/>
    </row>
    <row r="23151">
      <c r="F23151" s="17"/>
    </row>
    <row r="23152">
      <c r="F23152" s="17"/>
    </row>
    <row r="23153">
      <c r="F23153" s="17"/>
    </row>
    <row r="23154">
      <c r="F23154" s="17"/>
    </row>
    <row r="23155">
      <c r="F23155" s="17"/>
    </row>
    <row r="23156">
      <c r="F23156" s="17"/>
    </row>
    <row r="23157">
      <c r="F23157" s="17"/>
    </row>
    <row r="23158">
      <c r="F23158" s="17"/>
    </row>
    <row r="23159">
      <c r="F23159" s="17"/>
    </row>
    <row r="23160">
      <c r="F23160" s="17"/>
    </row>
    <row r="23161">
      <c r="F23161" s="17"/>
    </row>
    <row r="23162">
      <c r="F23162" s="17"/>
    </row>
    <row r="23163">
      <c r="F23163" s="17"/>
    </row>
    <row r="23164">
      <c r="F23164" s="17"/>
    </row>
    <row r="23165">
      <c r="F23165" s="17"/>
    </row>
    <row r="23166">
      <c r="F23166" s="17"/>
    </row>
    <row r="23167">
      <c r="F23167" s="17"/>
    </row>
    <row r="23168">
      <c r="F23168" s="17"/>
    </row>
    <row r="23169">
      <c r="F23169" s="17"/>
    </row>
    <row r="23170">
      <c r="F23170" s="17"/>
    </row>
    <row r="23171">
      <c r="F23171" s="17"/>
    </row>
    <row r="23172">
      <c r="F23172" s="17"/>
    </row>
    <row r="23173">
      <c r="F23173" s="17"/>
    </row>
    <row r="23174">
      <c r="F23174" s="17"/>
    </row>
    <row r="23175">
      <c r="F23175" s="17"/>
    </row>
    <row r="23176">
      <c r="F23176" s="17"/>
    </row>
    <row r="23177">
      <c r="F23177" s="17"/>
    </row>
    <row r="23178">
      <c r="F23178" s="17"/>
    </row>
    <row r="23179">
      <c r="F23179" s="17"/>
    </row>
    <row r="23180">
      <c r="F23180" s="17"/>
    </row>
    <row r="23181">
      <c r="F23181" s="17"/>
    </row>
    <row r="23182">
      <c r="F23182" s="17"/>
    </row>
    <row r="23183">
      <c r="F23183" s="17"/>
    </row>
    <row r="23184">
      <c r="F23184" s="17"/>
    </row>
    <row r="23185">
      <c r="F23185" s="17"/>
    </row>
    <row r="23186">
      <c r="F23186" s="17"/>
    </row>
    <row r="23187">
      <c r="F23187" s="17"/>
    </row>
    <row r="23188">
      <c r="F23188" s="17"/>
    </row>
    <row r="23189">
      <c r="F23189" s="17"/>
    </row>
    <row r="23190">
      <c r="F23190" s="17"/>
    </row>
    <row r="23191">
      <c r="F23191" s="17"/>
    </row>
    <row r="23192">
      <c r="F23192" s="17"/>
    </row>
    <row r="23193">
      <c r="F23193" s="17"/>
    </row>
    <row r="23194">
      <c r="F23194" s="17"/>
    </row>
    <row r="23195">
      <c r="F23195" s="17"/>
    </row>
    <row r="23196">
      <c r="F23196" s="17"/>
    </row>
    <row r="23197">
      <c r="F23197" s="17"/>
    </row>
    <row r="23198">
      <c r="F23198" s="17"/>
    </row>
    <row r="23199">
      <c r="F23199" s="17"/>
    </row>
    <row r="23200">
      <c r="F23200" s="17"/>
    </row>
    <row r="23201">
      <c r="F23201" s="17"/>
    </row>
    <row r="23202">
      <c r="F23202" s="17"/>
    </row>
    <row r="23203">
      <c r="F23203" s="17"/>
    </row>
    <row r="23204">
      <c r="F23204" s="17"/>
    </row>
    <row r="23205">
      <c r="F23205" s="17"/>
    </row>
    <row r="23206">
      <c r="F23206" s="17"/>
    </row>
    <row r="23207">
      <c r="F23207" s="17"/>
    </row>
    <row r="23208">
      <c r="F23208" s="17"/>
    </row>
    <row r="23209">
      <c r="F23209" s="17"/>
    </row>
    <row r="23210">
      <c r="F23210" s="17"/>
    </row>
    <row r="23211">
      <c r="F23211" s="17"/>
    </row>
    <row r="23212">
      <c r="F23212" s="17"/>
    </row>
    <row r="23213">
      <c r="F23213" s="17"/>
    </row>
    <row r="23214">
      <c r="F23214" s="17"/>
    </row>
    <row r="23215">
      <c r="F23215" s="17"/>
    </row>
    <row r="23216">
      <c r="F23216" s="17"/>
    </row>
    <row r="23217">
      <c r="F23217" s="17"/>
    </row>
    <row r="23218">
      <c r="F23218" s="17"/>
    </row>
    <row r="23219">
      <c r="F23219" s="17"/>
    </row>
    <row r="23220">
      <c r="F23220" s="17"/>
    </row>
    <row r="23221">
      <c r="F23221" s="17"/>
    </row>
    <row r="23222">
      <c r="F23222" s="17"/>
    </row>
    <row r="23223">
      <c r="F23223" s="17"/>
    </row>
    <row r="23224">
      <c r="F23224" s="17"/>
    </row>
    <row r="23225">
      <c r="F23225" s="17"/>
    </row>
    <row r="23226">
      <c r="F23226" s="17"/>
    </row>
    <row r="23227">
      <c r="F23227" s="17"/>
    </row>
    <row r="23228">
      <c r="F23228" s="17"/>
    </row>
    <row r="23229">
      <c r="F23229" s="17"/>
    </row>
    <row r="23230">
      <c r="F23230" s="17"/>
    </row>
    <row r="23231">
      <c r="F23231" s="17"/>
    </row>
    <row r="23232">
      <c r="F23232" s="17"/>
    </row>
    <row r="23233">
      <c r="F23233" s="17"/>
    </row>
    <row r="23234">
      <c r="F23234" s="17"/>
    </row>
    <row r="23235">
      <c r="F23235" s="17"/>
    </row>
    <row r="23236">
      <c r="F23236" s="17"/>
    </row>
    <row r="23237">
      <c r="F23237" s="17"/>
    </row>
    <row r="23238">
      <c r="F23238" s="17"/>
    </row>
    <row r="23239">
      <c r="F23239" s="17"/>
    </row>
    <row r="23240">
      <c r="F23240" s="17"/>
    </row>
    <row r="23241">
      <c r="F23241" s="17"/>
    </row>
    <row r="23242">
      <c r="F23242" s="17"/>
    </row>
    <row r="23243">
      <c r="F23243" s="17"/>
    </row>
    <row r="23244">
      <c r="F23244" s="17"/>
    </row>
    <row r="23245">
      <c r="F23245" s="17"/>
    </row>
    <row r="23246">
      <c r="F23246" s="17"/>
    </row>
    <row r="23247">
      <c r="F23247" s="17"/>
    </row>
    <row r="23248">
      <c r="F23248" s="17"/>
    </row>
    <row r="23249">
      <c r="F23249" s="17"/>
    </row>
    <row r="23250">
      <c r="F23250" s="17"/>
    </row>
    <row r="23251">
      <c r="F23251" s="17"/>
    </row>
    <row r="23252">
      <c r="F23252" s="17"/>
    </row>
    <row r="23253">
      <c r="F23253" s="17"/>
    </row>
    <row r="23254">
      <c r="F23254" s="17"/>
    </row>
    <row r="23255">
      <c r="F23255" s="17"/>
    </row>
    <row r="23256">
      <c r="F23256" s="17"/>
    </row>
    <row r="23257">
      <c r="F23257" s="17"/>
    </row>
    <row r="23258">
      <c r="F23258" s="17"/>
    </row>
    <row r="23259">
      <c r="F23259" s="17"/>
    </row>
    <row r="23260">
      <c r="F23260" s="17"/>
    </row>
    <row r="23261">
      <c r="F23261" s="17"/>
    </row>
    <row r="23262">
      <c r="F23262" s="17"/>
    </row>
    <row r="23263">
      <c r="F23263" s="17"/>
    </row>
    <row r="23264">
      <c r="F23264" s="17"/>
    </row>
    <row r="23265">
      <c r="F23265" s="17"/>
    </row>
    <row r="23266">
      <c r="F23266" s="17"/>
    </row>
    <row r="23267">
      <c r="F23267" s="17"/>
    </row>
    <row r="23268">
      <c r="F23268" s="17"/>
    </row>
    <row r="23269">
      <c r="F23269" s="17"/>
    </row>
    <row r="23270">
      <c r="F23270" s="17"/>
    </row>
    <row r="23271">
      <c r="F23271" s="17"/>
    </row>
    <row r="23272">
      <c r="F23272" s="17"/>
    </row>
    <row r="23273">
      <c r="F23273" s="17"/>
    </row>
    <row r="23274">
      <c r="F23274" s="17"/>
    </row>
    <row r="23275">
      <c r="F23275" s="17"/>
    </row>
    <row r="23276">
      <c r="F23276" s="17"/>
    </row>
    <row r="23277">
      <c r="F23277" s="17"/>
    </row>
    <row r="23278">
      <c r="F23278" s="17"/>
    </row>
    <row r="23279">
      <c r="F23279" s="17"/>
    </row>
    <row r="23280">
      <c r="F23280" s="17"/>
    </row>
    <row r="23281">
      <c r="F23281" s="17"/>
    </row>
    <row r="23282">
      <c r="F23282" s="17"/>
    </row>
    <row r="23283">
      <c r="F23283" s="17"/>
    </row>
    <row r="23284">
      <c r="F23284" s="17"/>
    </row>
    <row r="23285">
      <c r="F23285" s="17"/>
    </row>
    <row r="23286">
      <c r="F23286" s="17"/>
    </row>
    <row r="23287">
      <c r="F23287" s="17"/>
    </row>
    <row r="23288">
      <c r="F23288" s="17"/>
    </row>
    <row r="23289">
      <c r="F23289" s="17"/>
    </row>
    <row r="23290">
      <c r="F23290" s="17"/>
    </row>
    <row r="23291">
      <c r="F23291" s="17"/>
    </row>
    <row r="23292">
      <c r="F23292" s="17"/>
    </row>
    <row r="23293">
      <c r="F23293" s="17"/>
    </row>
    <row r="23294">
      <c r="F23294" s="17"/>
    </row>
    <row r="23295">
      <c r="F23295" s="17"/>
    </row>
    <row r="23296">
      <c r="F23296" s="17"/>
    </row>
    <row r="23297">
      <c r="F23297" s="17"/>
    </row>
    <row r="23298">
      <c r="F23298" s="17"/>
    </row>
    <row r="23299">
      <c r="F23299" s="17"/>
    </row>
    <row r="23300">
      <c r="F23300" s="17"/>
    </row>
    <row r="23301">
      <c r="F23301" s="17"/>
    </row>
    <row r="23302">
      <c r="F23302" s="17"/>
    </row>
    <row r="23303">
      <c r="F23303" s="17"/>
    </row>
    <row r="23304">
      <c r="F23304" s="17"/>
    </row>
    <row r="23305">
      <c r="F23305" s="17"/>
    </row>
    <row r="23306">
      <c r="F23306" s="17"/>
    </row>
    <row r="23307">
      <c r="F23307" s="17"/>
    </row>
    <row r="23308">
      <c r="F23308" s="17"/>
    </row>
    <row r="23309">
      <c r="F23309" s="17"/>
    </row>
    <row r="23310">
      <c r="F23310" s="17"/>
    </row>
    <row r="23311">
      <c r="F23311" s="17"/>
    </row>
    <row r="23312">
      <c r="F23312" s="17"/>
    </row>
    <row r="23313">
      <c r="F23313" s="17"/>
    </row>
    <row r="23314">
      <c r="F23314" s="17"/>
    </row>
    <row r="23315">
      <c r="F23315" s="17"/>
    </row>
    <row r="23316">
      <c r="F23316" s="17"/>
    </row>
    <row r="23317">
      <c r="F23317" s="17"/>
    </row>
    <row r="23318">
      <c r="F23318" s="17"/>
    </row>
    <row r="23319">
      <c r="F23319" s="17"/>
    </row>
    <row r="23320">
      <c r="F23320" s="17"/>
    </row>
    <row r="23321">
      <c r="F23321" s="17"/>
    </row>
    <row r="23322">
      <c r="F23322" s="17"/>
    </row>
    <row r="23323">
      <c r="F23323" s="17"/>
    </row>
    <row r="23324">
      <c r="F23324" s="17"/>
    </row>
    <row r="23325">
      <c r="F23325" s="17"/>
    </row>
    <row r="23326">
      <c r="F23326" s="17"/>
    </row>
    <row r="23327">
      <c r="F23327" s="17"/>
    </row>
    <row r="23328">
      <c r="F23328" s="17"/>
    </row>
    <row r="23329">
      <c r="F23329" s="17"/>
    </row>
    <row r="23330">
      <c r="F23330" s="17"/>
    </row>
    <row r="23331">
      <c r="F23331" s="17"/>
    </row>
    <row r="23332">
      <c r="F23332" s="17"/>
    </row>
    <row r="23333">
      <c r="F23333" s="17"/>
    </row>
    <row r="23334">
      <c r="F23334" s="17"/>
    </row>
    <row r="23335">
      <c r="F23335" s="17"/>
    </row>
    <row r="23336">
      <c r="F23336" s="17"/>
    </row>
    <row r="23337">
      <c r="F23337" s="17"/>
    </row>
    <row r="23338">
      <c r="F23338" s="17"/>
    </row>
    <row r="23339">
      <c r="F23339" s="17"/>
    </row>
    <row r="23340">
      <c r="F23340" s="17"/>
    </row>
    <row r="23341">
      <c r="F23341" s="17"/>
    </row>
    <row r="23342">
      <c r="F23342" s="17"/>
    </row>
    <row r="23343">
      <c r="F23343" s="17"/>
    </row>
    <row r="23344">
      <c r="F23344" s="17"/>
    </row>
    <row r="23345">
      <c r="F23345" s="17"/>
    </row>
    <row r="23346">
      <c r="F23346" s="17"/>
    </row>
    <row r="23347">
      <c r="F23347" s="17"/>
    </row>
    <row r="23348">
      <c r="F23348" s="17"/>
    </row>
    <row r="23349">
      <c r="F23349" s="17"/>
    </row>
    <row r="23350">
      <c r="F23350" s="17"/>
    </row>
    <row r="23351">
      <c r="F23351" s="17"/>
    </row>
    <row r="23352">
      <c r="F23352" s="17"/>
    </row>
    <row r="23353">
      <c r="F23353" s="17"/>
    </row>
    <row r="23354">
      <c r="F23354" s="17"/>
    </row>
    <row r="23355">
      <c r="F23355" s="17"/>
    </row>
    <row r="23356">
      <c r="F23356" s="17"/>
    </row>
    <row r="23357">
      <c r="F23357" s="17"/>
    </row>
    <row r="23358">
      <c r="F23358" s="17"/>
    </row>
    <row r="23359">
      <c r="F23359" s="17"/>
    </row>
    <row r="23360">
      <c r="F23360" s="17"/>
    </row>
    <row r="23361">
      <c r="F23361" s="17"/>
    </row>
    <row r="23362">
      <c r="F23362" s="17"/>
    </row>
    <row r="23363">
      <c r="F23363" s="17"/>
    </row>
    <row r="23364">
      <c r="F23364" s="17"/>
    </row>
    <row r="23365">
      <c r="F23365" s="17"/>
    </row>
    <row r="23366">
      <c r="F23366" s="17"/>
    </row>
    <row r="23367">
      <c r="F23367" s="17"/>
    </row>
    <row r="23368">
      <c r="F23368" s="17"/>
    </row>
    <row r="23369">
      <c r="F23369" s="17"/>
    </row>
    <row r="23370">
      <c r="F23370" s="17"/>
    </row>
    <row r="23371">
      <c r="F23371" s="17"/>
    </row>
    <row r="23372">
      <c r="F23372" s="17"/>
    </row>
    <row r="23373">
      <c r="F23373" s="17"/>
    </row>
    <row r="23374">
      <c r="F23374" s="17"/>
    </row>
    <row r="23375">
      <c r="F23375" s="17"/>
    </row>
    <row r="23376">
      <c r="F23376" s="17"/>
    </row>
    <row r="23377">
      <c r="F23377" s="17"/>
    </row>
    <row r="23378">
      <c r="F23378" s="17"/>
    </row>
    <row r="23379">
      <c r="F23379" s="17"/>
    </row>
    <row r="23380">
      <c r="F23380" s="17"/>
    </row>
    <row r="23381">
      <c r="F23381" s="17"/>
    </row>
    <row r="23382">
      <c r="F23382" s="17"/>
    </row>
    <row r="23383">
      <c r="F23383" s="17"/>
    </row>
    <row r="23384">
      <c r="F23384" s="17"/>
    </row>
    <row r="23385">
      <c r="F23385" s="17"/>
    </row>
    <row r="23386">
      <c r="F23386" s="17"/>
    </row>
    <row r="23387">
      <c r="F23387" s="17"/>
    </row>
    <row r="23388">
      <c r="F23388" s="17"/>
    </row>
    <row r="23389">
      <c r="F23389" s="17"/>
    </row>
    <row r="23390">
      <c r="F23390" s="17"/>
    </row>
    <row r="23391">
      <c r="F23391" s="17"/>
    </row>
    <row r="23392">
      <c r="F23392" s="17"/>
    </row>
    <row r="23393">
      <c r="F23393" s="17"/>
    </row>
    <row r="23394">
      <c r="F23394" s="17"/>
    </row>
    <row r="23395">
      <c r="F23395" s="17"/>
    </row>
    <row r="23396">
      <c r="F23396" s="17"/>
    </row>
    <row r="23397">
      <c r="F23397" s="17"/>
    </row>
    <row r="23398">
      <c r="F23398" s="17"/>
    </row>
    <row r="23399">
      <c r="F23399" s="17"/>
    </row>
    <row r="23400">
      <c r="F23400" s="17"/>
    </row>
    <row r="23401">
      <c r="F23401" s="17"/>
    </row>
    <row r="23402">
      <c r="F23402" s="17"/>
    </row>
    <row r="23403">
      <c r="F23403" s="17"/>
    </row>
    <row r="23404">
      <c r="F23404" s="17"/>
    </row>
    <row r="23405">
      <c r="F23405" s="17"/>
    </row>
    <row r="23406">
      <c r="F23406" s="17"/>
    </row>
    <row r="23407">
      <c r="F23407" s="17"/>
    </row>
    <row r="23408">
      <c r="F23408" s="17"/>
    </row>
    <row r="23409">
      <c r="F23409" s="17"/>
    </row>
    <row r="23410">
      <c r="F23410" s="17"/>
    </row>
    <row r="23411">
      <c r="F23411" s="17"/>
    </row>
    <row r="23412">
      <c r="F23412" s="17"/>
    </row>
    <row r="23413">
      <c r="F23413" s="17"/>
    </row>
    <row r="23414">
      <c r="F23414" s="17"/>
    </row>
    <row r="23415">
      <c r="F23415" s="17"/>
    </row>
    <row r="23416">
      <c r="F23416" s="17"/>
    </row>
    <row r="23417">
      <c r="F23417" s="17"/>
    </row>
    <row r="23418">
      <c r="F23418" s="17"/>
    </row>
    <row r="23419">
      <c r="F23419" s="17"/>
    </row>
    <row r="23420">
      <c r="F23420" s="17"/>
    </row>
    <row r="23421">
      <c r="F23421" s="17"/>
    </row>
    <row r="23422">
      <c r="F23422" s="17"/>
    </row>
    <row r="23423">
      <c r="F23423" s="17"/>
    </row>
    <row r="23424">
      <c r="F23424" s="17"/>
    </row>
    <row r="23425">
      <c r="F23425" s="17"/>
    </row>
    <row r="23426">
      <c r="F23426" s="17"/>
    </row>
    <row r="23427">
      <c r="F23427" s="17"/>
    </row>
    <row r="23428">
      <c r="F23428" s="17"/>
    </row>
    <row r="23429">
      <c r="F23429" s="17"/>
    </row>
    <row r="23430">
      <c r="F23430" s="17"/>
    </row>
    <row r="23431">
      <c r="F23431" s="17"/>
    </row>
    <row r="23432">
      <c r="F23432" s="17"/>
    </row>
    <row r="23433">
      <c r="F23433" s="17"/>
    </row>
    <row r="23434">
      <c r="F23434" s="17"/>
    </row>
    <row r="23435">
      <c r="F23435" s="17"/>
    </row>
    <row r="23436">
      <c r="F23436" s="17"/>
    </row>
    <row r="23437">
      <c r="F23437" s="17"/>
    </row>
    <row r="23438">
      <c r="F23438" s="17"/>
    </row>
    <row r="23439">
      <c r="F23439" s="17"/>
    </row>
    <row r="23440">
      <c r="F23440" s="17"/>
    </row>
    <row r="23441">
      <c r="F23441" s="17"/>
    </row>
    <row r="23442">
      <c r="F23442" s="17"/>
    </row>
    <row r="23443">
      <c r="F23443" s="17"/>
    </row>
    <row r="23444">
      <c r="F23444" s="17"/>
    </row>
    <row r="23445">
      <c r="F23445" s="17"/>
    </row>
    <row r="23446">
      <c r="F23446" s="17"/>
    </row>
    <row r="23447">
      <c r="F23447" s="17"/>
    </row>
    <row r="23448">
      <c r="F23448" s="17"/>
    </row>
    <row r="23449">
      <c r="F23449" s="17"/>
    </row>
    <row r="23450">
      <c r="F23450" s="17"/>
    </row>
    <row r="23451">
      <c r="F23451" s="17"/>
    </row>
    <row r="23452">
      <c r="F23452" s="17"/>
    </row>
    <row r="23453">
      <c r="F23453" s="17"/>
    </row>
    <row r="23454">
      <c r="F23454" s="17"/>
    </row>
    <row r="23455">
      <c r="F23455" s="17"/>
    </row>
    <row r="23456">
      <c r="F23456" s="17"/>
    </row>
    <row r="23457">
      <c r="F23457" s="17"/>
    </row>
    <row r="23458">
      <c r="F23458" s="17"/>
    </row>
    <row r="23459">
      <c r="F23459" s="17"/>
    </row>
    <row r="23460">
      <c r="F23460" s="17"/>
    </row>
    <row r="23461">
      <c r="F23461" s="17"/>
    </row>
    <row r="23462">
      <c r="F23462" s="17"/>
    </row>
    <row r="23463">
      <c r="F23463" s="17"/>
    </row>
    <row r="23464">
      <c r="F23464" s="17"/>
    </row>
    <row r="23465">
      <c r="F23465" s="17"/>
    </row>
    <row r="23466">
      <c r="F23466" s="17"/>
    </row>
    <row r="23467">
      <c r="F23467" s="17"/>
    </row>
    <row r="23468">
      <c r="F23468" s="17"/>
    </row>
    <row r="23469">
      <c r="F23469" s="17"/>
    </row>
    <row r="23470">
      <c r="F23470" s="17"/>
    </row>
    <row r="23471">
      <c r="F23471" s="17"/>
    </row>
    <row r="23472">
      <c r="F23472" s="17"/>
    </row>
    <row r="23473">
      <c r="F23473" s="17"/>
    </row>
    <row r="23474">
      <c r="F23474" s="17"/>
    </row>
    <row r="23475">
      <c r="F23475" s="17"/>
    </row>
    <row r="23476">
      <c r="F23476" s="17"/>
    </row>
    <row r="23477">
      <c r="F23477" s="17"/>
    </row>
    <row r="23478">
      <c r="F23478" s="17"/>
    </row>
    <row r="23479">
      <c r="F23479" s="17"/>
    </row>
    <row r="23480">
      <c r="F23480" s="17"/>
    </row>
    <row r="23481">
      <c r="F23481" s="17"/>
    </row>
    <row r="23482">
      <c r="F23482" s="17"/>
    </row>
    <row r="23483">
      <c r="F23483" s="17"/>
    </row>
    <row r="23484">
      <c r="F23484" s="17"/>
    </row>
    <row r="23485">
      <c r="F23485" s="17"/>
    </row>
    <row r="23486">
      <c r="F23486" s="17"/>
    </row>
    <row r="23487">
      <c r="F23487" s="17"/>
    </row>
    <row r="23488">
      <c r="F23488" s="17"/>
    </row>
    <row r="23489">
      <c r="F23489" s="17"/>
    </row>
    <row r="23490">
      <c r="F23490" s="17"/>
    </row>
    <row r="23491">
      <c r="F23491" s="17"/>
    </row>
    <row r="23492">
      <c r="F23492" s="17"/>
    </row>
    <row r="23493">
      <c r="F23493" s="17"/>
    </row>
    <row r="23494">
      <c r="F23494" s="17"/>
    </row>
    <row r="23495">
      <c r="F23495" s="17"/>
    </row>
    <row r="23496">
      <c r="F23496" s="17"/>
    </row>
    <row r="23497">
      <c r="F23497" s="17"/>
    </row>
    <row r="23498">
      <c r="F23498" s="17"/>
    </row>
    <row r="23499">
      <c r="F23499" s="17"/>
    </row>
    <row r="23500">
      <c r="F23500" s="17"/>
    </row>
    <row r="23501">
      <c r="F23501" s="17"/>
    </row>
    <row r="23502">
      <c r="F23502" s="17"/>
    </row>
    <row r="23503">
      <c r="F23503" s="17"/>
    </row>
    <row r="23504">
      <c r="F23504" s="17"/>
    </row>
    <row r="23505">
      <c r="F23505" s="17"/>
    </row>
    <row r="23506">
      <c r="F23506" s="17"/>
    </row>
    <row r="23507">
      <c r="F23507" s="17"/>
    </row>
    <row r="23508">
      <c r="F23508" s="17"/>
    </row>
    <row r="23509">
      <c r="F23509" s="17"/>
    </row>
    <row r="23510">
      <c r="F23510" s="17"/>
    </row>
    <row r="23511">
      <c r="F23511" s="17"/>
    </row>
    <row r="23512">
      <c r="F23512" s="17"/>
    </row>
    <row r="23513">
      <c r="F23513" s="17"/>
    </row>
    <row r="23514">
      <c r="F23514" s="17"/>
    </row>
    <row r="23515">
      <c r="F23515" s="17"/>
    </row>
    <row r="23516">
      <c r="F23516" s="17"/>
    </row>
    <row r="23517">
      <c r="F23517" s="17"/>
    </row>
    <row r="23518">
      <c r="F23518" s="17"/>
    </row>
    <row r="23519">
      <c r="F23519" s="17"/>
    </row>
    <row r="23520">
      <c r="F23520" s="17"/>
    </row>
    <row r="23521">
      <c r="F23521" s="17"/>
    </row>
    <row r="23522">
      <c r="F23522" s="17"/>
    </row>
    <row r="23523">
      <c r="F23523" s="17"/>
    </row>
    <row r="23524">
      <c r="F23524" s="17"/>
    </row>
    <row r="23525">
      <c r="F23525" s="17"/>
    </row>
    <row r="23526">
      <c r="F23526" s="17"/>
    </row>
    <row r="23527">
      <c r="F23527" s="17"/>
    </row>
    <row r="23528">
      <c r="F23528" s="17"/>
    </row>
    <row r="23529">
      <c r="F23529" s="17"/>
    </row>
    <row r="23530">
      <c r="F23530" s="17"/>
    </row>
    <row r="23531">
      <c r="F23531" s="17"/>
    </row>
    <row r="23532">
      <c r="F23532" s="17"/>
    </row>
    <row r="23533">
      <c r="F23533" s="17"/>
    </row>
    <row r="23534">
      <c r="F23534" s="17"/>
    </row>
    <row r="23535">
      <c r="F23535" s="17"/>
    </row>
    <row r="23536">
      <c r="F23536" s="17"/>
    </row>
    <row r="23537">
      <c r="F23537" s="17"/>
    </row>
    <row r="23538">
      <c r="F23538" s="17"/>
    </row>
    <row r="23539">
      <c r="F23539" s="17"/>
    </row>
    <row r="23540">
      <c r="F23540" s="17"/>
    </row>
    <row r="23541">
      <c r="F23541" s="17"/>
    </row>
    <row r="23542">
      <c r="F23542" s="17"/>
    </row>
    <row r="23543">
      <c r="F23543" s="17"/>
    </row>
    <row r="23544">
      <c r="F23544" s="17"/>
    </row>
    <row r="23545">
      <c r="F23545" s="17"/>
    </row>
    <row r="23546">
      <c r="F23546" s="17"/>
    </row>
    <row r="23547">
      <c r="F23547" s="17"/>
    </row>
    <row r="23548">
      <c r="F23548" s="17"/>
    </row>
    <row r="23549">
      <c r="F23549" s="17"/>
    </row>
    <row r="23550">
      <c r="F23550" s="17"/>
    </row>
  </sheetData>
  <conditionalFormatting sqref="A2:A333">
    <cfRule type="expression" dxfId="2" priority="1">
      <formula>COUNTIF($L:$L,A2)&gt;0</formula>
    </cfRule>
  </conditionalFormatting>
  <conditionalFormatting sqref="F29:F333 H29:J333">
    <cfRule type="expression" dxfId="1" priority="2">
      <formula>ISODD($I29)</formula>
    </cfRule>
  </conditionalFormatting>
  <conditionalFormatting sqref="A2:A333">
    <cfRule type="expression" dxfId="0" priority="3">
      <formula>COUNTIF(INDIRECT("'KENDARAAN P1'!A:A"), A2) &gt; 0</formula>
    </cfRule>
  </conditionalFormatting>
  <conditionalFormatting sqref="M2:M28 S2:S28 M35:M62 S35:S62 Y2:Y29 Y35:Y61 AE2:AE29 AE35:AE62 AK2:AK28 AK35:AK62 AQ2:AQ28 AQ35:AQ62">
    <cfRule type="expression" dxfId="0" priority="4">
      <formula>COUNTIF($AV:$AV,INDEX($L2:$AT2,1,6*INT((COLUMN()-COLUMN($L$2))/6)+2))&gt;0</formula>
    </cfRule>
  </conditionalFormatting>
  <conditionalFormatting sqref="L2:O63 P2:P33 Q2:U63 V2:V33 W2:AA63 AB2:AB33 AC2:AG63 AH2:AH33 AI2:AM63 AN2:AN33 AO2:AS63 AT2:AT33 P35:P63 V35:V63 AB35:AB63 AH35:AH63 AN35:AN63 AT35:AT63">
    <cfRule type="expression" dxfId="1" priority="5">
      <formula>AND(L2&lt;&gt;"",ISEVEN(INDEX($L2:$AT2,1,6*INT((COLUMN()-COLUMN($L$2))/6)+4)))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0.88"/>
    <col customWidth="1" min="3" max="3" width="16.5"/>
    <col customWidth="1" min="4" max="4" width="35.5"/>
    <col customWidth="1" min="6" max="6" width="5.5"/>
  </cols>
  <sheetData>
    <row r="1">
      <c r="A1" s="10" t="str">
        <f>IFERROR(__xludf.DUMMYFUNCTION("QUERY(
  {'ROTASI SETTINGS'!I2:I1000,'ROTASI SETTINGS'!A2:C1000},
  ""select Col1, Col2, Col3, Col4
   where Col2 is not null
   order by Col1, Col2
   label Col1 'PC', Col2 'NOPOL', Col3 'TLPG', Col4 'PERUSAHAAN'"",
  0
)"),"PC")</f>
        <v>PC</v>
      </c>
      <c r="B1" s="10" t="str">
        <f>IFERROR(__xludf.DUMMYFUNCTION("""COMPUTED_VALUE"""),"NOPOL")</f>
        <v>NOPOL</v>
      </c>
      <c r="C1" s="10" t="str">
        <f>IFERROR(__xludf.DUMMYFUNCTION("""COMPUTED_VALUE"""),"TLPG")</f>
        <v>TLPG</v>
      </c>
      <c r="D1" s="10" t="str">
        <f>IFERROR(__xludf.DUMMYFUNCTION("""COMPUTED_VALUE"""),"PERUSAHAAN")</f>
        <v>PERUSAHAAN</v>
      </c>
      <c r="E1" s="15" t="s">
        <v>14</v>
      </c>
    </row>
    <row r="2">
      <c r="A2" s="16">
        <f>IFERROR(__xludf.DUMMYFUNCTION("""COMPUTED_VALUE"""),1.0)</f>
        <v>1</v>
      </c>
      <c r="B2" s="16" t="str">
        <f>IFERROR(__xludf.DUMMYFUNCTION("""COMPUTED_VALUE"""),"AE 8518 UJ")</f>
        <v>AE 8518 UJ</v>
      </c>
      <c r="C2" s="16" t="str">
        <f>IFERROR(__xludf.DUMMYFUNCTION("""COMPUTED_VALUE"""),"TLPG TJ PERAK")</f>
        <v>TLPG TJ PERAK</v>
      </c>
      <c r="D2" s="16" t="str">
        <f>IFERROR(__xludf.DUMMYFUNCTION("""COMPUTED_VALUE"""),"PT NUR WISTARA ABADI")</f>
        <v>PT NUR WISTARA ABADI</v>
      </c>
      <c r="E2" s="18" t="s">
        <v>20</v>
      </c>
      <c r="F2" s="19"/>
      <c r="G2" s="16"/>
    </row>
    <row r="3">
      <c r="A3" s="16">
        <f>IFERROR(__xludf.DUMMYFUNCTION("""COMPUTED_VALUE"""),1.0)</f>
        <v>1</v>
      </c>
      <c r="B3" s="16" t="str">
        <f>IFERROR(__xludf.DUMMYFUNCTION("""COMPUTED_VALUE"""),"AE 9401 UJ")</f>
        <v>AE 9401 UJ</v>
      </c>
      <c r="C3" s="16" t="str">
        <f>IFERROR(__xludf.DUMMYFUNCTION("""COMPUTED_VALUE"""),"TLPG TJ PERAK")</f>
        <v>TLPG TJ PERAK</v>
      </c>
      <c r="D3" s="16" t="str">
        <f>IFERROR(__xludf.DUMMYFUNCTION("""COMPUTED_VALUE"""),"PT SUMINAR MITRAGAS SELARAS")</f>
        <v>PT SUMINAR MITRAGAS SELARAS</v>
      </c>
      <c r="F3" s="19"/>
      <c r="G3" s="16"/>
    </row>
    <row r="4">
      <c r="A4" s="16">
        <f>IFERROR(__xludf.DUMMYFUNCTION("""COMPUTED_VALUE"""),1.0)</f>
        <v>1</v>
      </c>
      <c r="B4" s="16" t="str">
        <f>IFERROR(__xludf.DUMMYFUNCTION("""COMPUTED_VALUE"""),"AG 8384 UE")</f>
        <v>AG 8384 UE</v>
      </c>
      <c r="C4" s="16" t="str">
        <f>IFERROR(__xludf.DUMMYFUNCTION("""COMPUTED_VALUE"""),"TLPG TJ PERAK")</f>
        <v>TLPG TJ PERAK</v>
      </c>
      <c r="D4" s="16" t="str">
        <f>IFERROR(__xludf.DUMMYFUNCTION("""COMPUTED_VALUE"""),"PT SURYA ADHILESTARI")</f>
        <v>PT SURYA ADHILESTARI</v>
      </c>
      <c r="F4" s="19"/>
      <c r="G4" s="16"/>
    </row>
    <row r="5">
      <c r="A5" s="16">
        <f>IFERROR(__xludf.DUMMYFUNCTION("""COMPUTED_VALUE"""),1.0)</f>
        <v>1</v>
      </c>
      <c r="B5" s="16" t="str">
        <f>IFERROR(__xludf.DUMMYFUNCTION("""COMPUTED_VALUE"""),"AG 8818 UT")</f>
        <v>AG 8818 UT</v>
      </c>
      <c r="C5" s="16" t="str">
        <f>IFERROR(__xludf.DUMMYFUNCTION("""COMPUTED_VALUE"""),"TLPG TJ PERAK")</f>
        <v>TLPG TJ PERAK</v>
      </c>
      <c r="D5" s="16" t="str">
        <f>IFERROR(__xludf.DUMMYFUNCTION("""COMPUTED_VALUE"""),"PT GANGSAR SENTOSA PETROLIUM")</f>
        <v>PT GANGSAR SENTOSA PETROLIUM</v>
      </c>
      <c r="F5" s="19"/>
      <c r="G5" s="16"/>
    </row>
    <row r="6">
      <c r="A6" s="16">
        <f>IFERROR(__xludf.DUMMYFUNCTION("""COMPUTED_VALUE"""),1.0)</f>
        <v>1</v>
      </c>
      <c r="B6" s="16" t="str">
        <f>IFERROR(__xludf.DUMMYFUNCTION("""COMPUTED_VALUE"""),"B 9070 SEJ")</f>
        <v>B 9070 SEJ</v>
      </c>
      <c r="C6" s="16" t="str">
        <f>IFERROR(__xludf.DUMMYFUNCTION("""COMPUTED_VALUE"""),"TLPG TJ WANGI")</f>
        <v>TLPG TJ WANGI</v>
      </c>
      <c r="D6" s="16" t="str">
        <f>IFERROR(__xludf.DUMMYFUNCTION("""COMPUTED_VALUE"""),"Data Company Belum Ada")</f>
        <v>Data Company Belum Ada</v>
      </c>
      <c r="F6" s="19"/>
      <c r="G6" s="16"/>
    </row>
    <row r="7">
      <c r="A7" s="16">
        <f>IFERROR(__xludf.DUMMYFUNCTION("""COMPUTED_VALUE"""),1.0)</f>
        <v>1</v>
      </c>
      <c r="B7" s="16" t="str">
        <f>IFERROR(__xludf.DUMMYFUNCTION("""COMPUTED_VALUE"""),"B 9123 SEI")</f>
        <v>B 9123 SEI</v>
      </c>
      <c r="C7" s="16" t="str">
        <f>IFERROR(__xludf.DUMMYFUNCTION("""COMPUTED_VALUE"""),"TLPG MEM GRESIK")</f>
        <v>TLPG MEM GRESIK</v>
      </c>
      <c r="D7" s="16" t="str">
        <f>IFERROR(__xludf.DUMMYFUNCTION("""COMPUTED_VALUE"""),"PT PATRA NIAGA")</f>
        <v>PT PATRA NIAGA</v>
      </c>
      <c r="F7" s="19"/>
      <c r="G7" s="16"/>
    </row>
    <row r="8">
      <c r="A8" s="16">
        <f>IFERROR(__xludf.DUMMYFUNCTION("""COMPUTED_VALUE"""),1.0)</f>
        <v>1</v>
      </c>
      <c r="B8" s="16" t="str">
        <f>IFERROR(__xludf.DUMMYFUNCTION("""COMPUTED_VALUE"""),"B 9144 SEJ")</f>
        <v>B 9144 SEJ</v>
      </c>
      <c r="C8" s="16" t="str">
        <f>IFERROR(__xludf.DUMMYFUNCTION("""COMPUTED_VALUE"""),"TLPG TJ WANGI")</f>
        <v>TLPG TJ WANGI</v>
      </c>
      <c r="D8" s="16" t="str">
        <f>IFERROR(__xludf.DUMMYFUNCTION("""COMPUTED_VALUE"""),"Data Company Belum Ada")</f>
        <v>Data Company Belum Ada</v>
      </c>
      <c r="F8" s="19"/>
      <c r="G8" s="16"/>
    </row>
    <row r="9">
      <c r="A9" s="16">
        <f>IFERROR(__xludf.DUMMYFUNCTION("""COMPUTED_VALUE"""),1.0)</f>
        <v>1</v>
      </c>
      <c r="B9" s="16" t="str">
        <f>IFERROR(__xludf.DUMMYFUNCTION("""COMPUTED_VALUE"""),"B 9874 SFV")</f>
        <v>B 9874 SFV</v>
      </c>
      <c r="C9" s="16" t="str">
        <f>IFERROR(__xludf.DUMMYFUNCTION("""COMPUTED_VALUE"""),"TLPG MEM GRESIK")</f>
        <v>TLPG MEM GRESIK</v>
      </c>
      <c r="D9" s="16" t="str">
        <f>IFERROR(__xludf.DUMMYFUNCTION("""COMPUTED_VALUE"""),"PT PATRA LOGISTIK")</f>
        <v>PT PATRA LOGISTIK</v>
      </c>
      <c r="F9" s="19"/>
      <c r="G9" s="16"/>
    </row>
    <row r="10">
      <c r="A10" s="16">
        <f>IFERROR(__xludf.DUMMYFUNCTION("""COMPUTED_VALUE"""),1.0)</f>
        <v>1</v>
      </c>
      <c r="B10" s="16" t="str">
        <f>IFERROR(__xludf.DUMMYFUNCTION("""COMPUTED_VALUE"""),"DK 8394 CP")</f>
        <v>DK 8394 CP</v>
      </c>
      <c r="C10" s="16" t="str">
        <f>IFERROR(__xludf.DUMMYFUNCTION("""COMPUTED_VALUE"""),"TLPG MANGGIS")</f>
        <v>TLPG MANGGIS</v>
      </c>
      <c r="D10" s="16" t="str">
        <f>IFERROR(__xludf.DUMMYFUNCTION("""COMPUTED_VALUE"""),"SPPBE-PT. Sadikun LPG 3Kg")</f>
        <v>SPPBE-PT. Sadikun LPG 3Kg</v>
      </c>
      <c r="F10" s="19"/>
      <c r="G10" s="16"/>
    </row>
    <row r="11">
      <c r="A11" s="16">
        <f>IFERROR(__xludf.DUMMYFUNCTION("""COMPUTED_VALUE"""),1.0)</f>
        <v>1</v>
      </c>
      <c r="B11" s="16" t="str">
        <f>IFERROR(__xludf.DUMMYFUNCTION("""COMPUTED_VALUE"""),"DR 8309 LH")</f>
        <v>DR 8309 LH</v>
      </c>
      <c r="C11" s="16" t="str">
        <f>IFERROR(__xludf.DUMMYFUNCTION("""COMPUTED_VALUE"""),"TLPG LOMBOK")</f>
        <v>TLPG LOMBOK</v>
      </c>
      <c r="D11" s="16" t="str">
        <f>IFERROR(__xludf.DUMMYFUNCTION("""COMPUTED_VALUE"""),"SPPBE-PT. Bintang Energi Abadi")</f>
        <v>SPPBE-PT. Bintang Energi Abadi</v>
      </c>
      <c r="F11" s="19"/>
      <c r="G11" s="16"/>
    </row>
    <row r="12">
      <c r="A12" s="16">
        <f>IFERROR(__xludf.DUMMYFUNCTION("""COMPUTED_VALUE"""),1.0)</f>
        <v>1</v>
      </c>
      <c r="B12" s="16" t="str">
        <f>IFERROR(__xludf.DUMMYFUNCTION("""COMPUTED_VALUE"""),"DR 8543 AG")</f>
        <v>DR 8543 AG</v>
      </c>
      <c r="C12" s="16" t="str">
        <f>IFERROR(__xludf.DUMMYFUNCTION("""COMPUTED_VALUE"""),"TLPG LOMBOK")</f>
        <v>TLPG LOMBOK</v>
      </c>
      <c r="D12" s="16" t="str">
        <f>IFERROR(__xludf.DUMMYFUNCTION("""COMPUTED_VALUE"""),"SPPBE-PT. Lombok Menara Energigas")</f>
        <v>SPPBE-PT. Lombok Menara Energigas</v>
      </c>
      <c r="F12" s="19"/>
      <c r="G12" s="16"/>
    </row>
    <row r="13">
      <c r="A13" s="16">
        <f>IFERROR(__xludf.DUMMYFUNCTION("""COMPUTED_VALUE"""),1.0)</f>
        <v>1</v>
      </c>
      <c r="B13" s="16" t="str">
        <f>IFERROR(__xludf.DUMMYFUNCTION("""COMPUTED_VALUE"""),"DR 8761 DC")</f>
        <v>DR 8761 DC</v>
      </c>
      <c r="C13" s="16" t="str">
        <f>IFERROR(__xludf.DUMMYFUNCTION("""COMPUTED_VALUE"""),"TLPG LOMBOK")</f>
        <v>TLPG LOMBOK</v>
      </c>
      <c r="D13" s="16" t="str">
        <f>IFERROR(__xludf.DUMMYFUNCTION("""COMPUTED_VALUE"""),"SPPBE-PT. Om Agus")</f>
        <v>SPPBE-PT. Om Agus</v>
      </c>
      <c r="F13" s="19"/>
      <c r="G13" s="16"/>
    </row>
    <row r="14">
      <c r="A14" s="16">
        <f>IFERROR(__xludf.DUMMYFUNCTION("""COMPUTED_VALUE"""),1.0)</f>
        <v>1</v>
      </c>
      <c r="B14" s="16" t="str">
        <f>IFERROR(__xludf.DUMMYFUNCTION("""COMPUTED_VALUE"""),"L 8116 UUC")</f>
        <v>L 8116 UUC</v>
      </c>
      <c r="C14" s="16" t="str">
        <f>IFERROR(__xludf.DUMMYFUNCTION("""COMPUTED_VALUE"""),"TLPG BIMA")</f>
        <v>TLPG BIMA</v>
      </c>
      <c r="D14" s="16" t="str">
        <f>IFERROR(__xludf.DUMMYFUNCTION("""COMPUTED_VALUE"""),"PT. SUMBAWA DUTA ENERGY")</f>
        <v>PT. SUMBAWA DUTA ENERGY</v>
      </c>
      <c r="F14" s="19"/>
      <c r="G14" s="16"/>
    </row>
    <row r="15">
      <c r="A15" s="16">
        <f>IFERROR(__xludf.DUMMYFUNCTION("""COMPUTED_VALUE"""),1.0)</f>
        <v>1</v>
      </c>
      <c r="B15" s="16" t="str">
        <f>IFERROR(__xludf.DUMMYFUNCTION("""COMPUTED_VALUE"""),"L 8192 UX")</f>
        <v>L 8192 UX</v>
      </c>
      <c r="C15" s="16" t="str">
        <f>IFERROR(__xludf.DUMMYFUNCTION("""COMPUTED_VALUE"""),"TLPG MEM GRESIK")</f>
        <v>TLPG MEM GRESIK</v>
      </c>
      <c r="D15" s="16" t="str">
        <f>IFERROR(__xludf.DUMMYFUNCTION("""COMPUTED_VALUE"""),"PT PERMATA ENERGI BUMI INDONESIA")</f>
        <v>PT PERMATA ENERGI BUMI INDONESIA</v>
      </c>
      <c r="F15" s="19"/>
      <c r="G15" s="16"/>
    </row>
    <row r="16">
      <c r="A16" s="16">
        <f>IFERROR(__xludf.DUMMYFUNCTION("""COMPUTED_VALUE"""),1.0)</f>
        <v>1</v>
      </c>
      <c r="B16" s="16" t="str">
        <f>IFERROR(__xludf.DUMMYFUNCTION("""COMPUTED_VALUE"""),"L 8333 UCA")</f>
        <v>L 8333 UCA</v>
      </c>
      <c r="C16" s="16" t="str">
        <f>IFERROR(__xludf.DUMMYFUNCTION("""COMPUTED_VALUE"""),"TLPG TJ PERAK")</f>
        <v>TLPG TJ PERAK</v>
      </c>
      <c r="D16" s="16" t="str">
        <f>IFERROR(__xludf.DUMMYFUNCTION("""COMPUTED_VALUE"""),"PT GEHA INTI CITRA")</f>
        <v>PT GEHA INTI CITRA</v>
      </c>
      <c r="F16" s="19"/>
      <c r="G16" s="16"/>
    </row>
    <row r="17">
      <c r="A17" s="16">
        <f>IFERROR(__xludf.DUMMYFUNCTION("""COMPUTED_VALUE"""),1.0)</f>
        <v>1</v>
      </c>
      <c r="B17" s="16" t="str">
        <f>IFERROR(__xludf.DUMMYFUNCTION("""COMPUTED_VALUE"""),"L 9476 UL")</f>
        <v>L 9476 UL</v>
      </c>
      <c r="C17" s="16" t="str">
        <f>IFERROR(__xludf.DUMMYFUNCTION("""COMPUTED_VALUE"""),"TLPG TJ PERAK")</f>
        <v>TLPG TJ PERAK</v>
      </c>
      <c r="D17" s="16" t="str">
        <f>IFERROR(__xludf.DUMMYFUNCTION("""COMPUTED_VALUE"""),"PT HELA CITRA AGUNG")</f>
        <v>PT HELA CITRA AGUNG</v>
      </c>
      <c r="F17" s="19"/>
      <c r="G17" s="16"/>
    </row>
    <row r="18">
      <c r="A18" s="16">
        <f>IFERROR(__xludf.DUMMYFUNCTION("""COMPUTED_VALUE"""),1.0)</f>
        <v>1</v>
      </c>
      <c r="B18" s="16" t="str">
        <f>IFERROR(__xludf.DUMMYFUNCTION("""COMPUTED_VALUE"""),"L 9822 UE")</f>
        <v>L 9822 UE</v>
      </c>
      <c r="C18" s="16" t="str">
        <f>IFERROR(__xludf.DUMMYFUNCTION("""COMPUTED_VALUE"""),"TLPG TJ PERAK")</f>
        <v>TLPG TJ PERAK</v>
      </c>
      <c r="D18" s="16" t="str">
        <f>IFERROR(__xludf.DUMMYFUNCTION("""COMPUTED_VALUE"""),"PT DHARMA TECH INFOMEDIA")</f>
        <v>PT DHARMA TECH INFOMEDIA</v>
      </c>
      <c r="F18" s="19"/>
      <c r="G18" s="16"/>
    </row>
    <row r="19">
      <c r="A19" s="16">
        <f>IFERROR(__xludf.DUMMYFUNCTION("""COMPUTED_VALUE"""),1.0)</f>
        <v>1</v>
      </c>
      <c r="B19" s="16" t="str">
        <f>IFERROR(__xludf.DUMMYFUNCTION("""COMPUTED_VALUE"""),"N 8660 UH")</f>
        <v>N 8660 UH</v>
      </c>
      <c r="C19" s="16" t="str">
        <f>IFERROR(__xludf.DUMMYFUNCTION("""COMPUTED_VALUE"""),"TLPG TJ PERAK")</f>
        <v>TLPG TJ PERAK</v>
      </c>
      <c r="D19" s="16" t="str">
        <f>IFERROR(__xludf.DUMMYFUNCTION("""COMPUTED_VALUE"""),"PT TRIEN GASMIKU")</f>
        <v>PT TRIEN GASMIKU</v>
      </c>
      <c r="F19" s="19"/>
      <c r="G19" s="16"/>
    </row>
    <row r="20">
      <c r="A20" s="16">
        <f>IFERROR(__xludf.DUMMYFUNCTION("""COMPUTED_VALUE"""),1.0)</f>
        <v>1</v>
      </c>
      <c r="B20" s="16" t="str">
        <f>IFERROR(__xludf.DUMMYFUNCTION("""COMPUTED_VALUE"""),"N 8661 UR")</f>
        <v>N 8661 UR</v>
      </c>
      <c r="C20" s="16" t="str">
        <f>IFERROR(__xludf.DUMMYFUNCTION("""COMPUTED_VALUE"""),"TLPG TJ PERAK")</f>
        <v>TLPG TJ PERAK</v>
      </c>
      <c r="D20" s="16" t="str">
        <f>IFERROR(__xludf.DUMMYFUNCTION("""COMPUTED_VALUE"""),"PT SUMBER GAS INTI UTAMA")</f>
        <v>PT SUMBER GAS INTI UTAMA</v>
      </c>
      <c r="F20" s="19"/>
      <c r="G20" s="16"/>
    </row>
    <row r="21">
      <c r="A21" s="16">
        <f>IFERROR(__xludf.DUMMYFUNCTION("""COMPUTED_VALUE"""),1.0)</f>
        <v>1</v>
      </c>
      <c r="B21" s="16" t="str">
        <f>IFERROR(__xludf.DUMMYFUNCTION("""COMPUTED_VALUE"""),"N 8714 US")</f>
        <v>N 8714 US</v>
      </c>
      <c r="C21" s="16" t="str">
        <f>IFERROR(__xludf.DUMMYFUNCTION("""COMPUTED_VALUE"""),"TLPG TJ PERAK")</f>
        <v>TLPG TJ PERAK</v>
      </c>
      <c r="D21" s="16" t="str">
        <f>IFERROR(__xludf.DUMMYFUNCTION("""COMPUTED_VALUE"""),"PT ANUGERAH JATI UTAMA")</f>
        <v>PT ANUGERAH JATI UTAMA</v>
      </c>
      <c r="F21" s="19"/>
      <c r="G21" s="16"/>
    </row>
    <row r="22">
      <c r="A22" s="16">
        <f>IFERROR(__xludf.DUMMYFUNCTION("""COMPUTED_VALUE"""),1.0)</f>
        <v>1</v>
      </c>
      <c r="B22" s="16" t="str">
        <f>IFERROR(__xludf.DUMMYFUNCTION("""COMPUTED_VALUE"""),"N 9287 UN")</f>
        <v>N 9287 UN</v>
      </c>
      <c r="C22" s="16" t="str">
        <f>IFERROR(__xludf.DUMMYFUNCTION("""COMPUTED_VALUE"""),"TLPG TJ WANGI")</f>
        <v>TLPG TJ WANGI</v>
      </c>
      <c r="D22" s="16" t="str">
        <f>IFERROR(__xludf.DUMMYFUNCTION("""COMPUTED_VALUE"""),"PT HAKAMINDO PETROCHEM")</f>
        <v>PT HAKAMINDO PETROCHEM</v>
      </c>
      <c r="F22" s="19"/>
      <c r="G22" s="16"/>
    </row>
    <row r="23">
      <c r="A23" s="16">
        <f>IFERROR(__xludf.DUMMYFUNCTION("""COMPUTED_VALUE"""),1.0)</f>
        <v>1</v>
      </c>
      <c r="B23" s="16" t="str">
        <f>IFERROR(__xludf.DUMMYFUNCTION("""COMPUTED_VALUE"""),"N 9424 UU")</f>
        <v>N 9424 UU</v>
      </c>
      <c r="C23" s="16" t="str">
        <f>IFERROR(__xludf.DUMMYFUNCTION("""COMPUTED_VALUE"""),"TLPG TJ PERAK")</f>
        <v>TLPG TJ PERAK</v>
      </c>
      <c r="D23" s="16" t="str">
        <f>IFERROR(__xludf.DUMMYFUNCTION("""COMPUTED_VALUE"""),"PT ANUGRAH SURYA MANDALA")</f>
        <v>PT ANUGRAH SURYA MANDALA</v>
      </c>
      <c r="F23" s="19"/>
      <c r="G23" s="16"/>
    </row>
    <row r="24">
      <c r="A24" s="16">
        <f>IFERROR(__xludf.DUMMYFUNCTION("""COMPUTED_VALUE"""),1.0)</f>
        <v>1</v>
      </c>
      <c r="B24" s="16" t="str">
        <f>IFERROR(__xludf.DUMMYFUNCTION("""COMPUTED_VALUE"""),"N 9502 UG")</f>
        <v>N 9502 UG</v>
      </c>
      <c r="C24" s="16" t="str">
        <f>IFERROR(__xludf.DUMMYFUNCTION("""COMPUTED_VALUE"""),"TLPG TJ PERAK")</f>
        <v>TLPG TJ PERAK</v>
      </c>
      <c r="D24" s="16" t="str">
        <f>IFERROR(__xludf.DUMMYFUNCTION("""COMPUTED_VALUE"""),"PT PETROGAS JATIM UTAMA")</f>
        <v>PT PETROGAS JATIM UTAMA</v>
      </c>
      <c r="F24" s="19"/>
      <c r="G24" s="16"/>
    </row>
    <row r="25">
      <c r="A25" s="16">
        <f>IFERROR(__xludf.DUMMYFUNCTION("""COMPUTED_VALUE"""),1.0)</f>
        <v>1</v>
      </c>
      <c r="B25" s="16" t="str">
        <f>IFERROR(__xludf.DUMMYFUNCTION("""COMPUTED_VALUE"""),"N 9659 UG")</f>
        <v>N 9659 UG</v>
      </c>
      <c r="C25" s="16" t="str">
        <f>IFERROR(__xludf.DUMMYFUNCTION("""COMPUTED_VALUE"""),"TLPG MEM GRESIK")</f>
        <v>TLPG MEM GRESIK</v>
      </c>
      <c r="D25" s="16" t="str">
        <f>IFERROR(__xludf.DUMMYFUNCTION("""COMPUTED_VALUE"""),"PT SINAR WAHANA SURYA")</f>
        <v>PT SINAR WAHANA SURYA</v>
      </c>
      <c r="F25" s="19"/>
      <c r="G25" s="16"/>
    </row>
    <row r="26">
      <c r="A26" s="16">
        <f>IFERROR(__xludf.DUMMYFUNCTION("""COMPUTED_VALUE"""),1.0)</f>
        <v>1</v>
      </c>
      <c r="B26" s="16" t="str">
        <f>IFERROR(__xludf.DUMMYFUNCTION("""COMPUTED_VALUE"""),"P 8087 GG")</f>
        <v>P 8087 GG</v>
      </c>
      <c r="C26" s="16" t="str">
        <f>IFERROR(__xludf.DUMMYFUNCTION("""COMPUTED_VALUE"""),"TLPG TJ WANGI")</f>
        <v>TLPG TJ WANGI</v>
      </c>
      <c r="D26" s="16" t="str">
        <f>IFERROR(__xludf.DUMMYFUNCTION("""COMPUTED_VALUE"""),"PT BUMI GASINDO RAYA")</f>
        <v>PT BUMI GASINDO RAYA</v>
      </c>
      <c r="F26" s="19"/>
      <c r="G26" s="16"/>
    </row>
    <row r="27">
      <c r="A27" s="16">
        <f>IFERROR(__xludf.DUMMYFUNCTION("""COMPUTED_VALUE"""),1.0)</f>
        <v>1</v>
      </c>
      <c r="B27" s="16" t="str">
        <f>IFERROR(__xludf.DUMMYFUNCTION("""COMPUTED_VALUE"""),"P 8821 UW")</f>
        <v>P 8821 UW</v>
      </c>
      <c r="C27" s="16" t="str">
        <f>IFERROR(__xludf.DUMMYFUNCTION("""COMPUTED_VALUE"""),"TLPG TJ WANGI")</f>
        <v>TLPG TJ WANGI</v>
      </c>
      <c r="D27" s="16" t="str">
        <f>IFERROR(__xludf.DUMMYFUNCTION("""COMPUTED_VALUE"""),"Data Company Belum Ada")</f>
        <v>Data Company Belum Ada</v>
      </c>
      <c r="F27" s="19"/>
      <c r="G27" s="16"/>
    </row>
    <row r="28">
      <c r="A28" s="16">
        <f>IFERROR(__xludf.DUMMYFUNCTION("""COMPUTED_VALUE"""),1.0)</f>
        <v>1</v>
      </c>
      <c r="B28" s="16" t="str">
        <f>IFERROR(__xludf.DUMMYFUNCTION("""COMPUTED_VALUE"""),"S 8548 UN")</f>
        <v>S 8548 UN</v>
      </c>
      <c r="C28" s="16" t="str">
        <f>IFERROR(__xludf.DUMMYFUNCTION("""COMPUTED_VALUE"""),"TLPG TJ PERAK")</f>
        <v>TLPG TJ PERAK</v>
      </c>
      <c r="D28" s="16" t="str">
        <f>IFERROR(__xludf.DUMMYFUNCTION("""COMPUTED_VALUE"""),"PT AMANATUL UMMAH GAS")</f>
        <v>PT AMANATUL UMMAH GAS</v>
      </c>
      <c r="F28" s="19"/>
      <c r="G28" s="16"/>
    </row>
    <row r="29">
      <c r="A29" s="16">
        <f>IFERROR(__xludf.DUMMYFUNCTION("""COMPUTED_VALUE"""),1.0)</f>
        <v>1</v>
      </c>
      <c r="B29" s="16" t="str">
        <f>IFERROR(__xludf.DUMMYFUNCTION("""COMPUTED_VALUE"""),"W 8303 PG")</f>
        <v>W 8303 PG</v>
      </c>
      <c r="C29" s="16" t="str">
        <f>IFERROR(__xludf.DUMMYFUNCTION("""COMPUTED_VALUE"""),"TLPG TJ PERAK")</f>
        <v>TLPG TJ PERAK</v>
      </c>
      <c r="D29" s="16" t="str">
        <f>IFERROR(__xludf.DUMMYFUNCTION("""COMPUTED_VALUE"""),"PT KARYA MEGA GAS MANDIRI")</f>
        <v>PT KARYA MEGA GAS MANDIRI</v>
      </c>
      <c r="F29" s="19"/>
      <c r="G29" s="16"/>
    </row>
    <row r="30">
      <c r="A30" s="32">
        <f>IFERROR(__xludf.DUMMYFUNCTION("""COMPUTED_VALUE"""),2.0)</f>
        <v>2</v>
      </c>
      <c r="B30" s="32" t="str">
        <f>IFERROR(__xludf.DUMMYFUNCTION("""COMPUTED_VALUE"""),"AD 9780 AB")</f>
        <v>AD 9780 AB</v>
      </c>
      <c r="C30" s="32" t="str">
        <f>IFERROR(__xludf.DUMMYFUNCTION("""COMPUTED_VALUE"""),"TLPG LOMBOK")</f>
        <v>TLPG LOMBOK</v>
      </c>
      <c r="D30" s="32" t="str">
        <f>IFERROR(__xludf.DUMMYFUNCTION("""COMPUTED_VALUE"""),"SPPBE-PT. Lombok Putra Gas")</f>
        <v>SPPBE-PT. Lombok Putra Gas</v>
      </c>
      <c r="E30" s="33" t="s">
        <v>105</v>
      </c>
      <c r="F30" s="19"/>
      <c r="G30" s="16"/>
    </row>
    <row r="31">
      <c r="A31" s="32">
        <f>IFERROR(__xludf.DUMMYFUNCTION("""COMPUTED_VALUE"""),2.0)</f>
        <v>2</v>
      </c>
      <c r="B31" s="32" t="str">
        <f>IFERROR(__xludf.DUMMYFUNCTION("""COMPUTED_VALUE"""),"AE 8546 UJ")</f>
        <v>AE 8546 UJ</v>
      </c>
      <c r="C31" s="32" t="str">
        <f>IFERROR(__xludf.DUMMYFUNCTION("""COMPUTED_VALUE"""),"TLPG TJ PERAK")</f>
        <v>TLPG TJ PERAK</v>
      </c>
      <c r="D31" s="32" t="str">
        <f>IFERROR(__xludf.DUMMYFUNCTION("""COMPUTED_VALUE"""),"PT NUR WISTARA ABADI")</f>
        <v>PT NUR WISTARA ABADI</v>
      </c>
      <c r="F31" s="19"/>
      <c r="G31" s="16"/>
    </row>
    <row r="32">
      <c r="A32" s="32">
        <f>IFERROR(__xludf.DUMMYFUNCTION("""COMPUTED_VALUE"""),2.0)</f>
        <v>2</v>
      </c>
      <c r="B32" s="32" t="str">
        <f>IFERROR(__xludf.DUMMYFUNCTION("""COMPUTED_VALUE"""),"AE 8858 UT")</f>
        <v>AE 8858 UT</v>
      </c>
      <c r="C32" s="32" t="str">
        <f>IFERROR(__xludf.DUMMYFUNCTION("""COMPUTED_VALUE"""),"TLPG TJ PERAK")</f>
        <v>TLPG TJ PERAK</v>
      </c>
      <c r="D32" s="32" t="str">
        <f>IFERROR(__xludf.DUMMYFUNCTION("""COMPUTED_VALUE"""),"PT GANGSAR SENTOSA PETROLIUM")</f>
        <v>PT GANGSAR SENTOSA PETROLIUM</v>
      </c>
      <c r="F32" s="19"/>
      <c r="G32" s="16"/>
    </row>
    <row r="33">
      <c r="A33" s="32">
        <f>IFERROR(__xludf.DUMMYFUNCTION("""COMPUTED_VALUE"""),2.0)</f>
        <v>2</v>
      </c>
      <c r="B33" s="32" t="str">
        <f>IFERROR(__xludf.DUMMYFUNCTION("""COMPUTED_VALUE"""),"AG 8115 UC")</f>
        <v>AG 8115 UC</v>
      </c>
      <c r="C33" s="32" t="str">
        <f>IFERROR(__xludf.DUMMYFUNCTION("""COMPUTED_VALUE"""),"TLPG TJ PERAK")</f>
        <v>TLPG TJ PERAK</v>
      </c>
      <c r="D33" s="32" t="str">
        <f>IFERROR(__xludf.DUMMYFUNCTION("""COMPUTED_VALUE"""),"PT SURYA ADI LESTARI")</f>
        <v>PT SURYA ADI LESTARI</v>
      </c>
      <c r="F33" s="19"/>
      <c r="G33" s="16"/>
    </row>
    <row r="34">
      <c r="A34" s="32">
        <f>IFERROR(__xludf.DUMMYFUNCTION("""COMPUTED_VALUE"""),2.0)</f>
        <v>2</v>
      </c>
      <c r="B34" s="32" t="str">
        <f>IFERROR(__xludf.DUMMYFUNCTION("""COMPUTED_VALUE"""),"AG 9151 UL")</f>
        <v>AG 9151 UL</v>
      </c>
      <c r="C34" s="32" t="str">
        <f>IFERROR(__xludf.DUMMYFUNCTION("""COMPUTED_VALUE"""),"TLPG TJ PERAK")</f>
        <v>TLPG TJ PERAK</v>
      </c>
      <c r="D34" s="32" t="str">
        <f>IFERROR(__xludf.DUMMYFUNCTION("""COMPUTED_VALUE"""),"PT SUMINAR MITRAGAS SELARAS")</f>
        <v>PT SUMINAR MITRAGAS SELARAS</v>
      </c>
      <c r="F34" s="19"/>
      <c r="G34" s="16"/>
    </row>
    <row r="35">
      <c r="A35" s="32">
        <f>IFERROR(__xludf.DUMMYFUNCTION("""COMPUTED_VALUE"""),2.0)</f>
        <v>2</v>
      </c>
      <c r="B35" s="32" t="str">
        <f>IFERROR(__xludf.DUMMYFUNCTION("""COMPUTED_VALUE"""),"B 9113 SEI")</f>
        <v>B 9113 SEI</v>
      </c>
      <c r="C35" s="32" t="str">
        <f>IFERROR(__xludf.DUMMYFUNCTION("""COMPUTED_VALUE"""),"TLPG MEM GRESIK")</f>
        <v>TLPG MEM GRESIK</v>
      </c>
      <c r="D35" s="32" t="str">
        <f>IFERROR(__xludf.DUMMYFUNCTION("""COMPUTED_VALUE"""),"PT PATRA NIAGA")</f>
        <v>PT PATRA NIAGA</v>
      </c>
      <c r="F35" s="19"/>
      <c r="G35" s="16"/>
    </row>
    <row r="36">
      <c r="A36" s="32">
        <f>IFERROR(__xludf.DUMMYFUNCTION("""COMPUTED_VALUE"""),2.0)</f>
        <v>2</v>
      </c>
      <c r="B36" s="32" t="str">
        <f>IFERROR(__xludf.DUMMYFUNCTION("""COMPUTED_VALUE"""),"B 9158 SFW")</f>
        <v>B 9158 SFW</v>
      </c>
      <c r="C36" s="32" t="str">
        <f>IFERROR(__xludf.DUMMYFUNCTION("""COMPUTED_VALUE"""),"TLPG MEM GRESIK")</f>
        <v>TLPG MEM GRESIK</v>
      </c>
      <c r="D36" s="32" t="str">
        <f>IFERROR(__xludf.DUMMYFUNCTION("""COMPUTED_VALUE"""),"PT PATRA LOGISTIK")</f>
        <v>PT PATRA LOGISTIK</v>
      </c>
      <c r="F36" s="19"/>
      <c r="G36" s="16"/>
    </row>
    <row r="37">
      <c r="A37" s="32">
        <f>IFERROR(__xludf.DUMMYFUNCTION("""COMPUTED_VALUE"""),2.0)</f>
        <v>2</v>
      </c>
      <c r="B37" s="32" t="str">
        <f>IFERROR(__xludf.DUMMYFUNCTION("""COMPUTED_VALUE"""),"DK 8018 UF")</f>
        <v>DK 8018 UF</v>
      </c>
      <c r="C37" s="32" t="str">
        <f>IFERROR(__xludf.DUMMYFUNCTION("""COMPUTED_VALUE"""),"TLPG MANGGIS")</f>
        <v>TLPG MANGGIS</v>
      </c>
      <c r="D37" s="32" t="str">
        <f>IFERROR(__xludf.DUMMYFUNCTION("""COMPUTED_VALUE"""),"SPPBE-PT. Gaya Investama")</f>
        <v>SPPBE-PT. Gaya Investama</v>
      </c>
      <c r="F37" s="19"/>
      <c r="G37" s="16"/>
    </row>
    <row r="38">
      <c r="A38" s="32">
        <f>IFERROR(__xludf.DUMMYFUNCTION("""COMPUTED_VALUE"""),2.0)</f>
        <v>2</v>
      </c>
      <c r="B38" s="32" t="str">
        <f>IFERROR(__xludf.DUMMYFUNCTION("""COMPUTED_VALUE"""),"DK 8100 CL")</f>
        <v>DK 8100 CL</v>
      </c>
      <c r="C38" s="32" t="str">
        <f>IFERROR(__xludf.DUMMYFUNCTION("""COMPUTED_VALUE"""),"TLPG MANGGIS")</f>
        <v>TLPG MANGGIS</v>
      </c>
      <c r="D38" s="32" t="str">
        <f>IFERROR(__xludf.DUMMYFUNCTION("""COMPUTED_VALUE"""),"SPPBE-PT. Sadikun LPG 3Kg")</f>
        <v>SPPBE-PT. Sadikun LPG 3Kg</v>
      </c>
      <c r="F38" s="19"/>
      <c r="G38" s="16"/>
    </row>
    <row r="39">
      <c r="A39" s="32">
        <f>IFERROR(__xludf.DUMMYFUNCTION("""COMPUTED_VALUE"""),2.0)</f>
        <v>2</v>
      </c>
      <c r="B39" s="32" t="str">
        <f>IFERROR(__xludf.DUMMYFUNCTION("""COMPUTED_VALUE"""),"DK 8596 AO")</f>
        <v>DK 8596 AO</v>
      </c>
      <c r="C39" s="32" t="str">
        <f>IFERROR(__xludf.DUMMYFUNCTION("""COMPUTED_VALUE"""),"TLPG LOMBOK")</f>
        <v>TLPG LOMBOK</v>
      </c>
      <c r="D39" s="32" t="str">
        <f>IFERROR(__xludf.DUMMYFUNCTION("""COMPUTED_VALUE"""),"SPPBE-PT. Permata Indah Dewata")</f>
        <v>SPPBE-PT. Permata Indah Dewata</v>
      </c>
      <c r="F39" s="19"/>
      <c r="G39" s="16"/>
    </row>
    <row r="40">
      <c r="A40" s="32">
        <f>IFERROR(__xludf.DUMMYFUNCTION("""COMPUTED_VALUE"""),2.0)</f>
        <v>2</v>
      </c>
      <c r="B40" s="32" t="str">
        <f>IFERROR(__xludf.DUMMYFUNCTION("""COMPUTED_VALUE"""),"DR 8527 KC")</f>
        <v>DR 8527 KC</v>
      </c>
      <c r="C40" s="32" t="str">
        <f>IFERROR(__xludf.DUMMYFUNCTION("""COMPUTED_VALUE"""),"TLPG LOMBOK")</f>
        <v>TLPG LOMBOK</v>
      </c>
      <c r="D40" s="32" t="str">
        <f>IFERROR(__xludf.DUMMYFUNCTION("""COMPUTED_VALUE"""),"SPPBE-PT. Bintang Energi Abadi")</f>
        <v>SPPBE-PT. Bintang Energi Abadi</v>
      </c>
      <c r="F40" s="19"/>
      <c r="G40" s="16"/>
    </row>
    <row r="41">
      <c r="A41" s="32">
        <f>IFERROR(__xludf.DUMMYFUNCTION("""COMPUTED_VALUE"""),2.0)</f>
        <v>2</v>
      </c>
      <c r="B41" s="32" t="str">
        <f>IFERROR(__xludf.DUMMYFUNCTION("""COMPUTED_VALUE"""),"DR 8653 AG")</f>
        <v>DR 8653 AG</v>
      </c>
      <c r="C41" s="32" t="str">
        <f>IFERROR(__xludf.DUMMYFUNCTION("""COMPUTED_VALUE"""),"TLPG LOMBOK")</f>
        <v>TLPG LOMBOK</v>
      </c>
      <c r="D41" s="32" t="str">
        <f>IFERROR(__xludf.DUMMYFUNCTION("""COMPUTED_VALUE"""),"SPPBE-PT. Dinamika Utama Karya")</f>
        <v>SPPBE-PT. Dinamika Utama Karya</v>
      </c>
      <c r="F41" s="19"/>
      <c r="G41" s="16"/>
    </row>
    <row r="42">
      <c r="A42" s="32">
        <f>IFERROR(__xludf.DUMMYFUNCTION("""COMPUTED_VALUE"""),2.0)</f>
        <v>2</v>
      </c>
      <c r="B42" s="32" t="str">
        <f>IFERROR(__xludf.DUMMYFUNCTION("""COMPUTED_VALUE"""),"DR 8772 DC")</f>
        <v>DR 8772 DC</v>
      </c>
      <c r="C42" s="32" t="str">
        <f>IFERROR(__xludf.DUMMYFUNCTION("""COMPUTED_VALUE"""),"TLPG LOMBOK")</f>
        <v>TLPG LOMBOK</v>
      </c>
      <c r="D42" s="32" t="str">
        <f>IFERROR(__xludf.DUMMYFUNCTION("""COMPUTED_VALUE"""),"PT OM AGUS")</f>
        <v>PT OM AGUS</v>
      </c>
      <c r="F42" s="19"/>
      <c r="G42" s="16"/>
    </row>
    <row r="43">
      <c r="A43" s="32">
        <f>IFERROR(__xludf.DUMMYFUNCTION("""COMPUTED_VALUE"""),2.0)</f>
        <v>2</v>
      </c>
      <c r="B43" s="32" t="str">
        <f>IFERROR(__xludf.DUMMYFUNCTION("""COMPUTED_VALUE"""),"L 8035 BL")</f>
        <v>L 8035 BL</v>
      </c>
      <c r="C43" s="32" t="str">
        <f>IFERROR(__xludf.DUMMYFUNCTION("""COMPUTED_VALUE"""),"TLPG TJ PERAK")</f>
        <v>TLPG TJ PERAK</v>
      </c>
      <c r="D43" s="32" t="str">
        <f>IFERROR(__xludf.DUMMYFUNCTION("""COMPUTED_VALUE"""),"PT CAHAYA ANUGERAH GASINDO")</f>
        <v>PT CAHAYA ANUGERAH GASINDO</v>
      </c>
      <c r="F43" s="19"/>
      <c r="G43" s="16"/>
    </row>
    <row r="44">
      <c r="A44" s="32">
        <f>IFERROR(__xludf.DUMMYFUNCTION("""COMPUTED_VALUE"""),2.0)</f>
        <v>2</v>
      </c>
      <c r="B44" s="32" t="str">
        <f>IFERROR(__xludf.DUMMYFUNCTION("""COMPUTED_VALUE"""),"L 8063 UUA")</f>
        <v>L 8063 UUA</v>
      </c>
      <c r="C44" s="32" t="str">
        <f>IFERROR(__xludf.DUMMYFUNCTION("""COMPUTED_VALUE"""),"TLPG TJ PERAK")</f>
        <v>TLPG TJ PERAK</v>
      </c>
      <c r="D44" s="32" t="str">
        <f>IFERROR(__xludf.DUMMYFUNCTION("""COMPUTED_VALUE"""),"PT TRIEN GASMIKU")</f>
        <v>PT TRIEN GASMIKU</v>
      </c>
      <c r="F44" s="19"/>
      <c r="G44" s="16"/>
    </row>
    <row r="45">
      <c r="A45" s="32">
        <f>IFERROR(__xludf.DUMMYFUNCTION("""COMPUTED_VALUE"""),2.0)</f>
        <v>2</v>
      </c>
      <c r="B45" s="32" t="str">
        <f>IFERROR(__xludf.DUMMYFUNCTION("""COMPUTED_VALUE"""),"L 8418 AG")</f>
        <v>L 8418 AG</v>
      </c>
      <c r="C45" s="32" t="str">
        <f>IFERROR(__xludf.DUMMYFUNCTION("""COMPUTED_VALUE"""),"TLPG TJ PERAK")</f>
        <v>TLPG TJ PERAK</v>
      </c>
      <c r="D45" s="32" t="str">
        <f>IFERROR(__xludf.DUMMYFUNCTION("""COMPUTED_VALUE"""),"PT PETROGAS JATIM UTAMA")</f>
        <v>PT PETROGAS JATIM UTAMA</v>
      </c>
      <c r="F45" s="19"/>
      <c r="G45" s="16"/>
    </row>
    <row r="46">
      <c r="A46" s="32">
        <f>IFERROR(__xludf.DUMMYFUNCTION("""COMPUTED_VALUE"""),2.0)</f>
        <v>2</v>
      </c>
      <c r="B46" s="32" t="str">
        <f>IFERROR(__xludf.DUMMYFUNCTION("""COMPUTED_VALUE"""),"L 9489 UL")</f>
        <v>L 9489 UL</v>
      </c>
      <c r="C46" s="32" t="str">
        <f>IFERROR(__xludf.DUMMYFUNCTION("""COMPUTED_VALUE"""),"TLPG TJ PERAK")</f>
        <v>TLPG TJ PERAK</v>
      </c>
      <c r="D46" s="32" t="str">
        <f>IFERROR(__xludf.DUMMYFUNCTION("""COMPUTED_VALUE"""),"PT HELA CITRA AGUNG")</f>
        <v>PT HELA CITRA AGUNG</v>
      </c>
      <c r="F46" s="19"/>
      <c r="G46" s="16"/>
    </row>
    <row r="47">
      <c r="A47" s="32">
        <f>IFERROR(__xludf.DUMMYFUNCTION("""COMPUTED_VALUE"""),2.0)</f>
        <v>2</v>
      </c>
      <c r="B47" s="32" t="str">
        <f>IFERROR(__xludf.DUMMYFUNCTION("""COMPUTED_VALUE"""),"L 9819 UJ")</f>
        <v>L 9819 UJ</v>
      </c>
      <c r="C47" s="32" t="str">
        <f>IFERROR(__xludf.DUMMYFUNCTION("""COMPUTED_VALUE"""),"TLPG MEM GRESIK")</f>
        <v>TLPG MEM GRESIK</v>
      </c>
      <c r="D47" s="32" t="str">
        <f>IFERROR(__xludf.DUMMYFUNCTION("""COMPUTED_VALUE"""),"PT PATRA NIAGA")</f>
        <v>PT PATRA NIAGA</v>
      </c>
      <c r="F47" s="19"/>
      <c r="G47" s="16"/>
    </row>
    <row r="48">
      <c r="A48" s="32">
        <f>IFERROR(__xludf.DUMMYFUNCTION("""COMPUTED_VALUE"""),2.0)</f>
        <v>2</v>
      </c>
      <c r="B48" s="32" t="str">
        <f>IFERROR(__xludf.DUMMYFUNCTION("""COMPUTED_VALUE"""),"L 9820 UJ")</f>
        <v>L 9820 UJ</v>
      </c>
      <c r="C48" s="32" t="str">
        <f>IFERROR(__xludf.DUMMYFUNCTION("""COMPUTED_VALUE"""),"TLPG MEM GRESIK")</f>
        <v>TLPG MEM GRESIK</v>
      </c>
      <c r="D48" s="32" t="str">
        <f>IFERROR(__xludf.DUMMYFUNCTION("""COMPUTED_VALUE"""),"PT PATRA NIAGA")</f>
        <v>PT PATRA NIAGA</v>
      </c>
      <c r="F48" s="19"/>
      <c r="G48" s="16"/>
    </row>
    <row r="49">
      <c r="A49" s="32">
        <f>IFERROR(__xludf.DUMMYFUNCTION("""COMPUTED_VALUE"""),2.0)</f>
        <v>2</v>
      </c>
      <c r="B49" s="32" t="str">
        <f>IFERROR(__xludf.DUMMYFUNCTION("""COMPUTED_VALUE"""),"N 8435 UZ")</f>
        <v>N 8435 UZ</v>
      </c>
      <c r="C49" s="32" t="str">
        <f>IFERROR(__xludf.DUMMYFUNCTION("""COMPUTED_VALUE"""),"TLPG MEM GRESIK")</f>
        <v>TLPG MEM GRESIK</v>
      </c>
      <c r="D49" s="32" t="str">
        <f>IFERROR(__xludf.DUMMYFUNCTION("""COMPUTED_VALUE"""),"PT SENTOSA GASINDO RAYA")</f>
        <v>PT SENTOSA GASINDO RAYA</v>
      </c>
      <c r="F49" s="19"/>
      <c r="G49" s="16"/>
    </row>
    <row r="50">
      <c r="A50" s="32">
        <f>IFERROR(__xludf.DUMMYFUNCTION("""COMPUTED_VALUE"""),2.0)</f>
        <v>2</v>
      </c>
      <c r="B50" s="32" t="str">
        <f>IFERROR(__xludf.DUMMYFUNCTION("""COMPUTED_VALUE"""),"N 8756 UB")</f>
        <v>N 8756 UB</v>
      </c>
      <c r="C50" s="32" t="str">
        <f>IFERROR(__xludf.DUMMYFUNCTION("""COMPUTED_VALUE"""),"TLPG TJ PERAK")</f>
        <v>TLPG TJ PERAK</v>
      </c>
      <c r="D50" s="32" t="str">
        <f>IFERROR(__xludf.DUMMYFUNCTION("""COMPUTED_VALUE"""),"PT ZATALINI CIPTA PERSADA")</f>
        <v>PT ZATALINI CIPTA PERSADA</v>
      </c>
      <c r="F50" s="19"/>
      <c r="G50" s="16"/>
    </row>
    <row r="51">
      <c r="A51" s="32">
        <f>IFERROR(__xludf.DUMMYFUNCTION("""COMPUTED_VALUE"""),2.0)</f>
        <v>2</v>
      </c>
      <c r="B51" s="32" t="str">
        <f>IFERROR(__xludf.DUMMYFUNCTION("""COMPUTED_VALUE"""),"N 9661 UG")</f>
        <v>N 9661 UG</v>
      </c>
      <c r="C51" s="32" t="str">
        <f>IFERROR(__xludf.DUMMYFUNCTION("""COMPUTED_VALUE"""),"TLPG MEM GRESIK")</f>
        <v>TLPG MEM GRESIK</v>
      </c>
      <c r="D51" s="32" t="str">
        <f>IFERROR(__xludf.DUMMYFUNCTION("""COMPUTED_VALUE"""),"PT SINAR WAHANA SURYA")</f>
        <v>PT SINAR WAHANA SURYA</v>
      </c>
      <c r="F51" s="19"/>
      <c r="G51" s="16"/>
    </row>
    <row r="52">
      <c r="A52" s="32">
        <f>IFERROR(__xludf.DUMMYFUNCTION("""COMPUTED_VALUE"""),2.0)</f>
        <v>2</v>
      </c>
      <c r="B52" s="32" t="str">
        <f>IFERROR(__xludf.DUMMYFUNCTION("""COMPUTED_VALUE"""),"P 8427 UG")</f>
        <v>P 8427 UG</v>
      </c>
      <c r="C52" s="32" t="str">
        <f>IFERROR(__xludf.DUMMYFUNCTION("""COMPUTED_VALUE"""),"TLPG TJ WANGI")</f>
        <v>TLPG TJ WANGI</v>
      </c>
      <c r="D52" s="32" t="str">
        <f>IFERROR(__xludf.DUMMYFUNCTION("""COMPUTED_VALUE"""),"PT BUMI GASINDO RAYA")</f>
        <v>PT BUMI GASINDO RAYA</v>
      </c>
      <c r="F52" s="19"/>
      <c r="G52" s="16"/>
    </row>
    <row r="53">
      <c r="A53" s="32">
        <f>IFERROR(__xludf.DUMMYFUNCTION("""COMPUTED_VALUE"""),2.0)</f>
        <v>2</v>
      </c>
      <c r="B53" s="32" t="str">
        <f>IFERROR(__xludf.DUMMYFUNCTION("""COMPUTED_VALUE"""),"S 7850 UN")</f>
        <v>S 7850 UN</v>
      </c>
      <c r="C53" s="32" t="str">
        <f>IFERROR(__xludf.DUMMYFUNCTION("""COMPUTED_VALUE"""),"TLPG TJ PERAK")</f>
        <v>TLPG TJ PERAK</v>
      </c>
      <c r="D53" s="32" t="str">
        <f>IFERROR(__xludf.DUMMYFUNCTION("""COMPUTED_VALUE"""),"PT TRIMEGAH FARGASINDO")</f>
        <v>PT TRIMEGAH FARGASINDO</v>
      </c>
      <c r="F53" s="19"/>
      <c r="G53" s="16"/>
    </row>
    <row r="54">
      <c r="A54" s="32">
        <f>IFERROR(__xludf.DUMMYFUNCTION("""COMPUTED_VALUE"""),2.0)</f>
        <v>2</v>
      </c>
      <c r="B54" s="32" t="str">
        <f>IFERROR(__xludf.DUMMYFUNCTION("""COMPUTED_VALUE"""),"W 8057 UD")</f>
        <v>W 8057 UD</v>
      </c>
      <c r="C54" s="32" t="str">
        <f>IFERROR(__xludf.DUMMYFUNCTION("""COMPUTED_VALUE"""),"TLPG BIMA")</f>
        <v>TLPG BIMA</v>
      </c>
      <c r="D54" s="32" t="str">
        <f>IFERROR(__xludf.DUMMYFUNCTION("""COMPUTED_VALUE"""),"PT. SUMBAWA DUTA ENERGI")</f>
        <v>PT. SUMBAWA DUTA ENERGI</v>
      </c>
      <c r="F54" s="19"/>
      <c r="G54" s="16"/>
    </row>
    <row r="55">
      <c r="A55" s="32">
        <f>IFERROR(__xludf.DUMMYFUNCTION("""COMPUTED_VALUE"""),2.0)</f>
        <v>2</v>
      </c>
      <c r="B55" s="32" t="str">
        <f>IFERROR(__xludf.DUMMYFUNCTION("""COMPUTED_VALUE"""),"W 8637 DV")</f>
        <v>W 8637 DV</v>
      </c>
      <c r="C55" s="32" t="str">
        <f>IFERROR(__xludf.DUMMYFUNCTION("""COMPUTED_VALUE"""),"TLPG TJ PERAK")</f>
        <v>TLPG TJ PERAK</v>
      </c>
      <c r="D55" s="32" t="str">
        <f>IFERROR(__xludf.DUMMYFUNCTION("""COMPUTED_VALUE"""),"PT SUGIHARTO BERJAYA")</f>
        <v>PT SUGIHARTO BERJAYA</v>
      </c>
      <c r="F55" s="19"/>
      <c r="G55" s="16"/>
    </row>
    <row r="56">
      <c r="A56" s="32">
        <f>IFERROR(__xludf.DUMMYFUNCTION("""COMPUTED_VALUE"""),2.0)</f>
        <v>2</v>
      </c>
      <c r="B56" s="32" t="str">
        <f>IFERROR(__xludf.DUMMYFUNCTION("""COMPUTED_VALUE"""),"W 9205 NY")</f>
        <v>W 9205 NY</v>
      </c>
      <c r="C56" s="32" t="str">
        <f>IFERROR(__xludf.DUMMYFUNCTION("""COMPUTED_VALUE"""),"TLPG TJ PERAK")</f>
        <v>TLPG TJ PERAK</v>
      </c>
      <c r="D56" s="32" t="str">
        <f>IFERROR(__xludf.DUMMYFUNCTION("""COMPUTED_VALUE"""),"PT ANUGRAH SURYA MANDALA")</f>
        <v>PT ANUGRAH SURYA MANDALA</v>
      </c>
      <c r="F56" s="19"/>
      <c r="G56" s="16"/>
    </row>
    <row r="57">
      <c r="A57" s="16">
        <f>IFERROR(__xludf.DUMMYFUNCTION("""COMPUTED_VALUE"""),3.0)</f>
        <v>3</v>
      </c>
      <c r="B57" s="16" t="str">
        <f>IFERROR(__xludf.DUMMYFUNCTION("""COMPUTED_VALUE"""),"AD 9838 AB")</f>
        <v>AD 9838 AB</v>
      </c>
      <c r="C57" s="16" t="str">
        <f>IFERROR(__xludf.DUMMYFUNCTION("""COMPUTED_VALUE"""),"TLPG LOMBOK")</f>
        <v>TLPG LOMBOK</v>
      </c>
      <c r="D57" s="16" t="str">
        <f>IFERROR(__xludf.DUMMYFUNCTION("""COMPUTED_VALUE"""),"SPPBE-PT. Lombok Putra Gas")</f>
        <v>SPPBE-PT. Lombok Putra Gas</v>
      </c>
      <c r="E57" s="18" t="s">
        <v>236</v>
      </c>
      <c r="F57" s="19"/>
      <c r="G57" s="16"/>
    </row>
    <row r="58">
      <c r="A58" s="16">
        <f>IFERROR(__xludf.DUMMYFUNCTION("""COMPUTED_VALUE"""),3.0)</f>
        <v>3</v>
      </c>
      <c r="B58" s="16" t="str">
        <f>IFERROR(__xludf.DUMMYFUNCTION("""COMPUTED_VALUE"""),"AE 8850 UT")</f>
        <v>AE 8850 UT</v>
      </c>
      <c r="C58" s="16" t="str">
        <f>IFERROR(__xludf.DUMMYFUNCTION("""COMPUTED_VALUE"""),"TLPG TJ PERAK")</f>
        <v>TLPG TJ PERAK</v>
      </c>
      <c r="D58" s="16" t="str">
        <f>IFERROR(__xludf.DUMMYFUNCTION("""COMPUTED_VALUE"""),"PT GUBAH TIARA PERKASA")</f>
        <v>PT GUBAH TIARA PERKASA</v>
      </c>
      <c r="F58" s="19"/>
      <c r="G58" s="16"/>
    </row>
    <row r="59">
      <c r="A59" s="16">
        <f>IFERROR(__xludf.DUMMYFUNCTION("""COMPUTED_VALUE"""),3.0)</f>
        <v>3</v>
      </c>
      <c r="B59" s="16" t="str">
        <f>IFERROR(__xludf.DUMMYFUNCTION("""COMPUTED_VALUE"""),"AE 9061 UJ")</f>
        <v>AE 9061 UJ</v>
      </c>
      <c r="C59" s="16" t="str">
        <f>IFERROR(__xludf.DUMMYFUNCTION("""COMPUTED_VALUE"""),"TLPG TJ PERAK")</f>
        <v>TLPG TJ PERAK</v>
      </c>
      <c r="D59" s="16" t="str">
        <f>IFERROR(__xludf.DUMMYFUNCTION("""COMPUTED_VALUE"""),"PT NUR WISTARA ABADI")</f>
        <v>PT NUR WISTARA ABADI</v>
      </c>
      <c r="F59" s="19"/>
      <c r="G59" s="16"/>
    </row>
    <row r="60">
      <c r="A60" s="16">
        <f>IFERROR(__xludf.DUMMYFUNCTION("""COMPUTED_VALUE"""),3.0)</f>
        <v>3</v>
      </c>
      <c r="B60" s="16" t="str">
        <f>IFERROR(__xludf.DUMMYFUNCTION("""COMPUTED_VALUE"""),"AG 8056 OA")</f>
        <v>AG 8056 OA</v>
      </c>
      <c r="C60" s="16" t="str">
        <f>IFERROR(__xludf.DUMMYFUNCTION("""COMPUTED_VALUE"""),"TLPG TJ PERAK")</f>
        <v>TLPG TJ PERAK</v>
      </c>
      <c r="D60" s="16" t="str">
        <f>IFERROR(__xludf.DUMMYFUNCTION("""COMPUTED_VALUE"""),"PT ANUGRAH SURYA MANDALA")</f>
        <v>PT ANUGRAH SURYA MANDALA</v>
      </c>
      <c r="F60" s="19"/>
      <c r="G60" s="16"/>
    </row>
    <row r="61">
      <c r="A61" s="16">
        <f>IFERROR(__xludf.DUMMYFUNCTION("""COMPUTED_VALUE"""),3.0)</f>
        <v>3</v>
      </c>
      <c r="B61" s="16" t="str">
        <f>IFERROR(__xludf.DUMMYFUNCTION("""COMPUTED_VALUE"""),"AG 8828 UW")</f>
        <v>AG 8828 UW</v>
      </c>
      <c r="C61" s="16" t="str">
        <f>IFERROR(__xludf.DUMMYFUNCTION("""COMPUTED_VALUE"""),"TLPG TJ PERAK")</f>
        <v>TLPG TJ PERAK</v>
      </c>
      <c r="D61" s="16" t="str">
        <f>IFERROR(__xludf.DUMMYFUNCTION("""COMPUTED_VALUE"""),"PT GUBAH TIARA PERKASA")</f>
        <v>PT GUBAH TIARA PERKASA</v>
      </c>
      <c r="F61" s="19"/>
      <c r="G61" s="16"/>
    </row>
    <row r="62">
      <c r="A62" s="16">
        <f>IFERROR(__xludf.DUMMYFUNCTION("""COMPUTED_VALUE"""),3.0)</f>
        <v>3</v>
      </c>
      <c r="B62" s="16" t="str">
        <f>IFERROR(__xludf.DUMMYFUNCTION("""COMPUTED_VALUE"""),"AG 9153 UR")</f>
        <v>AG 9153 UR</v>
      </c>
      <c r="C62" s="16" t="str">
        <f>IFERROR(__xludf.DUMMYFUNCTION("""COMPUTED_VALUE"""),"TLPG TJ PERAK")</f>
        <v>TLPG TJ PERAK</v>
      </c>
      <c r="D62" s="16" t="str">
        <f>IFERROR(__xludf.DUMMYFUNCTION("""COMPUTED_VALUE"""),"PT GANGSAR SENTOSA PETROLIUM")</f>
        <v>PT GANGSAR SENTOSA PETROLIUM</v>
      </c>
      <c r="F62" s="19"/>
      <c r="G62" s="16"/>
    </row>
    <row r="63">
      <c r="A63" s="16">
        <f>IFERROR(__xludf.DUMMYFUNCTION("""COMPUTED_VALUE"""),3.0)</f>
        <v>3</v>
      </c>
      <c r="B63" s="16" t="str">
        <f>IFERROR(__xludf.DUMMYFUNCTION("""COMPUTED_VALUE"""),"AG 9753 UB")</f>
        <v>AG 9753 UB</v>
      </c>
      <c r="C63" s="16" t="str">
        <f>IFERROR(__xludf.DUMMYFUNCTION("""COMPUTED_VALUE"""),"TLPG TJ PERAK")</f>
        <v>TLPG TJ PERAK</v>
      </c>
      <c r="D63" s="16" t="str">
        <f>IFERROR(__xludf.DUMMYFUNCTION("""COMPUTED_VALUE"""),"PT SURYA ADHILESTARI")</f>
        <v>PT SURYA ADHILESTARI</v>
      </c>
      <c r="F63" s="19"/>
      <c r="G63" s="16"/>
    </row>
    <row r="64">
      <c r="A64" s="16">
        <f>IFERROR(__xludf.DUMMYFUNCTION("""COMPUTED_VALUE"""),3.0)</f>
        <v>3</v>
      </c>
      <c r="B64" s="16" t="str">
        <f>IFERROR(__xludf.DUMMYFUNCTION("""COMPUTED_VALUE"""),"B 9080 SEI")</f>
        <v>B 9080 SEI</v>
      </c>
      <c r="C64" s="16" t="str">
        <f>IFERROR(__xludf.DUMMYFUNCTION("""COMPUTED_VALUE"""),"TLPG TJ WANGI")</f>
        <v>TLPG TJ WANGI</v>
      </c>
      <c r="D64" s="16" t="str">
        <f>IFERROR(__xludf.DUMMYFUNCTION("""COMPUTED_VALUE"""),"PT PATRA NIAGA 1")</f>
        <v>PT PATRA NIAGA 1</v>
      </c>
      <c r="F64" s="19"/>
      <c r="G64" s="16"/>
    </row>
    <row r="65">
      <c r="A65" s="16">
        <f>IFERROR(__xludf.DUMMYFUNCTION("""COMPUTED_VALUE"""),3.0)</f>
        <v>3</v>
      </c>
      <c r="B65" s="16" t="str">
        <f>IFERROR(__xludf.DUMMYFUNCTION("""COMPUTED_VALUE"""),"B 9089 SEI")</f>
        <v>B 9089 SEI</v>
      </c>
      <c r="C65" s="16" t="str">
        <f>IFERROR(__xludf.DUMMYFUNCTION("""COMPUTED_VALUE"""),"TLPG MEM GRESIK")</f>
        <v>TLPG MEM GRESIK</v>
      </c>
      <c r="D65" s="16" t="str">
        <f>IFERROR(__xludf.DUMMYFUNCTION("""COMPUTED_VALUE"""),"PT PATRA NIAGA")</f>
        <v>PT PATRA NIAGA</v>
      </c>
      <c r="F65" s="19"/>
      <c r="G65" s="16"/>
    </row>
    <row r="66">
      <c r="A66" s="16">
        <f>IFERROR(__xludf.DUMMYFUNCTION("""COMPUTED_VALUE"""),3.0)</f>
        <v>3</v>
      </c>
      <c r="B66" s="16" t="str">
        <f>IFERROR(__xludf.DUMMYFUNCTION("""COMPUTED_VALUE"""),"B 9872 SFV")</f>
        <v>B 9872 SFV</v>
      </c>
      <c r="C66" s="16" t="str">
        <f>IFERROR(__xludf.DUMMYFUNCTION("""COMPUTED_VALUE"""),"TLPG MEM GRESIK")</f>
        <v>TLPG MEM GRESIK</v>
      </c>
      <c r="D66" s="16" t="str">
        <f>IFERROR(__xludf.DUMMYFUNCTION("""COMPUTED_VALUE"""),"PT PATRA LOGISTIK")</f>
        <v>PT PATRA LOGISTIK</v>
      </c>
      <c r="F66" s="19"/>
      <c r="G66" s="16"/>
    </row>
    <row r="67">
      <c r="A67" s="16">
        <f>IFERROR(__xludf.DUMMYFUNCTION("""COMPUTED_VALUE"""),3.0)</f>
        <v>3</v>
      </c>
      <c r="B67" s="16" t="str">
        <f>IFERROR(__xludf.DUMMYFUNCTION("""COMPUTED_VALUE"""),"DK 8023 UK")</f>
        <v>DK 8023 UK</v>
      </c>
      <c r="C67" s="16" t="str">
        <f>IFERROR(__xludf.DUMMYFUNCTION("""COMPUTED_VALUE"""),"TLPG MANGGIS")</f>
        <v>TLPG MANGGIS</v>
      </c>
      <c r="D67" s="16" t="str">
        <f>IFERROR(__xludf.DUMMYFUNCTION("""COMPUTED_VALUE"""),"SPPBE-PT. Gaya Investama")</f>
        <v>SPPBE-PT. Gaya Investama</v>
      </c>
      <c r="F67" s="19"/>
      <c r="G67" s="16"/>
    </row>
    <row r="68">
      <c r="A68" s="16">
        <f>IFERROR(__xludf.DUMMYFUNCTION("""COMPUTED_VALUE"""),3.0)</f>
        <v>3</v>
      </c>
      <c r="B68" s="16" t="str">
        <f>IFERROR(__xludf.DUMMYFUNCTION("""COMPUTED_VALUE"""),"DK 8547 CV")</f>
        <v>DK 8547 CV</v>
      </c>
      <c r="C68" s="16" t="str">
        <f>IFERROR(__xludf.DUMMYFUNCTION("""COMPUTED_VALUE"""),"TLPG MANGGIS")</f>
        <v>TLPG MANGGIS</v>
      </c>
      <c r="D68" s="16" t="str">
        <f>IFERROR(__xludf.DUMMYFUNCTION("""COMPUTED_VALUE"""),"SPPBE-PT. Sadikun LPG 3Kg")</f>
        <v>SPPBE-PT. Sadikun LPG 3Kg</v>
      </c>
      <c r="F68" s="19"/>
      <c r="G68" s="16"/>
    </row>
    <row r="69">
      <c r="A69" s="16">
        <f>IFERROR(__xludf.DUMMYFUNCTION("""COMPUTED_VALUE"""),3.0)</f>
        <v>3</v>
      </c>
      <c r="B69" s="16" t="str">
        <f>IFERROR(__xludf.DUMMYFUNCTION("""COMPUTED_VALUE"""),"DK 8611 AO")</f>
        <v>DK 8611 AO</v>
      </c>
      <c r="C69" s="16" t="str">
        <f>IFERROR(__xludf.DUMMYFUNCTION("""COMPUTED_VALUE"""),"TLPG LOMBOK")</f>
        <v>TLPG LOMBOK</v>
      </c>
      <c r="D69" s="16" t="str">
        <f>IFERROR(__xludf.DUMMYFUNCTION("""COMPUTED_VALUE"""),"SPPBE-PT. Permata Indah Dewata")</f>
        <v>SPPBE-PT. Permata Indah Dewata</v>
      </c>
      <c r="F69" s="19"/>
      <c r="G69" s="16"/>
    </row>
    <row r="70">
      <c r="A70" s="16">
        <f>IFERROR(__xludf.DUMMYFUNCTION("""COMPUTED_VALUE"""),3.0)</f>
        <v>3</v>
      </c>
      <c r="B70" s="16" t="str">
        <f>IFERROR(__xludf.DUMMYFUNCTION("""COMPUTED_VALUE"""),"DR 8528 KC")</f>
        <v>DR 8528 KC</v>
      </c>
      <c r="C70" s="16" t="str">
        <f>IFERROR(__xludf.DUMMYFUNCTION("""COMPUTED_VALUE"""),"TLPG LOMBOK")</f>
        <v>TLPG LOMBOK</v>
      </c>
      <c r="D70" s="16" t="str">
        <f>IFERROR(__xludf.DUMMYFUNCTION("""COMPUTED_VALUE"""),"SPPBE-PT. Bintang Energi Abadi")</f>
        <v>SPPBE-PT. Bintang Energi Abadi</v>
      </c>
      <c r="F70" s="19"/>
      <c r="G70" s="16"/>
    </row>
    <row r="71">
      <c r="A71" s="16">
        <f>IFERROR(__xludf.DUMMYFUNCTION("""COMPUTED_VALUE"""),3.0)</f>
        <v>3</v>
      </c>
      <c r="B71" s="16" t="str">
        <f>IFERROR(__xludf.DUMMYFUNCTION("""COMPUTED_VALUE"""),"DR 8751 AF")</f>
        <v>DR 8751 AF</v>
      </c>
      <c r="C71" s="16" t="str">
        <f>IFERROR(__xludf.DUMMYFUNCTION("""COMPUTED_VALUE"""),"TLPG LOMBOK")</f>
        <v>TLPG LOMBOK</v>
      </c>
      <c r="D71" s="16" t="str">
        <f>IFERROR(__xludf.DUMMYFUNCTION("""COMPUTED_VALUE"""),"SPPBE-PT. Dinamika Utama Karya")</f>
        <v>SPPBE-PT. Dinamika Utama Karya</v>
      </c>
      <c r="F71" s="19"/>
      <c r="G71" s="16"/>
    </row>
    <row r="72">
      <c r="A72" s="16">
        <f>IFERROR(__xludf.DUMMYFUNCTION("""COMPUTED_VALUE"""),3.0)</f>
        <v>3</v>
      </c>
      <c r="B72" s="16" t="str">
        <f>IFERROR(__xludf.DUMMYFUNCTION("""COMPUTED_VALUE"""),"EA 8681 SC")</f>
        <v>EA 8681 SC</v>
      </c>
      <c r="C72" s="16" t="str">
        <f>IFERROR(__xludf.DUMMYFUNCTION("""COMPUTED_VALUE"""),"TLPG BIMA")</f>
        <v>TLPG BIMA</v>
      </c>
      <c r="D72" s="16" t="str">
        <f>IFERROR(__xludf.DUMMYFUNCTION("""COMPUTED_VALUE"""),"Data Company Belum Ada")</f>
        <v>Data Company Belum Ada</v>
      </c>
      <c r="F72" s="19"/>
      <c r="G72" s="16"/>
    </row>
    <row r="73">
      <c r="A73" s="16">
        <f>IFERROR(__xludf.DUMMYFUNCTION("""COMPUTED_VALUE"""),3.0)</f>
        <v>3</v>
      </c>
      <c r="B73" s="16" t="str">
        <f>IFERROR(__xludf.DUMMYFUNCTION("""COMPUTED_VALUE"""),"L 9155 UB")</f>
        <v>L 9155 UB</v>
      </c>
      <c r="C73" s="16" t="str">
        <f>IFERROR(__xludf.DUMMYFUNCTION("""COMPUTED_VALUE"""),"TLPG TJ PERAK")</f>
        <v>TLPG TJ PERAK</v>
      </c>
      <c r="D73" s="16" t="str">
        <f>IFERROR(__xludf.DUMMYFUNCTION("""COMPUTED_VALUE"""),"PT AGUNG CATUR UTAMA GROUP")</f>
        <v>PT AGUNG CATUR UTAMA GROUP</v>
      </c>
      <c r="F73" s="19"/>
      <c r="G73" s="16"/>
    </row>
    <row r="74">
      <c r="A74" s="16">
        <f>IFERROR(__xludf.DUMMYFUNCTION("""COMPUTED_VALUE"""),3.0)</f>
        <v>3</v>
      </c>
      <c r="B74" s="16" t="str">
        <f>IFERROR(__xludf.DUMMYFUNCTION("""COMPUTED_VALUE"""),"L 9507 UL")</f>
        <v>L 9507 UL</v>
      </c>
      <c r="C74" s="16" t="str">
        <f>IFERROR(__xludf.DUMMYFUNCTION("""COMPUTED_VALUE"""),"TLPG TJ PERAK")</f>
        <v>TLPG TJ PERAK</v>
      </c>
      <c r="D74" s="16" t="str">
        <f>IFERROR(__xludf.DUMMYFUNCTION("""COMPUTED_VALUE"""),"PT HELA CITRA AGUNG")</f>
        <v>PT HELA CITRA AGUNG</v>
      </c>
      <c r="F74" s="19"/>
      <c r="G74" s="16"/>
    </row>
    <row r="75">
      <c r="A75" s="16">
        <f>IFERROR(__xludf.DUMMYFUNCTION("""COMPUTED_VALUE"""),3.0)</f>
        <v>3</v>
      </c>
      <c r="B75" s="16" t="str">
        <f>IFERROR(__xludf.DUMMYFUNCTION("""COMPUTED_VALUE"""),"M 8068 UH")</f>
        <v>M 8068 UH</v>
      </c>
      <c r="C75" s="16" t="str">
        <f>IFERROR(__xludf.DUMMYFUNCTION("""COMPUTED_VALUE"""),"TLPG TJ PERAK")</f>
        <v>TLPG TJ PERAK</v>
      </c>
      <c r="D75" s="16" t="str">
        <f>IFERROR(__xludf.DUMMYFUNCTION("""COMPUTED_VALUE"""),"PT TRIJAYA ADYMIX BANGKALAN")</f>
        <v>PT TRIJAYA ADYMIX BANGKALAN</v>
      </c>
      <c r="F75" s="19"/>
      <c r="G75" s="16"/>
    </row>
    <row r="76">
      <c r="A76" s="16">
        <f>IFERROR(__xludf.DUMMYFUNCTION("""COMPUTED_VALUE"""),3.0)</f>
        <v>3</v>
      </c>
      <c r="B76" s="16" t="str">
        <f>IFERROR(__xludf.DUMMYFUNCTION("""COMPUTED_VALUE"""),"N 8469 US")</f>
        <v>N 8469 US</v>
      </c>
      <c r="C76" s="16" t="str">
        <f>IFERROR(__xludf.DUMMYFUNCTION("""COMPUTED_VALUE"""),"TLPG TJ PERAK")</f>
        <v>TLPG TJ PERAK</v>
      </c>
      <c r="D76" s="16" t="str">
        <f>IFERROR(__xludf.DUMMYFUNCTION("""COMPUTED_VALUE"""),"PT TRIEN GASMIKU")</f>
        <v>PT TRIEN GASMIKU</v>
      </c>
      <c r="F76" s="19"/>
      <c r="G76" s="16"/>
    </row>
    <row r="77">
      <c r="A77" s="16">
        <f>IFERROR(__xludf.DUMMYFUNCTION("""COMPUTED_VALUE"""),3.0)</f>
        <v>3</v>
      </c>
      <c r="B77" s="16" t="str">
        <f>IFERROR(__xludf.DUMMYFUNCTION("""COMPUTED_VALUE"""),"N 8757 UB")</f>
        <v>N 8757 UB</v>
      </c>
      <c r="C77" s="16" t="str">
        <f>IFERROR(__xludf.DUMMYFUNCTION("""COMPUTED_VALUE"""),"TLPG TJ PERAK")</f>
        <v>TLPG TJ PERAK</v>
      </c>
      <c r="D77" s="16" t="str">
        <f>IFERROR(__xludf.DUMMYFUNCTION("""COMPUTED_VALUE"""),"PT ZATALINI CIPTA PERSADA")</f>
        <v>PT ZATALINI CIPTA PERSADA</v>
      </c>
      <c r="F77" s="19"/>
      <c r="G77" s="16"/>
    </row>
    <row r="78">
      <c r="A78" s="16">
        <f>IFERROR(__xludf.DUMMYFUNCTION("""COMPUTED_VALUE"""),3.0)</f>
        <v>3</v>
      </c>
      <c r="B78" s="16" t="str">
        <f>IFERROR(__xludf.DUMMYFUNCTION("""COMPUTED_VALUE"""),"N 8776 UT")</f>
        <v>N 8776 UT</v>
      </c>
      <c r="C78" s="16" t="str">
        <f>IFERROR(__xludf.DUMMYFUNCTION("""COMPUTED_VALUE"""),"TLPG TJ PERAK")</f>
        <v>TLPG TJ PERAK</v>
      </c>
      <c r="D78" s="16" t="str">
        <f>IFERROR(__xludf.DUMMYFUNCTION("""COMPUTED_VALUE"""),"PT BERINGIN GAS LESTARI")</f>
        <v>PT BERINGIN GAS LESTARI</v>
      </c>
      <c r="F78" s="19"/>
      <c r="G78" s="16"/>
    </row>
    <row r="79">
      <c r="A79" s="16">
        <f>IFERROR(__xludf.DUMMYFUNCTION("""COMPUTED_VALUE"""),3.0)</f>
        <v>3</v>
      </c>
      <c r="B79" s="16" t="str">
        <f>IFERROR(__xludf.DUMMYFUNCTION("""COMPUTED_VALUE"""),"N 8857 UR")</f>
        <v>N 8857 UR</v>
      </c>
      <c r="C79" s="16" t="str">
        <f>IFERROR(__xludf.DUMMYFUNCTION("""COMPUTED_VALUE"""),"TLPG TJ WANGI")</f>
        <v>TLPG TJ WANGI</v>
      </c>
      <c r="D79" s="16" t="str">
        <f>IFERROR(__xludf.DUMMYFUNCTION("""COMPUTED_VALUE"""),"PT BHUMI PERMATA INDAH")</f>
        <v>PT BHUMI PERMATA INDAH</v>
      </c>
      <c r="F79" s="19"/>
      <c r="G79" s="16"/>
    </row>
    <row r="80">
      <c r="A80" s="16">
        <f>IFERROR(__xludf.DUMMYFUNCTION("""COMPUTED_VALUE"""),3.0)</f>
        <v>3</v>
      </c>
      <c r="B80" s="16" t="str">
        <f>IFERROR(__xludf.DUMMYFUNCTION("""COMPUTED_VALUE"""),"P 8256 UW")</f>
        <v>P 8256 UW</v>
      </c>
      <c r="C80" s="16" t="str">
        <f>IFERROR(__xludf.DUMMYFUNCTION("""COMPUTED_VALUE"""),"TLPG TJ WANGI")</f>
        <v>TLPG TJ WANGI</v>
      </c>
      <c r="D80" s="16" t="str">
        <f>IFERROR(__xludf.DUMMYFUNCTION("""COMPUTED_VALUE"""),"Data Company Belum Ada")</f>
        <v>Data Company Belum Ada</v>
      </c>
      <c r="F80" s="19"/>
      <c r="G80" s="16"/>
    </row>
    <row r="81">
      <c r="A81" s="16">
        <f>IFERROR(__xludf.DUMMYFUNCTION("""COMPUTED_VALUE"""),3.0)</f>
        <v>3</v>
      </c>
      <c r="B81" s="16" t="str">
        <f>IFERROR(__xludf.DUMMYFUNCTION("""COMPUTED_VALUE"""),"P 8435 UA")</f>
        <v>P 8435 UA</v>
      </c>
      <c r="C81" s="16" t="str">
        <f>IFERROR(__xludf.DUMMYFUNCTION("""COMPUTED_VALUE"""),"TLPG MEM GRESIK")</f>
        <v>TLPG MEM GRESIK</v>
      </c>
      <c r="D81" s="16" t="str">
        <f>IFERROR(__xludf.DUMMYFUNCTION("""COMPUTED_VALUE"""),"PT ARIA ENERGY PERSADA")</f>
        <v>PT ARIA ENERGY PERSADA</v>
      </c>
      <c r="F81" s="19"/>
      <c r="G81" s="16"/>
    </row>
    <row r="82">
      <c r="A82" s="16">
        <f>IFERROR(__xludf.DUMMYFUNCTION("""COMPUTED_VALUE"""),3.0)</f>
        <v>3</v>
      </c>
      <c r="B82" s="16" t="str">
        <f>IFERROR(__xludf.DUMMYFUNCTION("""COMPUTED_VALUE"""),"S 8560 UC")</f>
        <v>S 8560 UC</v>
      </c>
      <c r="C82" s="16" t="str">
        <f>IFERROR(__xludf.DUMMYFUNCTION("""COMPUTED_VALUE"""),"TLPG TJ PERAK")</f>
        <v>TLPG TJ PERAK</v>
      </c>
      <c r="D82" s="16" t="str">
        <f>IFERROR(__xludf.DUMMYFUNCTION("""COMPUTED_VALUE"""),"PT KURNIAWAN MEKAR AGUNG ABADI")</f>
        <v>PT KURNIAWAN MEKAR AGUNG ABADI</v>
      </c>
      <c r="F82" s="19"/>
      <c r="G82" s="16"/>
    </row>
    <row r="83">
      <c r="A83" s="16">
        <f>IFERROR(__xludf.DUMMYFUNCTION("""COMPUTED_VALUE"""),3.0)</f>
        <v>3</v>
      </c>
      <c r="B83" s="16" t="str">
        <f>IFERROR(__xludf.DUMMYFUNCTION("""COMPUTED_VALUE"""),"S 8943 UU")</f>
        <v>S 8943 UU</v>
      </c>
      <c r="C83" s="16" t="str">
        <f>IFERROR(__xludf.DUMMYFUNCTION("""COMPUTED_VALUE"""),"TLPG TJ PERAK")</f>
        <v>TLPG TJ PERAK</v>
      </c>
      <c r="D83" s="16" t="str">
        <f>IFERROR(__xludf.DUMMYFUNCTION("""COMPUTED_VALUE"""),"PT TRIMEGAH FARGASINDO")</f>
        <v>PT TRIMEGAH FARGASINDO</v>
      </c>
      <c r="F83" s="19"/>
      <c r="G83" s="16"/>
    </row>
    <row r="84">
      <c r="A84" s="32">
        <f>IFERROR(__xludf.DUMMYFUNCTION("""COMPUTED_VALUE"""),4.0)</f>
        <v>4</v>
      </c>
      <c r="B84" s="32" t="str">
        <f>IFERROR(__xludf.DUMMYFUNCTION("""COMPUTED_VALUE"""),"AD 9877 AB")</f>
        <v>AD 9877 AB</v>
      </c>
      <c r="C84" s="32" t="str">
        <f>IFERROR(__xludf.DUMMYFUNCTION("""COMPUTED_VALUE"""),"TLPG LOMBOK")</f>
        <v>TLPG LOMBOK</v>
      </c>
      <c r="D84" s="32" t="str">
        <f>IFERROR(__xludf.DUMMYFUNCTION("""COMPUTED_VALUE"""),"SPPBE-PT. Lombok Putra Gas")</f>
        <v>SPPBE-PT. Lombok Putra Gas</v>
      </c>
      <c r="E84" s="33" t="s">
        <v>363</v>
      </c>
      <c r="F84" s="19"/>
      <c r="G84" s="16"/>
    </row>
    <row r="85">
      <c r="A85" s="32">
        <f>IFERROR(__xludf.DUMMYFUNCTION("""COMPUTED_VALUE"""),4.0)</f>
        <v>4</v>
      </c>
      <c r="B85" s="32" t="str">
        <f>IFERROR(__xludf.DUMMYFUNCTION("""COMPUTED_VALUE"""),"AE 8018 UG")</f>
        <v>AE 8018 UG</v>
      </c>
      <c r="C85" s="32" t="str">
        <f>IFERROR(__xludf.DUMMYFUNCTION("""COMPUTED_VALUE"""),"TLPG TJ PERAK")</f>
        <v>TLPG TJ PERAK</v>
      </c>
      <c r="D85" s="32" t="str">
        <f>IFERROR(__xludf.DUMMYFUNCTION("""COMPUTED_VALUE"""),"PT MADIUNI ELPIJI")</f>
        <v>PT MADIUNI ELPIJI</v>
      </c>
      <c r="F85" s="19"/>
      <c r="G85" s="16"/>
    </row>
    <row r="86">
      <c r="A86" s="32">
        <f>IFERROR(__xludf.DUMMYFUNCTION("""COMPUTED_VALUE"""),4.0)</f>
        <v>4</v>
      </c>
      <c r="B86" s="32" t="str">
        <f>IFERROR(__xludf.DUMMYFUNCTION("""COMPUTED_VALUE"""),"AE 8835 UQ")</f>
        <v>AE 8835 UQ</v>
      </c>
      <c r="C86" s="32" t="str">
        <f>IFERROR(__xludf.DUMMYFUNCTION("""COMPUTED_VALUE"""),"TLPG TJ PERAK")</f>
        <v>TLPG TJ PERAK</v>
      </c>
      <c r="D86" s="32" t="str">
        <f>IFERROR(__xludf.DUMMYFUNCTION("""COMPUTED_VALUE"""),"PT SEKAWAN GAS NUSA")</f>
        <v>PT SEKAWAN GAS NUSA</v>
      </c>
      <c r="F86" s="19"/>
      <c r="G86" s="16"/>
    </row>
    <row r="87">
      <c r="A87" s="32">
        <f>IFERROR(__xludf.DUMMYFUNCTION("""COMPUTED_VALUE"""),4.0)</f>
        <v>4</v>
      </c>
      <c r="B87" s="32" t="str">
        <f>IFERROR(__xludf.DUMMYFUNCTION("""COMPUTED_VALUE"""),"AG 8126 UF")</f>
        <v>AG 8126 UF</v>
      </c>
      <c r="C87" s="32" t="str">
        <f>IFERROR(__xludf.DUMMYFUNCTION("""COMPUTED_VALUE"""),"TLPG TJ PERAK")</f>
        <v>TLPG TJ PERAK</v>
      </c>
      <c r="D87" s="32" t="str">
        <f>IFERROR(__xludf.DUMMYFUNCTION("""COMPUTED_VALUE"""),"PT NARA RIZKA MANUNGGAL")</f>
        <v>PT NARA RIZKA MANUNGGAL</v>
      </c>
      <c r="F87" s="19"/>
      <c r="G87" s="16"/>
    </row>
    <row r="88">
      <c r="A88" s="32">
        <f>IFERROR(__xludf.DUMMYFUNCTION("""COMPUTED_VALUE"""),4.0)</f>
        <v>4</v>
      </c>
      <c r="B88" s="32" t="str">
        <f>IFERROR(__xludf.DUMMYFUNCTION("""COMPUTED_VALUE"""),"AG 8380 KL")</f>
        <v>AG 8380 KL</v>
      </c>
      <c r="C88" s="32" t="str">
        <f>IFERROR(__xludf.DUMMYFUNCTION("""COMPUTED_VALUE"""),"TLPG TJ PERAK")</f>
        <v>TLPG TJ PERAK</v>
      </c>
      <c r="D88" s="32" t="str">
        <f>IFERROR(__xludf.DUMMYFUNCTION("""COMPUTED_VALUE"""),"PT AGUNG CATUR UTAMA GROUP")</f>
        <v>PT AGUNG CATUR UTAMA GROUP</v>
      </c>
      <c r="F88" s="19"/>
      <c r="G88" s="16"/>
    </row>
    <row r="89">
      <c r="A89" s="32">
        <f>IFERROR(__xludf.DUMMYFUNCTION("""COMPUTED_VALUE"""),4.0)</f>
        <v>4</v>
      </c>
      <c r="B89" s="32" t="str">
        <f>IFERROR(__xludf.DUMMYFUNCTION("""COMPUTED_VALUE"""),"B 9098 SEI")</f>
        <v>B 9098 SEI</v>
      </c>
      <c r="C89" s="32" t="str">
        <f>IFERROR(__xludf.DUMMYFUNCTION("""COMPUTED_VALUE"""),"TLPG MEM GRESIK")</f>
        <v>TLPG MEM GRESIK</v>
      </c>
      <c r="D89" s="32" t="str">
        <f>IFERROR(__xludf.DUMMYFUNCTION("""COMPUTED_VALUE"""),"PT PATRA NIAGA")</f>
        <v>PT PATRA NIAGA</v>
      </c>
      <c r="F89" s="19"/>
      <c r="G89" s="16"/>
    </row>
    <row r="90">
      <c r="A90" s="32">
        <f>IFERROR(__xludf.DUMMYFUNCTION("""COMPUTED_VALUE"""),4.0)</f>
        <v>4</v>
      </c>
      <c r="B90" s="32" t="str">
        <f>IFERROR(__xludf.DUMMYFUNCTION("""COMPUTED_VALUE"""),"B 9099 SEI")</f>
        <v>B 9099 SEI</v>
      </c>
      <c r="C90" s="32" t="str">
        <f>IFERROR(__xludf.DUMMYFUNCTION("""COMPUTED_VALUE"""),"TLPG MEM GRESIK")</f>
        <v>TLPG MEM GRESIK</v>
      </c>
      <c r="D90" s="32" t="str">
        <f>IFERROR(__xludf.DUMMYFUNCTION("""COMPUTED_VALUE"""),"PT PATRA NIAGA")</f>
        <v>PT PATRA NIAGA</v>
      </c>
      <c r="F90" s="19"/>
      <c r="G90" s="16"/>
    </row>
    <row r="91">
      <c r="A91" s="32">
        <f>IFERROR(__xludf.DUMMYFUNCTION("""COMPUTED_VALUE"""),4.0)</f>
        <v>4</v>
      </c>
      <c r="B91" s="32" t="str">
        <f>IFERROR(__xludf.DUMMYFUNCTION("""COMPUTED_VALUE"""),"B 9873 SFV")</f>
        <v>B 9873 SFV</v>
      </c>
      <c r="C91" s="32" t="str">
        <f>IFERROR(__xludf.DUMMYFUNCTION("""COMPUTED_VALUE"""),"TLPG MEM GRESIK")</f>
        <v>TLPG MEM GRESIK</v>
      </c>
      <c r="D91" s="32" t="str">
        <f>IFERROR(__xludf.DUMMYFUNCTION("""COMPUTED_VALUE"""),"PT PATRA LOGISTIK")</f>
        <v>PT PATRA LOGISTIK</v>
      </c>
      <c r="F91" s="19"/>
      <c r="G91" s="16"/>
    </row>
    <row r="92">
      <c r="A92" s="32">
        <f>IFERROR(__xludf.DUMMYFUNCTION("""COMPUTED_VALUE"""),4.0)</f>
        <v>4</v>
      </c>
      <c r="B92" s="32" t="str">
        <f>IFERROR(__xludf.DUMMYFUNCTION("""COMPUTED_VALUE"""),"B 9914 PEI")</f>
        <v>B 9914 PEI</v>
      </c>
      <c r="C92" s="32" t="str">
        <f>IFERROR(__xludf.DUMMYFUNCTION("""COMPUTED_VALUE"""),"TLPG MANGGIS")</f>
        <v>TLPG MANGGIS</v>
      </c>
      <c r="D92" s="32" t="str">
        <f>IFERROR(__xludf.DUMMYFUNCTION("""COMPUTED_VALUE"""),"SPPBE-PT. Pancadarma Puspawira Putra")</f>
        <v>SPPBE-PT. Pancadarma Puspawira Putra</v>
      </c>
      <c r="F92" s="19"/>
      <c r="G92" s="16"/>
    </row>
    <row r="93">
      <c r="A93" s="32">
        <f>IFERROR(__xludf.DUMMYFUNCTION("""COMPUTED_VALUE"""),4.0)</f>
        <v>4</v>
      </c>
      <c r="B93" s="32" t="str">
        <f>IFERROR(__xludf.DUMMYFUNCTION("""COMPUTED_VALUE"""),"DK 8035 UI")</f>
        <v>DK 8035 UI</v>
      </c>
      <c r="C93" s="32" t="str">
        <f>IFERROR(__xludf.DUMMYFUNCTION("""COMPUTED_VALUE"""),"TLPG MANGGIS")</f>
        <v>TLPG MANGGIS</v>
      </c>
      <c r="D93" s="32" t="str">
        <f>IFERROR(__xludf.DUMMYFUNCTION("""COMPUTED_VALUE"""),"SPPBE-PT. Gaya Investama")</f>
        <v>SPPBE-PT. Gaya Investama</v>
      </c>
      <c r="F93" s="19"/>
      <c r="G93" s="16"/>
    </row>
    <row r="94">
      <c r="A94" s="32">
        <f>IFERROR(__xludf.DUMMYFUNCTION("""COMPUTED_VALUE"""),4.0)</f>
        <v>4</v>
      </c>
      <c r="B94" s="32" t="str">
        <f>IFERROR(__xludf.DUMMYFUNCTION("""COMPUTED_VALUE"""),"DK 8197 BK")</f>
        <v>DK 8197 BK</v>
      </c>
      <c r="C94" s="32" t="str">
        <f>IFERROR(__xludf.DUMMYFUNCTION("""COMPUTED_VALUE"""),"TLPG MANGGIS")</f>
        <v>TLPG MANGGIS</v>
      </c>
      <c r="D94" s="32" t="str">
        <f>IFERROR(__xludf.DUMMYFUNCTION("""COMPUTED_VALUE"""),"SPPBE-PT. Sari Dharma Mandiri")</f>
        <v>SPPBE-PT. Sari Dharma Mandiri</v>
      </c>
      <c r="F94" s="19"/>
      <c r="G94" s="16"/>
    </row>
    <row r="95">
      <c r="A95" s="32">
        <f>IFERROR(__xludf.DUMMYFUNCTION("""COMPUTED_VALUE"""),4.0)</f>
        <v>4</v>
      </c>
      <c r="B95" s="32" t="str">
        <f>IFERROR(__xludf.DUMMYFUNCTION("""COMPUTED_VALUE"""),"DK 8781 HB")</f>
        <v>DK 8781 HB</v>
      </c>
      <c r="C95" s="32" t="str">
        <f>IFERROR(__xludf.DUMMYFUNCTION("""COMPUTED_VALUE"""),"TLPG MANGGIS")</f>
        <v>TLPG MANGGIS</v>
      </c>
      <c r="D95" s="32" t="str">
        <f>IFERROR(__xludf.DUMMYFUNCTION("""COMPUTED_VALUE"""),"Data Company Belum Ada")</f>
        <v>Data Company Belum Ada</v>
      </c>
      <c r="F95" s="19"/>
      <c r="G95" s="16"/>
    </row>
    <row r="96">
      <c r="A96" s="32">
        <f>IFERROR(__xludf.DUMMYFUNCTION("""COMPUTED_VALUE"""),4.0)</f>
        <v>4</v>
      </c>
      <c r="B96" s="32" t="str">
        <f>IFERROR(__xludf.DUMMYFUNCTION("""COMPUTED_VALUE"""),"DR 8116 WZ")</f>
        <v>DR 8116 WZ</v>
      </c>
      <c r="C96" s="32" t="str">
        <f>IFERROR(__xludf.DUMMYFUNCTION("""COMPUTED_VALUE"""),"TLPG BIMA")</f>
        <v>TLPG BIMA</v>
      </c>
      <c r="D96" s="32" t="str">
        <f>IFERROR(__xludf.DUMMYFUNCTION("""COMPUTED_VALUE"""),"Data Company Belum Ada")</f>
        <v>Data Company Belum Ada</v>
      </c>
      <c r="F96" s="19"/>
      <c r="G96" s="16"/>
    </row>
    <row r="97">
      <c r="A97" s="32">
        <f>IFERROR(__xludf.DUMMYFUNCTION("""COMPUTED_VALUE"""),4.0)</f>
        <v>4</v>
      </c>
      <c r="B97" s="32" t="str">
        <f>IFERROR(__xludf.DUMMYFUNCTION("""COMPUTED_VALUE"""),"L 8107 UUA")</f>
        <v>L 8107 UUA</v>
      </c>
      <c r="C97" s="32" t="str">
        <f>IFERROR(__xludf.DUMMYFUNCTION("""COMPUTED_VALUE"""),"TLPG TJ PERAK")</f>
        <v>TLPG TJ PERAK</v>
      </c>
      <c r="D97" s="32" t="str">
        <f>IFERROR(__xludf.DUMMYFUNCTION("""COMPUTED_VALUE"""),"PT GELORA MERATUS MANDIRI")</f>
        <v>PT GELORA MERATUS MANDIRI</v>
      </c>
      <c r="F97" s="19"/>
      <c r="G97" s="16"/>
    </row>
    <row r="98">
      <c r="A98" s="32">
        <f>IFERROR(__xludf.DUMMYFUNCTION("""COMPUTED_VALUE"""),4.0)</f>
        <v>4</v>
      </c>
      <c r="B98" s="32" t="str">
        <f>IFERROR(__xludf.DUMMYFUNCTION("""COMPUTED_VALUE"""),"L 8121 UUA")</f>
        <v>L 8121 UUA</v>
      </c>
      <c r="C98" s="32" t="str">
        <f>IFERROR(__xludf.DUMMYFUNCTION("""COMPUTED_VALUE"""),"TLPG MEM GRESIK")</f>
        <v>TLPG MEM GRESIK</v>
      </c>
      <c r="D98" s="32" t="str">
        <f>IFERROR(__xludf.DUMMYFUNCTION("""COMPUTED_VALUE"""),"PT UNIVERSAL ENERGY PRATAMA")</f>
        <v>PT UNIVERSAL ENERGY PRATAMA</v>
      </c>
      <c r="F98" s="19"/>
      <c r="G98" s="16"/>
    </row>
    <row r="99">
      <c r="A99" s="32">
        <f>IFERROR(__xludf.DUMMYFUNCTION("""COMPUTED_VALUE"""),4.0)</f>
        <v>4</v>
      </c>
      <c r="B99" s="32" t="str">
        <f>IFERROR(__xludf.DUMMYFUNCTION("""COMPUTED_VALUE"""),"L 8440 UD")</f>
        <v>L 8440 UD</v>
      </c>
      <c r="C99" s="32" t="str">
        <f>IFERROR(__xludf.DUMMYFUNCTION("""COMPUTED_VALUE"""),"TLPG MEM GRESIK")</f>
        <v>TLPG MEM GRESIK</v>
      </c>
      <c r="D99" s="32" t="str">
        <f>IFERROR(__xludf.DUMMYFUNCTION("""COMPUTED_VALUE"""),"PT BINA MAKMUR SENTOSA LESTARI")</f>
        <v>PT BINA MAKMUR SENTOSA LESTARI</v>
      </c>
      <c r="F99" s="19"/>
      <c r="G99" s="16"/>
    </row>
    <row r="100">
      <c r="A100" s="32">
        <f>IFERROR(__xludf.DUMMYFUNCTION("""COMPUTED_VALUE"""),4.0)</f>
        <v>4</v>
      </c>
      <c r="B100" s="32" t="str">
        <f>IFERROR(__xludf.DUMMYFUNCTION("""COMPUTED_VALUE"""),"L 9521 UL")</f>
        <v>L 9521 UL</v>
      </c>
      <c r="C100" s="32" t="str">
        <f>IFERROR(__xludf.DUMMYFUNCTION("""COMPUTED_VALUE"""),"TLPG TJ PERAK")</f>
        <v>TLPG TJ PERAK</v>
      </c>
      <c r="D100" s="32" t="str">
        <f>IFERROR(__xludf.DUMMYFUNCTION("""COMPUTED_VALUE"""),"PT HELA CITRA AGUNG")</f>
        <v>PT HELA CITRA AGUNG</v>
      </c>
      <c r="F100" s="19"/>
      <c r="G100" s="16"/>
    </row>
    <row r="101">
      <c r="A101" s="32">
        <f>IFERROR(__xludf.DUMMYFUNCTION("""COMPUTED_VALUE"""),4.0)</f>
        <v>4</v>
      </c>
      <c r="B101" s="32" t="str">
        <f>IFERROR(__xludf.DUMMYFUNCTION("""COMPUTED_VALUE"""),"M 8010 UB")</f>
        <v>M 8010 UB</v>
      </c>
      <c r="C101" s="32" t="str">
        <f>IFERROR(__xludf.DUMMYFUNCTION("""COMPUTED_VALUE"""),"TLPG TJ PERAK")</f>
        <v>TLPG TJ PERAK</v>
      </c>
      <c r="D101" s="32" t="str">
        <f>IFERROR(__xludf.DUMMYFUNCTION("""COMPUTED_VALUE"""),"PT GAS MADURA PRATAMA")</f>
        <v>PT GAS MADURA PRATAMA</v>
      </c>
      <c r="F101" s="19"/>
      <c r="G101" s="16"/>
    </row>
    <row r="102">
      <c r="A102" s="32">
        <f>IFERROR(__xludf.DUMMYFUNCTION("""COMPUTED_VALUE"""),4.0)</f>
        <v>4</v>
      </c>
      <c r="B102" s="32" t="str">
        <f>IFERROR(__xludf.DUMMYFUNCTION("""COMPUTED_VALUE"""),"N 8083 UQ")</f>
        <v>N 8083 UQ</v>
      </c>
      <c r="C102" s="32" t="str">
        <f>IFERROR(__xludf.DUMMYFUNCTION("""COMPUTED_VALUE"""),"TLPG TJ PERAK")</f>
        <v>TLPG TJ PERAK</v>
      </c>
      <c r="D102" s="32" t="str">
        <f>IFERROR(__xludf.DUMMYFUNCTION("""COMPUTED_VALUE"""),"PT BHUMI PERMATA INDAH")</f>
        <v>PT BHUMI PERMATA INDAH</v>
      </c>
      <c r="F102" s="19"/>
      <c r="G102" s="16"/>
    </row>
    <row r="103">
      <c r="A103" s="32">
        <f>IFERROR(__xludf.DUMMYFUNCTION("""COMPUTED_VALUE"""),4.0)</f>
        <v>4</v>
      </c>
      <c r="B103" s="32" t="str">
        <f>IFERROR(__xludf.DUMMYFUNCTION("""COMPUTED_VALUE"""),"N 9344 EE")</f>
        <v>N 9344 EE</v>
      </c>
      <c r="C103" s="32" t="str">
        <f>IFERROR(__xludf.DUMMYFUNCTION("""COMPUTED_VALUE"""),"TLPG TJ PERAK")</f>
        <v>TLPG TJ PERAK</v>
      </c>
      <c r="D103" s="32" t="str">
        <f>IFERROR(__xludf.DUMMYFUNCTION("""COMPUTED_VALUE"""),"PT TATA BERSAMA")</f>
        <v>PT TATA BERSAMA</v>
      </c>
      <c r="F103" s="19"/>
      <c r="G103" s="16"/>
    </row>
    <row r="104">
      <c r="A104" s="32">
        <f>IFERROR(__xludf.DUMMYFUNCTION("""COMPUTED_VALUE"""),4.0)</f>
        <v>4</v>
      </c>
      <c r="B104" s="32" t="str">
        <f>IFERROR(__xludf.DUMMYFUNCTION("""COMPUTED_VALUE"""),"N 9422 UU")</f>
        <v>N 9422 UU</v>
      </c>
      <c r="C104" s="32" t="str">
        <f>IFERROR(__xludf.DUMMYFUNCTION("""COMPUTED_VALUE"""),"TLPG TJ PERAK")</f>
        <v>TLPG TJ PERAK</v>
      </c>
      <c r="D104" s="32" t="str">
        <f>IFERROR(__xludf.DUMMYFUNCTION("""COMPUTED_VALUE"""),"PT BERINGIN GAS LESTARI")</f>
        <v>PT BERINGIN GAS LESTARI</v>
      </c>
      <c r="F104" s="19"/>
      <c r="G104" s="16"/>
    </row>
    <row r="105">
      <c r="A105" s="32">
        <f>IFERROR(__xludf.DUMMYFUNCTION("""COMPUTED_VALUE"""),4.0)</f>
        <v>4</v>
      </c>
      <c r="B105" s="32" t="str">
        <f>IFERROR(__xludf.DUMMYFUNCTION("""COMPUTED_VALUE"""),"N 9579 US")</f>
        <v>N 9579 US</v>
      </c>
      <c r="C105" s="32" t="str">
        <f>IFERROR(__xludf.DUMMYFUNCTION("""COMPUTED_VALUE"""),"TLPG TJ PERAK")</f>
        <v>TLPG TJ PERAK</v>
      </c>
      <c r="D105" s="32" t="str">
        <f>IFERROR(__xludf.DUMMYFUNCTION("""COMPUTED_VALUE"""),"PT BINA ANUGERAH INTI KIMIA")</f>
        <v>PT BINA ANUGERAH INTI KIMIA</v>
      </c>
      <c r="F105" s="19"/>
      <c r="G105" s="16"/>
    </row>
    <row r="106">
      <c r="A106" s="32">
        <f>IFERROR(__xludf.DUMMYFUNCTION("""COMPUTED_VALUE"""),4.0)</f>
        <v>4</v>
      </c>
      <c r="B106" s="32" t="str">
        <f>IFERROR(__xludf.DUMMYFUNCTION("""COMPUTED_VALUE"""),"P 9115 UG")</f>
        <v>P 9115 UG</v>
      </c>
      <c r="C106" s="32" t="str">
        <f>IFERROR(__xludf.DUMMYFUNCTION("""COMPUTED_VALUE"""),"TLPG TJ WANGI")</f>
        <v>TLPG TJ WANGI</v>
      </c>
      <c r="D106" s="32" t="str">
        <f>IFERROR(__xludf.DUMMYFUNCTION("""COMPUTED_VALUE"""),"PT TRI TUNGGAL ARGOPURO MANDIRI")</f>
        <v>PT TRI TUNGGAL ARGOPURO MANDIRI</v>
      </c>
      <c r="F106" s="19"/>
      <c r="G106" s="16"/>
    </row>
    <row r="107">
      <c r="A107" s="32">
        <f>IFERROR(__xludf.DUMMYFUNCTION("""COMPUTED_VALUE"""),4.0)</f>
        <v>4</v>
      </c>
      <c r="B107" s="32" t="str">
        <f>IFERROR(__xludf.DUMMYFUNCTION("""COMPUTED_VALUE"""),"S 8104 UH")</f>
        <v>S 8104 UH</v>
      </c>
      <c r="C107" s="32" t="str">
        <f>IFERROR(__xludf.DUMMYFUNCTION("""COMPUTED_VALUE"""),"TLPG TJ PERAK")</f>
        <v>TLPG TJ PERAK</v>
      </c>
      <c r="D107" s="32" t="str">
        <f>IFERROR(__xludf.DUMMYFUNCTION("""COMPUTED_VALUE"""),"PT SEMBILAN SEMBILAN TUBAN PERDANA")</f>
        <v>PT SEMBILAN SEMBILAN TUBAN PERDANA</v>
      </c>
      <c r="F107" s="19"/>
      <c r="G107" s="16"/>
    </row>
    <row r="108">
      <c r="A108" s="32">
        <f>IFERROR(__xludf.DUMMYFUNCTION("""COMPUTED_VALUE"""),4.0)</f>
        <v>4</v>
      </c>
      <c r="B108" s="32" t="str">
        <f>IFERROR(__xludf.DUMMYFUNCTION("""COMPUTED_VALUE"""),"S 8236 UZ")</f>
        <v>S 8236 UZ</v>
      </c>
      <c r="C108" s="32" t="str">
        <f>IFERROR(__xludf.DUMMYFUNCTION("""COMPUTED_VALUE"""),"TLPG TJ PERAK")</f>
        <v>TLPG TJ PERAK</v>
      </c>
      <c r="D108" s="32" t="str">
        <f>IFERROR(__xludf.DUMMYFUNCTION("""COMPUTED_VALUE"""),"PT GAS BUMI NUSANTARA JAYA")</f>
        <v>PT GAS BUMI NUSANTARA JAYA</v>
      </c>
      <c r="F108" s="19"/>
      <c r="G108" s="16"/>
    </row>
    <row r="109">
      <c r="A109" s="32">
        <f>IFERROR(__xludf.DUMMYFUNCTION("""COMPUTED_VALUE"""),4.0)</f>
        <v>4</v>
      </c>
      <c r="B109" s="32" t="str">
        <f>IFERROR(__xludf.DUMMYFUNCTION("""COMPUTED_VALUE"""),"S 8347 UQ")</f>
        <v>S 8347 UQ</v>
      </c>
      <c r="C109" s="32" t="str">
        <f>IFERROR(__xludf.DUMMYFUNCTION("""COMPUTED_VALUE"""),"TLPG TJ PERAK")</f>
        <v>TLPG TJ PERAK</v>
      </c>
      <c r="D109" s="32" t="str">
        <f>IFERROR(__xludf.DUMMYFUNCTION("""COMPUTED_VALUE"""),"PT ANTARES JAYA SAKTI")</f>
        <v>PT ANTARES JAYA SAKTI</v>
      </c>
      <c r="F109" s="19"/>
      <c r="G109" s="16"/>
    </row>
    <row r="110">
      <c r="A110" s="32">
        <f>IFERROR(__xludf.DUMMYFUNCTION("""COMPUTED_VALUE"""),4.0)</f>
        <v>4</v>
      </c>
      <c r="B110" s="32" t="str">
        <f>IFERROR(__xludf.DUMMYFUNCTION("""COMPUTED_VALUE"""),"S 8672 UC")</f>
        <v>S 8672 UC</v>
      </c>
      <c r="C110" s="32" t="str">
        <f>IFERROR(__xludf.DUMMYFUNCTION("""COMPUTED_VALUE"""),"TLPG TJ PERAK")</f>
        <v>TLPG TJ PERAK</v>
      </c>
      <c r="D110" s="32" t="str">
        <f>IFERROR(__xludf.DUMMYFUNCTION("""COMPUTED_VALUE"""),"PT CAHAYA NEGERI")</f>
        <v>PT CAHAYA NEGERI</v>
      </c>
      <c r="F110" s="19"/>
      <c r="G110" s="16"/>
    </row>
    <row r="111">
      <c r="A111" s="16">
        <f>IFERROR(__xludf.DUMMYFUNCTION("""COMPUTED_VALUE"""),5.0)</f>
        <v>5</v>
      </c>
      <c r="B111" s="16" t="str">
        <f>IFERROR(__xludf.DUMMYFUNCTION("""COMPUTED_VALUE"""),"AE 8175 UC")</f>
        <v>AE 8175 UC</v>
      </c>
      <c r="C111" s="16" t="str">
        <f>IFERROR(__xludf.DUMMYFUNCTION("""COMPUTED_VALUE"""),"TLPG TJ PERAK")</f>
        <v>TLPG TJ PERAK</v>
      </c>
      <c r="D111" s="16" t="str">
        <f>IFERROR(__xludf.DUMMYFUNCTION("""COMPUTED_VALUE"""),"PT MADIUNI ELPIJI")</f>
        <v>PT MADIUNI ELPIJI</v>
      </c>
      <c r="E111" s="18" t="s">
        <v>418</v>
      </c>
      <c r="F111" s="19"/>
      <c r="G111" s="16"/>
    </row>
    <row r="112">
      <c r="A112" s="16">
        <f>IFERROR(__xludf.DUMMYFUNCTION("""COMPUTED_VALUE"""),5.0)</f>
        <v>5</v>
      </c>
      <c r="B112" s="16" t="str">
        <f>IFERROR(__xludf.DUMMYFUNCTION("""COMPUTED_VALUE"""),"AE 8828 UQ")</f>
        <v>AE 8828 UQ</v>
      </c>
      <c r="C112" s="16" t="str">
        <f>IFERROR(__xludf.DUMMYFUNCTION("""COMPUTED_VALUE"""),"TLPG TJ PERAK")</f>
        <v>TLPG TJ PERAK</v>
      </c>
      <c r="D112" s="16" t="str">
        <f>IFERROR(__xludf.DUMMYFUNCTION("""COMPUTED_VALUE"""),"PT SEKAWAN GAS NUSA")</f>
        <v>PT SEKAWAN GAS NUSA</v>
      </c>
      <c r="F112" s="19"/>
      <c r="G112" s="16"/>
    </row>
    <row r="113">
      <c r="A113" s="16">
        <f>IFERROR(__xludf.DUMMYFUNCTION("""COMPUTED_VALUE"""),5.0)</f>
        <v>5</v>
      </c>
      <c r="B113" s="16" t="str">
        <f>IFERROR(__xludf.DUMMYFUNCTION("""COMPUTED_VALUE"""),"AG 8128 UF")</f>
        <v>AG 8128 UF</v>
      </c>
      <c r="C113" s="16" t="str">
        <f>IFERROR(__xludf.DUMMYFUNCTION("""COMPUTED_VALUE"""),"TLPG TJ PERAK")</f>
        <v>TLPG TJ PERAK</v>
      </c>
      <c r="D113" s="16" t="str">
        <f>IFERROR(__xludf.DUMMYFUNCTION("""COMPUTED_VALUE"""),"PT NARA RIZKA MANUNGGAL")</f>
        <v>PT NARA RIZKA MANUNGGAL</v>
      </c>
      <c r="F113" s="19"/>
      <c r="G113" s="16"/>
    </row>
    <row r="114">
      <c r="A114" s="16">
        <f>IFERROR(__xludf.DUMMYFUNCTION("""COMPUTED_VALUE"""),5.0)</f>
        <v>5</v>
      </c>
      <c r="B114" s="16" t="str">
        <f>IFERROR(__xludf.DUMMYFUNCTION("""COMPUTED_VALUE"""),"AG 8152 UL")</f>
        <v>AG 8152 UL</v>
      </c>
      <c r="C114" s="16" t="str">
        <f>IFERROR(__xludf.DUMMYFUNCTION("""COMPUTED_VALUE"""),"TLPG TJ PERAK")</f>
        <v>TLPG TJ PERAK</v>
      </c>
      <c r="D114" s="16" t="str">
        <f>IFERROR(__xludf.DUMMYFUNCTION("""COMPUTED_VALUE"""),"PT RAMA MANGGALA GAS")</f>
        <v>PT RAMA MANGGALA GAS</v>
      </c>
      <c r="F114" s="19"/>
      <c r="G114" s="16"/>
    </row>
    <row r="115">
      <c r="A115" s="16">
        <f>IFERROR(__xludf.DUMMYFUNCTION("""COMPUTED_VALUE"""),5.0)</f>
        <v>5</v>
      </c>
      <c r="B115" s="16" t="str">
        <f>IFERROR(__xludf.DUMMYFUNCTION("""COMPUTED_VALUE"""),"AG 8701 UO")</f>
        <v>AG 8701 UO</v>
      </c>
      <c r="C115" s="16" t="str">
        <f>IFERROR(__xludf.DUMMYFUNCTION("""COMPUTED_VALUE"""),"TLPG TJ PERAK")</f>
        <v>TLPG TJ PERAK</v>
      </c>
      <c r="D115" s="16" t="str">
        <f>IFERROR(__xludf.DUMMYFUNCTION("""COMPUTED_VALUE"""),"PT MODERNA TEHNIK PERKASA")</f>
        <v>PT MODERNA TEHNIK PERKASA</v>
      </c>
      <c r="F115" s="19"/>
      <c r="G115" s="16"/>
    </row>
    <row r="116">
      <c r="A116" s="16">
        <f>IFERROR(__xludf.DUMMYFUNCTION("""COMPUTED_VALUE"""),5.0)</f>
        <v>5</v>
      </c>
      <c r="B116" s="16" t="str">
        <f>IFERROR(__xludf.DUMMYFUNCTION("""COMPUTED_VALUE"""),"AG 9876 RK")</f>
        <v>AG 9876 RK</v>
      </c>
      <c r="C116" s="16" t="str">
        <f>IFERROR(__xludf.DUMMYFUNCTION("""COMPUTED_VALUE"""),"TLPG MEM GRESIK")</f>
        <v>TLPG MEM GRESIK</v>
      </c>
      <c r="D116" s="16" t="str">
        <f>IFERROR(__xludf.DUMMYFUNCTION("""COMPUTED_VALUE"""),"PT BINTANG CIPTA PERSADA")</f>
        <v>PT BINTANG CIPTA PERSADA</v>
      </c>
      <c r="F116" s="19"/>
      <c r="G116" s="16"/>
    </row>
    <row r="117">
      <c r="A117" s="16">
        <f>IFERROR(__xludf.DUMMYFUNCTION("""COMPUTED_VALUE"""),5.0)</f>
        <v>5</v>
      </c>
      <c r="B117" s="16" t="str">
        <f>IFERROR(__xludf.DUMMYFUNCTION("""COMPUTED_VALUE"""),"B 9105 SEI")</f>
        <v>B 9105 SEI</v>
      </c>
      <c r="C117" s="16" t="str">
        <f>IFERROR(__xludf.DUMMYFUNCTION("""COMPUTED_VALUE"""),"TLPG MEM GRESIK")</f>
        <v>TLPG MEM GRESIK</v>
      </c>
      <c r="D117" s="16" t="str">
        <f>IFERROR(__xludf.DUMMYFUNCTION("""COMPUTED_VALUE"""),"PT PATRA NIAGA")</f>
        <v>PT PATRA NIAGA</v>
      </c>
      <c r="F117" s="19"/>
      <c r="G117" s="16"/>
    </row>
    <row r="118">
      <c r="A118" s="16">
        <f>IFERROR(__xludf.DUMMYFUNCTION("""COMPUTED_VALUE"""),5.0)</f>
        <v>5</v>
      </c>
      <c r="B118" s="16" t="str">
        <f>IFERROR(__xludf.DUMMYFUNCTION("""COMPUTED_VALUE"""),"B 9711 SFU")</f>
        <v>B 9711 SFU</v>
      </c>
      <c r="C118" s="16" t="str">
        <f>IFERROR(__xludf.DUMMYFUNCTION("""COMPUTED_VALUE"""),"TLPG TJ WANGI")</f>
        <v>TLPG TJ WANGI</v>
      </c>
      <c r="D118" s="16" t="str">
        <f>IFERROR(__xludf.DUMMYFUNCTION("""COMPUTED_VALUE"""),"PT PATRA NIAGA 1")</f>
        <v>PT PATRA NIAGA 1</v>
      </c>
      <c r="F118" s="19"/>
      <c r="G118" s="16"/>
    </row>
    <row r="119">
      <c r="A119" s="16">
        <f>IFERROR(__xludf.DUMMYFUNCTION("""COMPUTED_VALUE"""),5.0)</f>
        <v>5</v>
      </c>
      <c r="B119" s="16" t="str">
        <f>IFERROR(__xludf.DUMMYFUNCTION("""COMPUTED_VALUE"""),"DK 8141 JM")</f>
        <v>DK 8141 JM</v>
      </c>
      <c r="C119" s="16" t="str">
        <f>IFERROR(__xludf.DUMMYFUNCTION("""COMPUTED_VALUE"""),"TLPG MANGGIS")</f>
        <v>TLPG MANGGIS</v>
      </c>
      <c r="D119" s="16" t="str">
        <f>IFERROR(__xludf.DUMMYFUNCTION("""COMPUTED_VALUE"""),"SPPBE-PT. Pancadarma Puspawira Putra")</f>
        <v>SPPBE-PT. Pancadarma Puspawira Putra</v>
      </c>
      <c r="F119" s="19"/>
      <c r="G119" s="16"/>
    </row>
    <row r="120">
      <c r="A120" s="16">
        <f>IFERROR(__xludf.DUMMYFUNCTION("""COMPUTED_VALUE"""),5.0)</f>
        <v>5</v>
      </c>
      <c r="B120" s="16" t="str">
        <f>IFERROR(__xludf.DUMMYFUNCTION("""COMPUTED_VALUE"""),"DK 8198 BK")</f>
        <v>DK 8198 BK</v>
      </c>
      <c r="C120" s="16" t="str">
        <f>IFERROR(__xludf.DUMMYFUNCTION("""COMPUTED_VALUE"""),"TLPG MANGGIS")</f>
        <v>TLPG MANGGIS</v>
      </c>
      <c r="D120" s="16" t="str">
        <f>IFERROR(__xludf.DUMMYFUNCTION("""COMPUTED_VALUE"""),"SPPBE-PT. Sari Dharma Mandiri")</f>
        <v>SPPBE-PT. Sari Dharma Mandiri</v>
      </c>
      <c r="F120" s="19"/>
      <c r="G120" s="16"/>
    </row>
    <row r="121">
      <c r="A121" s="16">
        <f>IFERROR(__xludf.DUMMYFUNCTION("""COMPUTED_VALUE"""),5.0)</f>
        <v>5</v>
      </c>
      <c r="B121" s="16" t="str">
        <f>IFERROR(__xludf.DUMMYFUNCTION("""COMPUTED_VALUE"""),"DK 8203 KO")</f>
        <v>DK 8203 KO</v>
      </c>
      <c r="C121" s="16" t="str">
        <f>IFERROR(__xludf.DUMMYFUNCTION("""COMPUTED_VALUE"""),"TLPG MANGGIS")</f>
        <v>TLPG MANGGIS</v>
      </c>
      <c r="D121" s="16" t="str">
        <f>IFERROR(__xludf.DUMMYFUNCTION("""COMPUTED_VALUE"""),"SPPBE-PT. Dasico Panca Rena")</f>
        <v>SPPBE-PT. Dasico Panca Rena</v>
      </c>
      <c r="F121" s="19"/>
      <c r="G121" s="16"/>
    </row>
    <row r="122">
      <c r="A122" s="16">
        <f>IFERROR(__xludf.DUMMYFUNCTION("""COMPUTED_VALUE"""),5.0)</f>
        <v>5</v>
      </c>
      <c r="B122" s="16" t="str">
        <f>IFERROR(__xludf.DUMMYFUNCTION("""COMPUTED_VALUE"""),"DK 8368 PA")</f>
        <v>DK 8368 PA</v>
      </c>
      <c r="C122" s="16" t="str">
        <f>IFERROR(__xludf.DUMMYFUNCTION("""COMPUTED_VALUE"""),"TLPG MANGGIS")</f>
        <v>TLPG MANGGIS</v>
      </c>
      <c r="D122" s="16" t="str">
        <f>IFERROR(__xludf.DUMMYFUNCTION("""COMPUTED_VALUE"""),"SPPBE-PT. Segara Windhu Dewata")</f>
        <v>SPPBE-PT. Segara Windhu Dewata</v>
      </c>
      <c r="F122" s="19"/>
      <c r="G122" s="16"/>
    </row>
    <row r="123">
      <c r="A123" s="16">
        <f>IFERROR(__xludf.DUMMYFUNCTION("""COMPUTED_VALUE"""),5.0)</f>
        <v>5</v>
      </c>
      <c r="B123" s="16" t="str">
        <f>IFERROR(__xludf.DUMMYFUNCTION("""COMPUTED_VALUE"""),"DK 8837 HC")</f>
        <v>DK 8837 HC</v>
      </c>
      <c r="C123" s="16" t="str">
        <f>IFERROR(__xludf.DUMMYFUNCTION("""COMPUTED_VALUE"""),"TLPG MANGGIS")</f>
        <v>TLPG MANGGIS</v>
      </c>
      <c r="D123" s="16" t="str">
        <f>IFERROR(__xludf.DUMMYFUNCTION("""COMPUTED_VALUE"""),"SPPBE-PT. Sembilan Semangat")</f>
        <v>SPPBE-PT. Sembilan Semangat</v>
      </c>
      <c r="F123" s="19"/>
      <c r="G123" s="16"/>
    </row>
    <row r="124">
      <c r="A124" s="16">
        <f>IFERROR(__xludf.DUMMYFUNCTION("""COMPUTED_VALUE"""),5.0)</f>
        <v>5</v>
      </c>
      <c r="B124" s="16" t="str">
        <f>IFERROR(__xludf.DUMMYFUNCTION("""COMPUTED_VALUE"""),"DK 8902 UW")</f>
        <v>DK 8902 UW</v>
      </c>
      <c r="C124" s="16" t="str">
        <f>IFERROR(__xludf.DUMMYFUNCTION("""COMPUTED_VALUE"""),"TLPG MANGGIS")</f>
        <v>TLPG MANGGIS</v>
      </c>
      <c r="D124" s="16" t="str">
        <f>IFERROR(__xludf.DUMMYFUNCTION("""COMPUTED_VALUE"""),"PT. Gaya Investama")</f>
        <v>PT. Gaya Investama</v>
      </c>
      <c r="F124" s="19"/>
      <c r="G124" s="16"/>
    </row>
    <row r="125">
      <c r="A125" s="16">
        <f>IFERROR(__xludf.DUMMYFUNCTION("""COMPUTED_VALUE"""),5.0)</f>
        <v>5</v>
      </c>
      <c r="B125" s="16" t="str">
        <f>IFERROR(__xludf.DUMMYFUNCTION("""COMPUTED_VALUE"""),"L 8088 UZ")</f>
        <v>L 8088 UZ</v>
      </c>
      <c r="C125" s="16" t="str">
        <f>IFERROR(__xludf.DUMMYFUNCTION("""COMPUTED_VALUE"""),"TLPG MEM GRESIK")</f>
        <v>TLPG MEM GRESIK</v>
      </c>
      <c r="D125" s="16" t="str">
        <f>IFERROR(__xludf.DUMMYFUNCTION("""COMPUTED_VALUE"""),"PT PATRA NIAGA")</f>
        <v>PT PATRA NIAGA</v>
      </c>
      <c r="F125" s="19"/>
      <c r="G125" s="16"/>
    </row>
    <row r="126">
      <c r="A126" s="16">
        <f>IFERROR(__xludf.DUMMYFUNCTION("""COMPUTED_VALUE"""),5.0)</f>
        <v>5</v>
      </c>
      <c r="B126" s="16" t="str">
        <f>IFERROR(__xludf.DUMMYFUNCTION("""COMPUTED_VALUE"""),"L 8973 UU")</f>
        <v>L 8973 UU</v>
      </c>
      <c r="C126" s="16" t="str">
        <f>IFERROR(__xludf.DUMMYFUNCTION("""COMPUTED_VALUE"""),"TLPG TJ PERAK")</f>
        <v>TLPG TJ PERAK</v>
      </c>
      <c r="D126" s="16" t="str">
        <f>IFERROR(__xludf.DUMMYFUNCTION("""COMPUTED_VALUE"""),"PT GOENADI GASINDO PRATAMA")</f>
        <v>PT GOENADI GASINDO PRATAMA</v>
      </c>
      <c r="F126" s="19"/>
      <c r="G126" s="16"/>
    </row>
    <row r="127">
      <c r="A127" s="16">
        <f>IFERROR(__xludf.DUMMYFUNCTION("""COMPUTED_VALUE"""),5.0)</f>
        <v>5</v>
      </c>
      <c r="B127" s="16" t="str">
        <f>IFERROR(__xludf.DUMMYFUNCTION("""COMPUTED_VALUE"""),"L 9532 UL")</f>
        <v>L 9532 UL</v>
      </c>
      <c r="C127" s="16" t="str">
        <f>IFERROR(__xludf.DUMMYFUNCTION("""COMPUTED_VALUE"""),"TLPG TJ PERAK")</f>
        <v>TLPG TJ PERAK</v>
      </c>
      <c r="D127" s="16" t="str">
        <f>IFERROR(__xludf.DUMMYFUNCTION("""COMPUTED_VALUE"""),"PT HELA CITRA AGUNG")</f>
        <v>PT HELA CITRA AGUNG</v>
      </c>
      <c r="F127" s="19"/>
      <c r="G127" s="16"/>
    </row>
    <row r="128">
      <c r="A128" s="16">
        <f>IFERROR(__xludf.DUMMYFUNCTION("""COMPUTED_VALUE"""),5.0)</f>
        <v>5</v>
      </c>
      <c r="B128" s="16" t="str">
        <f>IFERROR(__xludf.DUMMYFUNCTION("""COMPUTED_VALUE"""),"M 9715 UA")</f>
        <v>M 9715 UA</v>
      </c>
      <c r="C128" s="16" t="str">
        <f>IFERROR(__xludf.DUMMYFUNCTION("""COMPUTED_VALUE"""),"TLPG TJ PERAK")</f>
        <v>TLPG TJ PERAK</v>
      </c>
      <c r="D128" s="16" t="str">
        <f>IFERROR(__xludf.DUMMYFUNCTION("""COMPUTED_VALUE"""),"PT GAS MADURA PRATAMA")</f>
        <v>PT GAS MADURA PRATAMA</v>
      </c>
      <c r="F128" s="19"/>
      <c r="G128" s="16"/>
    </row>
    <row r="129">
      <c r="A129" s="16">
        <f>IFERROR(__xludf.DUMMYFUNCTION("""COMPUTED_VALUE"""),5.0)</f>
        <v>5</v>
      </c>
      <c r="B129" s="16" t="str">
        <f>IFERROR(__xludf.DUMMYFUNCTION("""COMPUTED_VALUE"""),"N 8299 UR")</f>
        <v>N 8299 UR</v>
      </c>
      <c r="C129" s="16" t="str">
        <f>IFERROR(__xludf.DUMMYFUNCTION("""COMPUTED_VALUE"""),"TLPG TJ PERAK")</f>
        <v>TLPG TJ PERAK</v>
      </c>
      <c r="D129" s="16" t="str">
        <f>IFERROR(__xludf.DUMMYFUNCTION("""COMPUTED_VALUE"""),"PT BHUMI PERMATA INDAH")</f>
        <v>PT BHUMI PERMATA INDAH</v>
      </c>
      <c r="F129" s="19"/>
      <c r="G129" s="16"/>
    </row>
    <row r="130">
      <c r="A130" s="16">
        <f>IFERROR(__xludf.DUMMYFUNCTION("""COMPUTED_VALUE"""),5.0)</f>
        <v>5</v>
      </c>
      <c r="B130" s="16" t="str">
        <f>IFERROR(__xludf.DUMMYFUNCTION("""COMPUTED_VALUE"""),"N 8834 US")</f>
        <v>N 8834 US</v>
      </c>
      <c r="C130" s="16" t="str">
        <f>IFERROR(__xludf.DUMMYFUNCTION("""COMPUTED_VALUE"""),"TLPG TJ PERAK")</f>
        <v>TLPG TJ PERAK</v>
      </c>
      <c r="D130" s="16" t="str">
        <f>IFERROR(__xludf.DUMMYFUNCTION("""COMPUTED_VALUE"""),"PT TATA BERSAMA")</f>
        <v>PT TATA BERSAMA</v>
      </c>
      <c r="F130" s="19"/>
      <c r="G130" s="16"/>
    </row>
    <row r="131">
      <c r="A131" s="16">
        <f>IFERROR(__xludf.DUMMYFUNCTION("""COMPUTED_VALUE"""),5.0)</f>
        <v>5</v>
      </c>
      <c r="B131" s="16" t="str">
        <f>IFERROR(__xludf.DUMMYFUNCTION("""COMPUTED_VALUE"""),"P 8016 UW")</f>
        <v>P 8016 UW</v>
      </c>
      <c r="C131" s="16" t="str">
        <f>IFERROR(__xludf.DUMMYFUNCTION("""COMPUTED_VALUE"""),"TLPG TJ WANGI")</f>
        <v>TLPG TJ WANGI</v>
      </c>
      <c r="D131" s="16" t="str">
        <f>IFERROR(__xludf.DUMMYFUNCTION("""COMPUTED_VALUE"""),"Data Company Belum Ada")</f>
        <v>Data Company Belum Ada</v>
      </c>
      <c r="F131" s="19"/>
      <c r="G131" s="16"/>
    </row>
    <row r="132">
      <c r="A132" s="16">
        <f>IFERROR(__xludf.DUMMYFUNCTION("""COMPUTED_VALUE"""),5.0)</f>
        <v>5</v>
      </c>
      <c r="B132" s="16" t="str">
        <f>IFERROR(__xludf.DUMMYFUNCTION("""COMPUTED_VALUE"""),"P 8208 UG")</f>
        <v>P 8208 UG</v>
      </c>
      <c r="C132" s="16" t="str">
        <f>IFERROR(__xludf.DUMMYFUNCTION("""COMPUTED_VALUE"""),"TLPG MEM GRESIK")</f>
        <v>TLPG MEM GRESIK</v>
      </c>
      <c r="D132" s="16" t="str">
        <f>IFERROR(__xludf.DUMMYFUNCTION("""COMPUTED_VALUE"""),"PT TRI TUNGGAL ARGOPURO MANDIRI")</f>
        <v>PT TRI TUNGGAL ARGOPURO MANDIRI</v>
      </c>
      <c r="F132" s="19"/>
      <c r="G132" s="16"/>
    </row>
    <row r="133">
      <c r="A133" s="16">
        <f>IFERROR(__xludf.DUMMYFUNCTION("""COMPUTED_VALUE"""),5.0)</f>
        <v>5</v>
      </c>
      <c r="B133" s="16" t="str">
        <f>IFERROR(__xludf.DUMMYFUNCTION("""COMPUTED_VALUE"""),"P 8970 UG")</f>
        <v>P 8970 UG</v>
      </c>
      <c r="C133" s="16" t="str">
        <f>IFERROR(__xludf.DUMMYFUNCTION("""COMPUTED_VALUE"""),"TLPG TJ WANGI")</f>
        <v>TLPG TJ WANGI</v>
      </c>
      <c r="D133" s="16" t="str">
        <f>IFERROR(__xludf.DUMMYFUNCTION("""COMPUTED_VALUE"""),"PT TRI TUNGGAL ARGOPURO MANDIRI")</f>
        <v>PT TRI TUNGGAL ARGOPURO MANDIRI</v>
      </c>
      <c r="F133" s="19"/>
      <c r="G133" s="16"/>
    </row>
    <row r="134">
      <c r="A134" s="16">
        <f>IFERROR(__xludf.DUMMYFUNCTION("""COMPUTED_VALUE"""),5.0)</f>
        <v>5</v>
      </c>
      <c r="B134" s="16" t="str">
        <f>IFERROR(__xludf.DUMMYFUNCTION("""COMPUTED_VALUE"""),"S 8058 UL")</f>
        <v>S 8058 UL</v>
      </c>
      <c r="C134" s="16" t="str">
        <f>IFERROR(__xludf.DUMMYFUNCTION("""COMPUTED_VALUE"""),"TLPG MEM GRESIK")</f>
        <v>TLPG MEM GRESIK</v>
      </c>
      <c r="D134" s="16" t="str">
        <f>IFERROR(__xludf.DUMMYFUNCTION("""COMPUTED_VALUE"""),"PT LAMONGAN GAS LESTARI")</f>
        <v>PT LAMONGAN GAS LESTARI</v>
      </c>
      <c r="F134" s="19"/>
      <c r="G134" s="16"/>
    </row>
    <row r="135">
      <c r="A135" s="16">
        <f>IFERROR(__xludf.DUMMYFUNCTION("""COMPUTED_VALUE"""),5.0)</f>
        <v>5</v>
      </c>
      <c r="B135" s="16" t="str">
        <f>IFERROR(__xludf.DUMMYFUNCTION("""COMPUTED_VALUE"""),"S 8237 UZ")</f>
        <v>S 8237 UZ</v>
      </c>
      <c r="C135" s="16" t="str">
        <f>IFERROR(__xludf.DUMMYFUNCTION("""COMPUTED_VALUE"""),"TLPG TJ PERAK")</f>
        <v>TLPG TJ PERAK</v>
      </c>
      <c r="D135" s="16" t="str">
        <f>IFERROR(__xludf.DUMMYFUNCTION("""COMPUTED_VALUE"""),"PT GAS BUMI NUSANTARA JAYA")</f>
        <v>PT GAS BUMI NUSANTARA JAYA</v>
      </c>
      <c r="F135" s="19"/>
      <c r="G135" s="16"/>
    </row>
    <row r="136">
      <c r="A136" s="16">
        <f>IFERROR(__xludf.DUMMYFUNCTION("""COMPUTED_VALUE"""),5.0)</f>
        <v>5</v>
      </c>
      <c r="B136" s="16" t="str">
        <f>IFERROR(__xludf.DUMMYFUNCTION("""COMPUTED_VALUE"""),"S 8290 AI")</f>
        <v>S 8290 AI</v>
      </c>
      <c r="C136" s="16" t="str">
        <f>IFERROR(__xludf.DUMMYFUNCTION("""COMPUTED_VALUE"""),"TLPG TJ PERAK")</f>
        <v>TLPG TJ PERAK</v>
      </c>
      <c r="D136" s="16" t="str">
        <f>IFERROR(__xludf.DUMMYFUNCTION("""COMPUTED_VALUE"""),"Data Company Belum Ada")</f>
        <v>Data Company Belum Ada</v>
      </c>
      <c r="F136" s="19"/>
      <c r="G136" s="16"/>
    </row>
    <row r="137">
      <c r="A137" s="16">
        <f>IFERROR(__xludf.DUMMYFUNCTION("""COMPUTED_VALUE"""),5.0)</f>
        <v>5</v>
      </c>
      <c r="B137" s="16" t="str">
        <f>IFERROR(__xludf.DUMMYFUNCTION("""COMPUTED_VALUE"""),"S 8561 UC")</f>
        <v>S 8561 UC</v>
      </c>
      <c r="C137" s="16" t="str">
        <f>IFERROR(__xludf.DUMMYFUNCTION("""COMPUTED_VALUE"""),"TLPG TJ PERAK")</f>
        <v>TLPG TJ PERAK</v>
      </c>
      <c r="D137" s="16" t="str">
        <f>IFERROR(__xludf.DUMMYFUNCTION("""COMPUTED_VALUE"""),"PT KURNIAWAN MEKAR A.A")</f>
        <v>PT KURNIAWAN MEKAR A.A</v>
      </c>
      <c r="F137" s="19"/>
      <c r="G137" s="16"/>
    </row>
    <row r="138">
      <c r="A138" s="16">
        <f>IFERROR(__xludf.DUMMYFUNCTION("""COMPUTED_VALUE"""),5.0)</f>
        <v>5</v>
      </c>
      <c r="B138" s="16" t="str">
        <f>IFERROR(__xludf.DUMMYFUNCTION("""COMPUTED_VALUE"""),"S 9096 UH")</f>
        <v>S 9096 UH</v>
      </c>
      <c r="C138" s="16" t="str">
        <f>IFERROR(__xludf.DUMMYFUNCTION("""COMPUTED_VALUE"""),"TLPG TJ PERAK")</f>
        <v>TLPG TJ PERAK</v>
      </c>
      <c r="D138" s="16" t="str">
        <f>IFERROR(__xludf.DUMMYFUNCTION("""COMPUTED_VALUE"""),"PT PURBAYA BAGELEN MANDIRI")</f>
        <v>PT PURBAYA BAGELEN MANDIRI</v>
      </c>
      <c r="F138" s="19"/>
      <c r="G138" s="16"/>
    </row>
    <row r="139">
      <c r="A139" s="32">
        <f>IFERROR(__xludf.DUMMYFUNCTION("""COMPUTED_VALUE"""),6.0)</f>
        <v>6</v>
      </c>
      <c r="B139" s="32" t="str">
        <f>IFERROR(__xludf.DUMMYFUNCTION("""COMPUTED_VALUE"""),"AE 8458 UF")</f>
        <v>AE 8458 UF</v>
      </c>
      <c r="C139" s="32" t="str">
        <f>IFERROR(__xludf.DUMMYFUNCTION("""COMPUTED_VALUE"""),"TLPG TJ PERAK")</f>
        <v>TLPG TJ PERAK</v>
      </c>
      <c r="D139" s="32" t="str">
        <f>IFERROR(__xludf.DUMMYFUNCTION("""COMPUTED_VALUE"""),"PT MADIUNI ELPIJI")</f>
        <v>PT MADIUNI ELPIJI</v>
      </c>
      <c r="E139" s="33" t="s">
        <v>432</v>
      </c>
      <c r="F139" s="19"/>
      <c r="G139" s="16"/>
    </row>
    <row r="140">
      <c r="A140" s="32">
        <f>IFERROR(__xludf.DUMMYFUNCTION("""COMPUTED_VALUE"""),6.0)</f>
        <v>6</v>
      </c>
      <c r="B140" s="32" t="str">
        <f>IFERROR(__xludf.DUMMYFUNCTION("""COMPUTED_VALUE"""),"AG 8032 YQ")</f>
        <v>AG 8032 YQ</v>
      </c>
      <c r="C140" s="32" t="str">
        <f>IFERROR(__xludf.DUMMYFUNCTION("""COMPUTED_VALUE"""),"TLPG TJ PERAK")</f>
        <v>TLPG TJ PERAK</v>
      </c>
      <c r="D140" s="32" t="str">
        <f>IFERROR(__xludf.DUMMYFUNCTION("""COMPUTED_VALUE"""),"PT BINTANG CIPTA PERSADA")</f>
        <v>PT BINTANG CIPTA PERSADA</v>
      </c>
      <c r="F140" s="19"/>
      <c r="G140" s="16"/>
    </row>
    <row r="141">
      <c r="A141" s="32">
        <f>IFERROR(__xludf.DUMMYFUNCTION("""COMPUTED_VALUE"""),6.0)</f>
        <v>6</v>
      </c>
      <c r="B141" s="32" t="str">
        <f>IFERROR(__xludf.DUMMYFUNCTION("""COMPUTED_VALUE"""),"AG 8070 UW")</f>
        <v>AG 8070 UW</v>
      </c>
      <c r="C141" s="32" t="str">
        <f>IFERROR(__xludf.DUMMYFUNCTION("""COMPUTED_VALUE"""),"TLPG TJ PERAK")</f>
        <v>TLPG TJ PERAK</v>
      </c>
      <c r="D141" s="32" t="str">
        <f>IFERROR(__xludf.DUMMYFUNCTION("""COMPUTED_VALUE"""),"PT LAJU")</f>
        <v>PT LAJU</v>
      </c>
      <c r="F141" s="19"/>
      <c r="G141" s="16"/>
    </row>
    <row r="142">
      <c r="A142" s="32">
        <f>IFERROR(__xludf.DUMMYFUNCTION("""COMPUTED_VALUE"""),6.0)</f>
        <v>6</v>
      </c>
      <c r="B142" s="32" t="str">
        <f>IFERROR(__xludf.DUMMYFUNCTION("""COMPUTED_VALUE"""),"AG 8129 UF")</f>
        <v>AG 8129 UF</v>
      </c>
      <c r="C142" s="32" t="str">
        <f>IFERROR(__xludf.DUMMYFUNCTION("""COMPUTED_VALUE"""),"TLPG TJ PERAK")</f>
        <v>TLPG TJ PERAK</v>
      </c>
      <c r="D142" s="32" t="str">
        <f>IFERROR(__xludf.DUMMYFUNCTION("""COMPUTED_VALUE"""),"PT NARA RIZKA MANUNGGAL")</f>
        <v>PT NARA RIZKA MANUNGGAL</v>
      </c>
      <c r="F142" s="19"/>
      <c r="G142" s="16"/>
    </row>
    <row r="143">
      <c r="A143" s="32">
        <f>IFERROR(__xludf.DUMMYFUNCTION("""COMPUTED_VALUE"""),6.0)</f>
        <v>6</v>
      </c>
      <c r="B143" s="32" t="str">
        <f>IFERROR(__xludf.DUMMYFUNCTION("""COMPUTED_VALUE"""),"AG 8223 LB")</f>
        <v>AG 8223 LB</v>
      </c>
      <c r="C143" s="32" t="str">
        <f>IFERROR(__xludf.DUMMYFUNCTION("""COMPUTED_VALUE"""),"TLPG TJ PERAK")</f>
        <v>TLPG TJ PERAK</v>
      </c>
      <c r="D143" s="32" t="str">
        <f>IFERROR(__xludf.DUMMYFUNCTION("""COMPUTED_VALUE"""),"PT RAMA MANGGALA GAS")</f>
        <v>PT RAMA MANGGALA GAS</v>
      </c>
      <c r="F143" s="19"/>
      <c r="G143" s="16"/>
    </row>
    <row r="144">
      <c r="A144" s="32">
        <f>IFERROR(__xludf.DUMMYFUNCTION("""COMPUTED_VALUE"""),6.0)</f>
        <v>6</v>
      </c>
      <c r="B144" s="32" t="str">
        <f>IFERROR(__xludf.DUMMYFUNCTION("""COMPUTED_VALUE"""),"AG 8263 UW")</f>
        <v>AG 8263 UW</v>
      </c>
      <c r="C144" s="32" t="str">
        <f>IFERROR(__xludf.DUMMYFUNCTION("""COMPUTED_VALUE"""),"TLPG TJ PERAK")</f>
        <v>TLPG TJ PERAK</v>
      </c>
      <c r="D144" s="32" t="str">
        <f>IFERROR(__xludf.DUMMYFUNCTION("""COMPUTED_VALUE"""),"PT LAMONGAN JOYO")</f>
        <v>PT LAMONGAN JOYO</v>
      </c>
      <c r="F144" s="19"/>
      <c r="G144" s="16"/>
    </row>
    <row r="145">
      <c r="A145" s="32">
        <f>IFERROR(__xludf.DUMMYFUNCTION("""COMPUTED_VALUE"""),6.0)</f>
        <v>6</v>
      </c>
      <c r="B145" s="32" t="str">
        <f>IFERROR(__xludf.DUMMYFUNCTION("""COMPUTED_VALUE"""),"AG 8702 UO")</f>
        <v>AG 8702 UO</v>
      </c>
      <c r="C145" s="32" t="str">
        <f>IFERROR(__xludf.DUMMYFUNCTION("""COMPUTED_VALUE"""),"TLPG TJ PERAK")</f>
        <v>TLPG TJ PERAK</v>
      </c>
      <c r="D145" s="32" t="str">
        <f>IFERROR(__xludf.DUMMYFUNCTION("""COMPUTED_VALUE"""),"PT MODERNA TEHNIK PERKASA")</f>
        <v>PT MODERNA TEHNIK PERKASA</v>
      </c>
      <c r="F145" s="19"/>
      <c r="G145" s="16"/>
    </row>
    <row r="146">
      <c r="A146" s="32">
        <f>IFERROR(__xludf.DUMMYFUNCTION("""COMPUTED_VALUE"""),6.0)</f>
        <v>6</v>
      </c>
      <c r="B146" s="32" t="str">
        <f>IFERROR(__xludf.DUMMYFUNCTION("""COMPUTED_VALUE"""),"B 9713 SFU")</f>
        <v>B 9713 SFU</v>
      </c>
      <c r="C146" s="32" t="str">
        <f>IFERROR(__xludf.DUMMYFUNCTION("""COMPUTED_VALUE"""),"TLPG TJ WANGI")</f>
        <v>TLPG TJ WANGI</v>
      </c>
      <c r="D146" s="32" t="str">
        <f>IFERROR(__xludf.DUMMYFUNCTION("""COMPUTED_VALUE"""),"PT PATRA NIAGA 1")</f>
        <v>PT PATRA NIAGA 1</v>
      </c>
      <c r="F146" s="19"/>
      <c r="G146" s="16"/>
    </row>
    <row r="147">
      <c r="A147" s="32">
        <f>IFERROR(__xludf.DUMMYFUNCTION("""COMPUTED_VALUE"""),6.0)</f>
        <v>6</v>
      </c>
      <c r="B147" s="32" t="str">
        <f>IFERROR(__xludf.DUMMYFUNCTION("""COMPUTED_VALUE"""),"B 9869 SFV")</f>
        <v>B 9869 SFV</v>
      </c>
      <c r="C147" s="32" t="str">
        <f>IFERROR(__xludf.DUMMYFUNCTION("""COMPUTED_VALUE"""),"TLPG MEM GRESIK")</f>
        <v>TLPG MEM GRESIK</v>
      </c>
      <c r="D147" s="32" t="str">
        <f>IFERROR(__xludf.DUMMYFUNCTION("""COMPUTED_VALUE"""),"PT PATRA LOGISTIK")</f>
        <v>PT PATRA LOGISTIK</v>
      </c>
      <c r="F147" s="19"/>
      <c r="G147" s="16"/>
    </row>
    <row r="148">
      <c r="A148" s="32">
        <f>IFERROR(__xludf.DUMMYFUNCTION("""COMPUTED_VALUE"""),6.0)</f>
        <v>6</v>
      </c>
      <c r="B148" s="32" t="str">
        <f>IFERROR(__xludf.DUMMYFUNCTION("""COMPUTED_VALUE"""),"B 9884 SFU")</f>
        <v>B 9884 SFU</v>
      </c>
      <c r="C148" s="32" t="str">
        <f>IFERROR(__xludf.DUMMYFUNCTION("""COMPUTED_VALUE"""),"TLPG MEM GRESIK")</f>
        <v>TLPG MEM GRESIK</v>
      </c>
      <c r="D148" s="32" t="str">
        <f>IFERROR(__xludf.DUMMYFUNCTION("""COMPUTED_VALUE"""),"PT PATRA NIAGA")</f>
        <v>PT PATRA NIAGA</v>
      </c>
      <c r="F148" s="19"/>
      <c r="G148" s="16"/>
    </row>
    <row r="149">
      <c r="A149" s="32">
        <f>IFERROR(__xludf.DUMMYFUNCTION("""COMPUTED_VALUE"""),6.0)</f>
        <v>6</v>
      </c>
      <c r="B149" s="32" t="str">
        <f>IFERROR(__xludf.DUMMYFUNCTION("""COMPUTED_VALUE"""),"DK 8146 BZ")</f>
        <v>DK 8146 BZ</v>
      </c>
      <c r="C149" s="32" t="str">
        <f>IFERROR(__xludf.DUMMYFUNCTION("""COMPUTED_VALUE"""),"TLPG MANGGIS")</f>
        <v>TLPG MANGGIS</v>
      </c>
      <c r="D149" s="32" t="str">
        <f>IFERROR(__xludf.DUMMYFUNCTION("""COMPUTED_VALUE"""),"SPPBE-PT. Pande Agung Dewata")</f>
        <v>SPPBE-PT. Pande Agung Dewata</v>
      </c>
      <c r="F149" s="19"/>
      <c r="G149" s="16"/>
    </row>
    <row r="150">
      <c r="A150" s="32">
        <f>IFERROR(__xludf.DUMMYFUNCTION("""COMPUTED_VALUE"""),6.0)</f>
        <v>6</v>
      </c>
      <c r="B150" s="32" t="str">
        <f>IFERROR(__xludf.DUMMYFUNCTION("""COMPUTED_VALUE"""),"DK 8204 KO")</f>
        <v>DK 8204 KO</v>
      </c>
      <c r="C150" s="32" t="str">
        <f>IFERROR(__xludf.DUMMYFUNCTION("""COMPUTED_VALUE"""),"TLPG MANGGIS")</f>
        <v>TLPG MANGGIS</v>
      </c>
      <c r="D150" s="32" t="str">
        <f>IFERROR(__xludf.DUMMYFUNCTION("""COMPUTED_VALUE"""),"SPPBE-PT. Dasico Panca Rena")</f>
        <v>SPPBE-PT. Dasico Panca Rena</v>
      </c>
      <c r="F150" s="19"/>
      <c r="G150" s="16"/>
    </row>
    <row r="151">
      <c r="A151" s="32">
        <f>IFERROR(__xludf.DUMMYFUNCTION("""COMPUTED_VALUE"""),6.0)</f>
        <v>6</v>
      </c>
      <c r="B151" s="32" t="str">
        <f>IFERROR(__xludf.DUMMYFUNCTION("""COMPUTED_VALUE"""),"DK 8352 GZ")</f>
        <v>DK 8352 GZ</v>
      </c>
      <c r="C151" s="32" t="str">
        <f>IFERROR(__xludf.DUMMYFUNCTION("""COMPUTED_VALUE"""),"TLPG MANGGIS")</f>
        <v>TLPG MANGGIS</v>
      </c>
      <c r="D151" s="32" t="str">
        <f>IFERROR(__xludf.DUMMYFUNCTION("""COMPUTED_VALUE"""),"SPPBE-PT. Sembilan Semangat")</f>
        <v>SPPBE-PT. Sembilan Semangat</v>
      </c>
      <c r="F151" s="19"/>
      <c r="G151" s="16"/>
    </row>
    <row r="152">
      <c r="A152" s="32">
        <f>IFERROR(__xludf.DUMMYFUNCTION("""COMPUTED_VALUE"""),6.0)</f>
        <v>6</v>
      </c>
      <c r="B152" s="32" t="str">
        <f>IFERROR(__xludf.DUMMYFUNCTION("""COMPUTED_VALUE"""),"DK 8369 PA")</f>
        <v>DK 8369 PA</v>
      </c>
      <c r="C152" s="32" t="str">
        <f>IFERROR(__xludf.DUMMYFUNCTION("""COMPUTED_VALUE"""),"TLPG MANGGIS")</f>
        <v>TLPG MANGGIS</v>
      </c>
      <c r="D152" s="32" t="str">
        <f>IFERROR(__xludf.DUMMYFUNCTION("""COMPUTED_VALUE"""),"SPPBE-PT. Segara Windhu Dewata")</f>
        <v>SPPBE-PT. Segara Windhu Dewata</v>
      </c>
      <c r="F152" s="19"/>
      <c r="G152" s="16"/>
    </row>
    <row r="153">
      <c r="A153" s="32">
        <f>IFERROR(__xludf.DUMMYFUNCTION("""COMPUTED_VALUE"""),6.0)</f>
        <v>6</v>
      </c>
      <c r="B153" s="32" t="str">
        <f>IFERROR(__xludf.DUMMYFUNCTION("""COMPUTED_VALUE"""),"DK 8967 CA")</f>
        <v>DK 8967 CA</v>
      </c>
      <c r="C153" s="32" t="str">
        <f>IFERROR(__xludf.DUMMYFUNCTION("""COMPUTED_VALUE"""),"TLPG MANGGIS")</f>
        <v>TLPG MANGGIS</v>
      </c>
      <c r="D153" s="32" t="str">
        <f>IFERROR(__xludf.DUMMYFUNCTION("""COMPUTED_VALUE"""),"SPPBE-PT. Sari Dharma Mandiri")</f>
        <v>SPPBE-PT. Sari Dharma Mandiri</v>
      </c>
      <c r="F153" s="19"/>
      <c r="G153" s="16"/>
    </row>
    <row r="154">
      <c r="A154" s="32">
        <f>IFERROR(__xludf.DUMMYFUNCTION("""COMPUTED_VALUE"""),6.0)</f>
        <v>6</v>
      </c>
      <c r="B154" s="32" t="str">
        <f>IFERROR(__xludf.DUMMYFUNCTION("""COMPUTED_VALUE"""),"DR 8654 AI")</f>
        <v>DR 8654 AI</v>
      </c>
      <c r="C154" s="32" t="str">
        <f>IFERROR(__xludf.DUMMYFUNCTION("""COMPUTED_VALUE"""),"TLPG LOMBOK")</f>
        <v>TLPG LOMBOK</v>
      </c>
      <c r="D154" s="32" t="str">
        <f>IFERROR(__xludf.DUMMYFUNCTION("""COMPUTED_VALUE"""),"Data Company Belum Ada")</f>
        <v>Data Company Belum Ada</v>
      </c>
      <c r="F154" s="19"/>
      <c r="G154" s="16"/>
    </row>
    <row r="155">
      <c r="A155" s="32">
        <f>IFERROR(__xludf.DUMMYFUNCTION("""COMPUTED_VALUE"""),6.0)</f>
        <v>6</v>
      </c>
      <c r="B155" s="32" t="str">
        <f>IFERROR(__xludf.DUMMYFUNCTION("""COMPUTED_VALUE"""),"L 8099 UR")</f>
        <v>L 8099 UR</v>
      </c>
      <c r="C155" s="32" t="str">
        <f>IFERROR(__xludf.DUMMYFUNCTION("""COMPUTED_VALUE"""),"TLPG MEM GRESIK")</f>
        <v>TLPG MEM GRESIK</v>
      </c>
      <c r="D155" s="32" t="str">
        <f>IFERROR(__xludf.DUMMYFUNCTION("""COMPUTED_VALUE"""),"PT PATRA NIAGA")</f>
        <v>PT PATRA NIAGA</v>
      </c>
      <c r="F155" s="19"/>
      <c r="G155" s="16"/>
    </row>
    <row r="156">
      <c r="A156" s="32">
        <f>IFERROR(__xludf.DUMMYFUNCTION("""COMPUTED_VALUE"""),6.0)</f>
        <v>6</v>
      </c>
      <c r="B156" s="32" t="str">
        <f>IFERROR(__xludf.DUMMYFUNCTION("""COMPUTED_VALUE"""),"L 8547 UI")</f>
        <v>L 8547 UI</v>
      </c>
      <c r="C156" s="32" t="str">
        <f>IFERROR(__xludf.DUMMYFUNCTION("""COMPUTED_VALUE"""),"TLPG TJ PERAK")</f>
        <v>TLPG TJ PERAK</v>
      </c>
      <c r="D156" s="32" t="str">
        <f>IFERROR(__xludf.DUMMYFUNCTION("""COMPUTED_VALUE"""),"PT MULTI BERKAH AMANAH")</f>
        <v>PT MULTI BERKAH AMANAH</v>
      </c>
      <c r="F156" s="19"/>
      <c r="G156" s="16"/>
    </row>
    <row r="157">
      <c r="A157" s="32">
        <f>IFERROR(__xludf.DUMMYFUNCTION("""COMPUTED_VALUE"""),6.0)</f>
        <v>6</v>
      </c>
      <c r="B157" s="32" t="str">
        <f>IFERROR(__xludf.DUMMYFUNCTION("""COMPUTED_VALUE"""),"L 9828 UJ")</f>
        <v>L 9828 UJ</v>
      </c>
      <c r="C157" s="32" t="str">
        <f>IFERROR(__xludf.DUMMYFUNCTION("""COMPUTED_VALUE"""),"TLPG MEM GRESIK")</f>
        <v>TLPG MEM GRESIK</v>
      </c>
      <c r="D157" s="32" t="str">
        <f>IFERROR(__xludf.DUMMYFUNCTION("""COMPUTED_VALUE"""),"PT PATRA NIAGA")</f>
        <v>PT PATRA NIAGA</v>
      </c>
      <c r="F157" s="19"/>
      <c r="G157" s="16"/>
    </row>
    <row r="158">
      <c r="A158" s="32">
        <f>IFERROR(__xludf.DUMMYFUNCTION("""COMPUTED_VALUE"""),6.0)</f>
        <v>6</v>
      </c>
      <c r="B158" s="32" t="str">
        <f>IFERROR(__xludf.DUMMYFUNCTION("""COMPUTED_VALUE"""),"M 8366 UG")</f>
        <v>M 8366 UG</v>
      </c>
      <c r="C158" s="32" t="str">
        <f>IFERROR(__xludf.DUMMYFUNCTION("""COMPUTED_VALUE"""),"TLPG TJ PERAK")</f>
        <v>TLPG TJ PERAK</v>
      </c>
      <c r="D158" s="32" t="str">
        <f>IFERROR(__xludf.DUMMYFUNCTION("""COMPUTED_VALUE"""),"PT TRIJAYA ADYMIX BANGKALAN")</f>
        <v>PT TRIJAYA ADYMIX BANGKALAN</v>
      </c>
      <c r="F158" s="19"/>
      <c r="G158" s="16"/>
    </row>
    <row r="159">
      <c r="A159" s="32">
        <f>IFERROR(__xludf.DUMMYFUNCTION("""COMPUTED_VALUE"""),6.0)</f>
        <v>6</v>
      </c>
      <c r="B159" s="32" t="str">
        <f>IFERROR(__xludf.DUMMYFUNCTION("""COMPUTED_VALUE"""),"M 8978 UV")</f>
        <v>M 8978 UV</v>
      </c>
      <c r="C159" s="32" t="str">
        <f>IFERROR(__xludf.DUMMYFUNCTION("""COMPUTED_VALUE"""),"TLPG TJ PERAK")</f>
        <v>TLPG TJ PERAK</v>
      </c>
      <c r="D159" s="32" t="str">
        <f>IFERROR(__xludf.DUMMYFUNCTION("""COMPUTED_VALUE"""),"PT PERAK POLANA ALOMAMPA")</f>
        <v>PT PERAK POLANA ALOMAMPA</v>
      </c>
      <c r="F159" s="19"/>
      <c r="G159" s="16"/>
    </row>
    <row r="160">
      <c r="A160" s="32">
        <f>IFERROR(__xludf.DUMMYFUNCTION("""COMPUTED_VALUE"""),6.0)</f>
        <v>6</v>
      </c>
      <c r="B160" s="32" t="str">
        <f>IFERROR(__xludf.DUMMYFUNCTION("""COMPUTED_VALUE"""),"M 9728 UA")</f>
        <v>M 9728 UA</v>
      </c>
      <c r="C160" s="32" t="str">
        <f>IFERROR(__xludf.DUMMYFUNCTION("""COMPUTED_VALUE"""),"TLPG TJ PERAK")</f>
        <v>TLPG TJ PERAK</v>
      </c>
      <c r="D160" s="32" t="str">
        <f>IFERROR(__xludf.DUMMYFUNCTION("""COMPUTED_VALUE"""),"PT GAS MADURA PRATAMA")</f>
        <v>PT GAS MADURA PRATAMA</v>
      </c>
      <c r="F160" s="19"/>
      <c r="G160" s="16"/>
    </row>
    <row r="161">
      <c r="A161" s="32">
        <f>IFERROR(__xludf.DUMMYFUNCTION("""COMPUTED_VALUE"""),6.0)</f>
        <v>6</v>
      </c>
      <c r="B161" s="32" t="str">
        <f>IFERROR(__xludf.DUMMYFUNCTION("""COMPUTED_VALUE"""),"N 8182 EB")</f>
        <v>N 8182 EB</v>
      </c>
      <c r="C161" s="32" t="str">
        <f>IFERROR(__xludf.DUMMYFUNCTION("""COMPUTED_VALUE"""),"TLPG TJ PERAK")</f>
        <v>TLPG TJ PERAK</v>
      </c>
      <c r="D161" s="32" t="str">
        <f>IFERROR(__xludf.DUMMYFUNCTION("""COMPUTED_VALUE"""),"PT AGAM SEULAWAH JAYA")</f>
        <v>PT AGAM SEULAWAH JAYA</v>
      </c>
      <c r="F161" s="19"/>
      <c r="G161" s="16"/>
    </row>
    <row r="162">
      <c r="A162" s="32">
        <f>IFERROR(__xludf.DUMMYFUNCTION("""COMPUTED_VALUE"""),6.0)</f>
        <v>6</v>
      </c>
      <c r="B162" s="32" t="str">
        <f>IFERROR(__xludf.DUMMYFUNCTION("""COMPUTED_VALUE"""),"P 8726 UG")</f>
        <v>P 8726 UG</v>
      </c>
      <c r="C162" s="32" t="str">
        <f>IFERROR(__xludf.DUMMYFUNCTION("""COMPUTED_VALUE"""),"TLPG TJ WANGI")</f>
        <v>TLPG TJ WANGI</v>
      </c>
      <c r="D162" s="32" t="str">
        <f>IFERROR(__xludf.DUMMYFUNCTION("""COMPUTED_VALUE"""),"PT SUMBER MAKMUR MEGAH ABADI")</f>
        <v>PT SUMBER MAKMUR MEGAH ABADI</v>
      </c>
      <c r="F162" s="19"/>
      <c r="G162" s="16"/>
    </row>
    <row r="163">
      <c r="A163" s="32">
        <f>IFERROR(__xludf.DUMMYFUNCTION("""COMPUTED_VALUE"""),6.0)</f>
        <v>6</v>
      </c>
      <c r="B163" s="32" t="str">
        <f>IFERROR(__xludf.DUMMYFUNCTION("""COMPUTED_VALUE"""),"P 9114 UG")</f>
        <v>P 9114 UG</v>
      </c>
      <c r="C163" s="32" t="str">
        <f>IFERROR(__xludf.DUMMYFUNCTION("""COMPUTED_VALUE"""),"TLPG MEM GRESIK")</f>
        <v>TLPG MEM GRESIK</v>
      </c>
      <c r="D163" s="32" t="str">
        <f>IFERROR(__xludf.DUMMYFUNCTION("""COMPUTED_VALUE"""),"PT TRI TUNGGAL ARGOPURO MANDIRI")</f>
        <v>PT TRI TUNGGAL ARGOPURO MANDIRI</v>
      </c>
      <c r="F163" s="19"/>
      <c r="G163" s="16"/>
    </row>
    <row r="164">
      <c r="A164" s="32">
        <f>IFERROR(__xludf.DUMMYFUNCTION("""COMPUTED_VALUE"""),6.0)</f>
        <v>6</v>
      </c>
      <c r="B164" s="32" t="str">
        <f>IFERROR(__xludf.DUMMYFUNCTION("""COMPUTED_VALUE"""),"S 8936 UM")</f>
        <v>S 8936 UM</v>
      </c>
      <c r="C164" s="32" t="str">
        <f>IFERROR(__xludf.DUMMYFUNCTION("""COMPUTED_VALUE"""),"TLPG TJ PERAK")</f>
        <v>TLPG TJ PERAK</v>
      </c>
      <c r="D164" s="32" t="str">
        <f>IFERROR(__xludf.DUMMYFUNCTION("""COMPUTED_VALUE"""),"PT PROFIL SUKSES ABADI")</f>
        <v>PT PROFIL SUKSES ABADI</v>
      </c>
      <c r="F164" s="19"/>
      <c r="G164" s="16"/>
    </row>
    <row r="165">
      <c r="A165" s="32">
        <f>IFERROR(__xludf.DUMMYFUNCTION("""COMPUTED_VALUE"""),6.0)</f>
        <v>6</v>
      </c>
      <c r="B165" s="32" t="str">
        <f>IFERROR(__xludf.DUMMYFUNCTION("""COMPUTED_VALUE"""),"S 9650 UE")</f>
        <v>S 9650 UE</v>
      </c>
      <c r="C165" s="32" t="str">
        <f>IFERROR(__xludf.DUMMYFUNCTION("""COMPUTED_VALUE"""),"TLPG TJ PERAK")</f>
        <v>TLPG TJ PERAK</v>
      </c>
      <c r="D165" s="32" t="str">
        <f>IFERROR(__xludf.DUMMYFUNCTION("""COMPUTED_VALUE"""),"PT PURBAYA BAGELEN MANDIRI")</f>
        <v>PT PURBAYA BAGELEN MANDIRI</v>
      </c>
      <c r="F165" s="19"/>
      <c r="G165" s="16"/>
    </row>
    <row r="166">
      <c r="A166" s="32">
        <f>IFERROR(__xludf.DUMMYFUNCTION("""COMPUTED_VALUE"""),6.0)</f>
        <v>6</v>
      </c>
      <c r="B166" s="32" t="str">
        <f>IFERROR(__xludf.DUMMYFUNCTION("""COMPUTED_VALUE"""),"W 8409 UQ")</f>
        <v>W 8409 UQ</v>
      </c>
      <c r="C166" s="32" t="str">
        <f>IFERROR(__xludf.DUMMYFUNCTION("""COMPUTED_VALUE"""),"TLPG MEM GRESIK")</f>
        <v>TLPG MEM GRESIK</v>
      </c>
      <c r="D166" s="32" t="str">
        <f>IFERROR(__xludf.DUMMYFUNCTION("""COMPUTED_VALUE"""),"PT KARYA JAYA LESTARI")</f>
        <v>PT KARYA JAYA LESTARI</v>
      </c>
      <c r="F166" s="19"/>
      <c r="G166" s="16"/>
    </row>
    <row r="167">
      <c r="A167" s="16">
        <f>IFERROR(__xludf.DUMMYFUNCTION("""COMPUTED_VALUE"""),7.0)</f>
        <v>7</v>
      </c>
      <c r="B167" s="16" t="str">
        <f>IFERROR(__xludf.DUMMYFUNCTION("""COMPUTED_VALUE"""),"AE 8459 UF")</f>
        <v>AE 8459 UF</v>
      </c>
      <c r="C167" s="16" t="str">
        <f>IFERROR(__xludf.DUMMYFUNCTION("""COMPUTED_VALUE"""),"TLPG TJ PERAK")</f>
        <v>TLPG TJ PERAK</v>
      </c>
      <c r="D167" s="16" t="str">
        <f>IFERROR(__xludf.DUMMYFUNCTION("""COMPUTED_VALUE"""),"PT MADIUNI ELPIJI")</f>
        <v>PT MADIUNI ELPIJI</v>
      </c>
      <c r="E167" s="18" t="s">
        <v>449</v>
      </c>
      <c r="F167" s="19"/>
      <c r="G167" s="16"/>
    </row>
    <row r="168">
      <c r="A168" s="16">
        <f>IFERROR(__xludf.DUMMYFUNCTION("""COMPUTED_VALUE"""),7.0)</f>
        <v>7</v>
      </c>
      <c r="B168" s="16" t="str">
        <f>IFERROR(__xludf.DUMMYFUNCTION("""COMPUTED_VALUE"""),"AE 8845 UT")</f>
        <v>AE 8845 UT</v>
      </c>
      <c r="C168" s="16" t="str">
        <f>IFERROR(__xludf.DUMMYFUNCTION("""COMPUTED_VALUE"""),"TLPG TJ PERAK")</f>
        <v>TLPG TJ PERAK</v>
      </c>
      <c r="D168" s="16" t="str">
        <f>IFERROR(__xludf.DUMMYFUNCTION("""COMPUTED_VALUE"""),"PT BUANA KARYA SURYA PRATAMA")</f>
        <v>PT BUANA KARYA SURYA PRATAMA</v>
      </c>
      <c r="F168" s="19"/>
      <c r="G168" s="16"/>
    </row>
    <row r="169">
      <c r="A169" s="16">
        <f>IFERROR(__xludf.DUMMYFUNCTION("""COMPUTED_VALUE"""),7.0)</f>
        <v>7</v>
      </c>
      <c r="B169" s="16" t="str">
        <f>IFERROR(__xludf.DUMMYFUNCTION("""COMPUTED_VALUE"""),"AG 8717 UO")</f>
        <v>AG 8717 UO</v>
      </c>
      <c r="C169" s="16" t="str">
        <f>IFERROR(__xludf.DUMMYFUNCTION("""COMPUTED_VALUE"""),"TLPG TJ PERAK")</f>
        <v>TLPG TJ PERAK</v>
      </c>
      <c r="D169" s="16" t="str">
        <f>IFERROR(__xludf.DUMMYFUNCTION("""COMPUTED_VALUE"""),"PT MODERNA TEHNIK PERKASA")</f>
        <v>PT MODERNA TEHNIK PERKASA</v>
      </c>
      <c r="F169" s="19"/>
      <c r="G169" s="16"/>
    </row>
    <row r="170">
      <c r="A170" s="16">
        <f>IFERROR(__xludf.DUMMYFUNCTION("""COMPUTED_VALUE"""),7.0)</f>
        <v>7</v>
      </c>
      <c r="B170" s="16" t="str">
        <f>IFERROR(__xludf.DUMMYFUNCTION("""COMPUTED_VALUE"""),"AG 8817 UK")</f>
        <v>AG 8817 UK</v>
      </c>
      <c r="C170" s="16" t="str">
        <f>IFERROR(__xludf.DUMMYFUNCTION("""COMPUTED_VALUE"""),"TLPG TJ PERAK")</f>
        <v>TLPG TJ PERAK</v>
      </c>
      <c r="D170" s="16" t="str">
        <f>IFERROR(__xludf.DUMMYFUNCTION("""COMPUTED_VALUE"""),"PT RAMA MANGGALA GAS")</f>
        <v>PT RAMA MANGGALA GAS</v>
      </c>
      <c r="F170" s="19"/>
      <c r="G170" s="16"/>
    </row>
    <row r="171">
      <c r="A171" s="16">
        <f>IFERROR(__xludf.DUMMYFUNCTION("""COMPUTED_VALUE"""),7.0)</f>
        <v>7</v>
      </c>
      <c r="B171" s="16" t="str">
        <f>IFERROR(__xludf.DUMMYFUNCTION("""COMPUTED_VALUE"""),"AG 9312 UW")</f>
        <v>AG 9312 UW</v>
      </c>
      <c r="C171" s="16" t="str">
        <f>IFERROR(__xludf.DUMMYFUNCTION("""COMPUTED_VALUE"""),"TLPG TJ PERAK")</f>
        <v>TLPG TJ PERAK</v>
      </c>
      <c r="D171" s="16" t="str">
        <f>IFERROR(__xludf.DUMMYFUNCTION("""COMPUTED_VALUE"""),"PT LAJU")</f>
        <v>PT LAJU</v>
      </c>
      <c r="F171" s="19"/>
      <c r="G171" s="16"/>
    </row>
    <row r="172">
      <c r="A172" s="16">
        <f>IFERROR(__xludf.DUMMYFUNCTION("""COMPUTED_VALUE"""),7.0)</f>
        <v>7</v>
      </c>
      <c r="B172" s="16" t="str">
        <f>IFERROR(__xludf.DUMMYFUNCTION("""COMPUTED_VALUE"""),"B 9115 SEI")</f>
        <v>B 9115 SEI</v>
      </c>
      <c r="C172" s="16" t="str">
        <f>IFERROR(__xludf.DUMMYFUNCTION("""COMPUTED_VALUE"""),"TLPG MEM GRESIK")</f>
        <v>TLPG MEM GRESIK</v>
      </c>
      <c r="D172" s="16" t="str">
        <f>IFERROR(__xludf.DUMMYFUNCTION("""COMPUTED_VALUE"""),"PT PATRA NIAGA")</f>
        <v>PT PATRA NIAGA</v>
      </c>
      <c r="F172" s="19"/>
      <c r="G172" s="16"/>
    </row>
    <row r="173">
      <c r="A173" s="16">
        <f>IFERROR(__xludf.DUMMYFUNCTION("""COMPUTED_VALUE"""),7.0)</f>
        <v>7</v>
      </c>
      <c r="B173" s="16" t="str">
        <f>IFERROR(__xludf.DUMMYFUNCTION("""COMPUTED_VALUE"""),"B 9203 TEK")</f>
        <v>B 9203 TEK</v>
      </c>
      <c r="C173" s="16" t="str">
        <f>IFERROR(__xludf.DUMMYFUNCTION("""COMPUTED_VALUE"""),"TLPG MEM GRESIK")</f>
        <v>TLPG MEM GRESIK</v>
      </c>
      <c r="D173" s="16" t="str">
        <f>IFERROR(__xludf.DUMMYFUNCTION("""COMPUTED_VALUE"""),"PT ADAM TRANS")</f>
        <v>PT ADAM TRANS</v>
      </c>
      <c r="F173" s="19"/>
      <c r="G173" s="16"/>
    </row>
    <row r="174">
      <c r="A174" s="16">
        <f>IFERROR(__xludf.DUMMYFUNCTION("""COMPUTED_VALUE"""),7.0)</f>
        <v>7</v>
      </c>
      <c r="B174" s="16" t="str">
        <f>IFERROR(__xludf.DUMMYFUNCTION("""COMPUTED_VALUE"""),"B 9712 SFU")</f>
        <v>B 9712 SFU</v>
      </c>
      <c r="C174" s="16" t="str">
        <f>IFERROR(__xludf.DUMMYFUNCTION("""COMPUTED_VALUE"""),"TLPG MEM GRESIK")</f>
        <v>TLPG MEM GRESIK</v>
      </c>
      <c r="D174" s="16" t="str">
        <f>IFERROR(__xludf.DUMMYFUNCTION("""COMPUTED_VALUE"""),"PT PATRA NIAGA")</f>
        <v>PT PATRA NIAGA</v>
      </c>
      <c r="F174" s="19"/>
      <c r="G174" s="16"/>
    </row>
    <row r="175">
      <c r="A175" s="16">
        <f>IFERROR(__xludf.DUMMYFUNCTION("""COMPUTED_VALUE"""),7.0)</f>
        <v>7</v>
      </c>
      <c r="B175" s="16" t="str">
        <f>IFERROR(__xludf.DUMMYFUNCTION("""COMPUTED_VALUE"""),"DK 8078 HJ")</f>
        <v>DK 8078 HJ</v>
      </c>
      <c r="C175" s="16" t="str">
        <f>IFERROR(__xludf.DUMMYFUNCTION("""COMPUTED_VALUE"""),"TLPG MANGGIS")</f>
        <v>TLPG MANGGIS</v>
      </c>
      <c r="D175" s="16" t="str">
        <f>IFERROR(__xludf.DUMMYFUNCTION("""COMPUTED_VALUE"""),"SPPBE-PT. Sembilan Semangat")</f>
        <v>SPPBE-PT. Sembilan Semangat</v>
      </c>
      <c r="F175" s="19"/>
      <c r="G175" s="16"/>
    </row>
    <row r="176">
      <c r="A176" s="16">
        <f>IFERROR(__xludf.DUMMYFUNCTION("""COMPUTED_VALUE"""),7.0)</f>
        <v>7</v>
      </c>
      <c r="B176" s="16" t="str">
        <f>IFERROR(__xludf.DUMMYFUNCTION("""COMPUTED_VALUE"""),"DK 8694 KP")</f>
        <v>DK 8694 KP</v>
      </c>
      <c r="C176" s="16" t="str">
        <f>IFERROR(__xludf.DUMMYFUNCTION("""COMPUTED_VALUE"""),"TLPG MANGGIS")</f>
        <v>TLPG MANGGIS</v>
      </c>
      <c r="D176" s="16" t="str">
        <f>IFERROR(__xludf.DUMMYFUNCTION("""COMPUTED_VALUE"""),"SPPBE-PT. Prapen Artha Dewata")</f>
        <v>SPPBE-PT. Prapen Artha Dewata</v>
      </c>
      <c r="F176" s="19"/>
      <c r="G176" s="16"/>
    </row>
    <row r="177">
      <c r="A177" s="16">
        <f>IFERROR(__xludf.DUMMYFUNCTION("""COMPUTED_VALUE"""),7.0)</f>
        <v>7</v>
      </c>
      <c r="B177" s="16" t="str">
        <f>IFERROR(__xludf.DUMMYFUNCTION("""COMPUTED_VALUE"""),"DK 8859 CK")</f>
        <v>DK 8859 CK</v>
      </c>
      <c r="C177" s="16" t="str">
        <f>IFERROR(__xludf.DUMMYFUNCTION("""COMPUTED_VALUE"""),"TLPG MANGGIS")</f>
        <v>TLPG MANGGIS</v>
      </c>
      <c r="D177" s="16" t="str">
        <f>IFERROR(__xludf.DUMMYFUNCTION("""COMPUTED_VALUE"""),"SPPBE-PT. Pande Agung Dewata")</f>
        <v>SPPBE-PT. Pande Agung Dewata</v>
      </c>
      <c r="F177" s="19"/>
      <c r="G177" s="16"/>
    </row>
    <row r="178">
      <c r="A178" s="16">
        <f>IFERROR(__xludf.DUMMYFUNCTION("""COMPUTED_VALUE"""),7.0)</f>
        <v>7</v>
      </c>
      <c r="B178" s="16" t="str">
        <f>IFERROR(__xludf.DUMMYFUNCTION("""COMPUTED_VALUE"""),"DR 8129 AH")</f>
        <v>DR 8129 AH</v>
      </c>
      <c r="C178" s="16" t="str">
        <f>IFERROR(__xludf.DUMMYFUNCTION("""COMPUTED_VALUE"""),"TLPG LOMBOK")</f>
        <v>TLPG LOMBOK</v>
      </c>
      <c r="D178" s="16" t="str">
        <f>IFERROR(__xludf.DUMMYFUNCTION("""COMPUTED_VALUE"""),"SPPBE-PT. Surya Adiguna Indogas")</f>
        <v>SPPBE-PT. Surya Adiguna Indogas</v>
      </c>
      <c r="F178" s="19"/>
      <c r="G178" s="16"/>
    </row>
    <row r="179">
      <c r="A179" s="16">
        <f>IFERROR(__xludf.DUMMYFUNCTION("""COMPUTED_VALUE"""),7.0)</f>
        <v>7</v>
      </c>
      <c r="B179" s="16" t="str">
        <f>IFERROR(__xludf.DUMMYFUNCTION("""COMPUTED_VALUE"""),"L 8088 UO")</f>
        <v>L 8088 UO</v>
      </c>
      <c r="C179" s="16" t="str">
        <f>IFERROR(__xludf.DUMMYFUNCTION("""COMPUTED_VALUE"""),"TLPG MEM GRESIK")</f>
        <v>TLPG MEM GRESIK</v>
      </c>
      <c r="D179" s="16" t="str">
        <f>IFERROR(__xludf.DUMMYFUNCTION("""COMPUTED_VALUE"""),"PT PATRA NIAGA")</f>
        <v>PT PATRA NIAGA</v>
      </c>
      <c r="F179" s="19"/>
      <c r="G179" s="16"/>
    </row>
    <row r="180">
      <c r="A180" s="16">
        <f>IFERROR(__xludf.DUMMYFUNCTION("""COMPUTED_VALUE"""),7.0)</f>
        <v>7</v>
      </c>
      <c r="B180" s="16" t="str">
        <f>IFERROR(__xludf.DUMMYFUNCTION("""COMPUTED_VALUE"""),"L 8303 UDD")</f>
        <v>L 8303 UDD</v>
      </c>
      <c r="C180" s="16" t="str">
        <f>IFERROR(__xludf.DUMMYFUNCTION("""COMPUTED_VALUE"""),"TLPG MEM GRESIK")</f>
        <v>TLPG MEM GRESIK</v>
      </c>
      <c r="D180" s="16" t="str">
        <f>IFERROR(__xludf.DUMMYFUNCTION("""COMPUTED_VALUE"""),"PT BAKTI NUSA PERDANA")</f>
        <v>PT BAKTI NUSA PERDANA</v>
      </c>
      <c r="F180" s="19"/>
      <c r="G180" s="16"/>
    </row>
    <row r="181">
      <c r="A181" s="16">
        <f>IFERROR(__xludf.DUMMYFUNCTION("""COMPUTED_VALUE"""),7.0)</f>
        <v>7</v>
      </c>
      <c r="B181" s="16" t="str">
        <f>IFERROR(__xludf.DUMMYFUNCTION("""COMPUTED_VALUE"""),"M 8025 UN")</f>
        <v>M 8025 UN</v>
      </c>
      <c r="C181" s="16" t="str">
        <f>IFERROR(__xludf.DUMMYFUNCTION("""COMPUTED_VALUE"""),"TLPG TJ PERAK")</f>
        <v>TLPG TJ PERAK</v>
      </c>
      <c r="D181" s="16" t="str">
        <f>IFERROR(__xludf.DUMMYFUNCTION("""COMPUTED_VALUE"""),"PT ASAPERKASA ABIMULYA")</f>
        <v>PT ASAPERKASA ABIMULYA</v>
      </c>
      <c r="F181" s="19"/>
      <c r="G181" s="16"/>
    </row>
    <row r="182">
      <c r="A182" s="16">
        <f>IFERROR(__xludf.DUMMYFUNCTION("""COMPUTED_VALUE"""),7.0)</f>
        <v>7</v>
      </c>
      <c r="B182" s="16" t="str">
        <f>IFERROR(__xludf.DUMMYFUNCTION("""COMPUTED_VALUE"""),"M 9006 UV")</f>
        <v>M 9006 UV</v>
      </c>
      <c r="C182" s="16" t="str">
        <f>IFERROR(__xludf.DUMMYFUNCTION("""COMPUTED_VALUE"""),"TLPG TJ PERAK")</f>
        <v>TLPG TJ PERAK</v>
      </c>
      <c r="D182" s="16" t="str">
        <f>IFERROR(__xludf.DUMMYFUNCTION("""COMPUTED_VALUE"""),"PT PERAK POLANA ALOMAMPA")</f>
        <v>PT PERAK POLANA ALOMAMPA</v>
      </c>
      <c r="F182" s="19"/>
      <c r="G182" s="16"/>
    </row>
    <row r="183">
      <c r="A183" s="16">
        <f>IFERROR(__xludf.DUMMYFUNCTION("""COMPUTED_VALUE"""),7.0)</f>
        <v>7</v>
      </c>
      <c r="B183" s="16" t="str">
        <f>IFERROR(__xludf.DUMMYFUNCTION("""COMPUTED_VALUE"""),"M 9757 UA")</f>
        <v>M 9757 UA</v>
      </c>
      <c r="C183" s="16" t="str">
        <f>IFERROR(__xludf.DUMMYFUNCTION("""COMPUTED_VALUE"""),"TLPG TJ PERAK")</f>
        <v>TLPG TJ PERAK</v>
      </c>
      <c r="D183" s="16" t="str">
        <f>IFERROR(__xludf.DUMMYFUNCTION("""COMPUTED_VALUE"""),"PT GAS MADURA PRATAMA")</f>
        <v>PT GAS MADURA PRATAMA</v>
      </c>
      <c r="F183" s="19"/>
      <c r="G183" s="16"/>
    </row>
    <row r="184">
      <c r="A184" s="16">
        <f>IFERROR(__xludf.DUMMYFUNCTION("""COMPUTED_VALUE"""),7.0)</f>
        <v>7</v>
      </c>
      <c r="B184" s="16" t="str">
        <f>IFERROR(__xludf.DUMMYFUNCTION("""COMPUTED_VALUE"""),"N 8183 EB")</f>
        <v>N 8183 EB</v>
      </c>
      <c r="C184" s="16" t="str">
        <f>IFERROR(__xludf.DUMMYFUNCTION("""COMPUTED_VALUE"""),"TLPG TJ PERAK")</f>
        <v>TLPG TJ PERAK</v>
      </c>
      <c r="D184" s="16" t="str">
        <f>IFERROR(__xludf.DUMMYFUNCTION("""COMPUTED_VALUE"""),"PT AGAM SEULAWAH JAYA")</f>
        <v>PT AGAM SEULAWAH JAYA</v>
      </c>
      <c r="F184" s="19"/>
      <c r="G184" s="16"/>
    </row>
    <row r="185">
      <c r="A185" s="16">
        <f>IFERROR(__xludf.DUMMYFUNCTION("""COMPUTED_VALUE"""),7.0)</f>
        <v>7</v>
      </c>
      <c r="B185" s="16" t="str">
        <f>IFERROR(__xludf.DUMMYFUNCTION("""COMPUTED_VALUE"""),"N 8657 UV")</f>
        <v>N 8657 UV</v>
      </c>
      <c r="C185" s="16" t="str">
        <f>IFERROR(__xludf.DUMMYFUNCTION("""COMPUTED_VALUE"""),"TLPG TJ PERAK")</f>
        <v>TLPG TJ PERAK</v>
      </c>
      <c r="D185" s="16" t="str">
        <f>IFERROR(__xludf.DUMMYFUNCTION("""COMPUTED_VALUE"""),"PT SURYA MITRA IMPREZA PRATAMA")</f>
        <v>PT SURYA MITRA IMPREZA PRATAMA</v>
      </c>
      <c r="F185" s="19"/>
      <c r="G185" s="16"/>
    </row>
    <row r="186">
      <c r="A186" s="16">
        <f>IFERROR(__xludf.DUMMYFUNCTION("""COMPUTED_VALUE"""),7.0)</f>
        <v>7</v>
      </c>
      <c r="B186" s="16" t="str">
        <f>IFERROR(__xludf.DUMMYFUNCTION("""COMPUTED_VALUE"""),"N 9195 UF")</f>
        <v>N 9195 UF</v>
      </c>
      <c r="C186" s="16" t="str">
        <f>IFERROR(__xludf.DUMMYFUNCTION("""COMPUTED_VALUE"""),"TLPG TJ PERAK")</f>
        <v>TLPG TJ PERAK</v>
      </c>
      <c r="D186" s="16" t="str">
        <f>IFERROR(__xludf.DUMMYFUNCTION("""COMPUTED_VALUE"""),"PT LAJU")</f>
        <v>PT LAJU</v>
      </c>
      <c r="F186" s="19"/>
      <c r="G186" s="16"/>
    </row>
    <row r="187">
      <c r="A187" s="16">
        <f>IFERROR(__xludf.DUMMYFUNCTION("""COMPUTED_VALUE"""),7.0)</f>
        <v>7</v>
      </c>
      <c r="B187" s="16" t="str">
        <f>IFERROR(__xludf.DUMMYFUNCTION("""COMPUTED_VALUE"""),"P 8046 Uf")</f>
        <v>P 8046 Uf</v>
      </c>
      <c r="C187" s="16" t="str">
        <f>IFERROR(__xludf.DUMMYFUNCTION("""COMPUTED_VALUE"""),"TLPG TJ WANGI")</f>
        <v>TLPG TJ WANGI</v>
      </c>
      <c r="D187" s="16" t="str">
        <f>IFERROR(__xludf.DUMMYFUNCTION("""COMPUTED_VALUE"""),"Data Company Belum Ada")</f>
        <v>Data Company Belum Ada</v>
      </c>
      <c r="F187" s="19"/>
      <c r="G187" s="16"/>
    </row>
    <row r="188">
      <c r="A188" s="16">
        <f>IFERROR(__xludf.DUMMYFUNCTION("""COMPUTED_VALUE"""),7.0)</f>
        <v>7</v>
      </c>
      <c r="B188" s="16" t="str">
        <f>IFERROR(__xludf.DUMMYFUNCTION("""COMPUTED_VALUE"""),"P 8176 UW")</f>
        <v>P 8176 UW</v>
      </c>
      <c r="C188" s="16" t="str">
        <f>IFERROR(__xludf.DUMMYFUNCTION("""COMPUTED_VALUE"""),"TLPG TJ WANGI")</f>
        <v>TLPG TJ WANGI</v>
      </c>
      <c r="D188" s="16" t="str">
        <f>IFERROR(__xludf.DUMMYFUNCTION("""COMPUTED_VALUE"""),"PT ARGOPURO MAJU SUKSES")</f>
        <v>PT ARGOPURO MAJU SUKSES</v>
      </c>
      <c r="F188" s="19"/>
      <c r="G188" s="16"/>
    </row>
    <row r="189">
      <c r="A189" s="16">
        <f>IFERROR(__xludf.DUMMYFUNCTION("""COMPUTED_VALUE"""),7.0)</f>
        <v>7</v>
      </c>
      <c r="B189" s="16" t="str">
        <f>IFERROR(__xludf.DUMMYFUNCTION("""COMPUTED_VALUE"""),"P 8824 UI")</f>
        <v>P 8824 UI</v>
      </c>
      <c r="C189" s="16" t="str">
        <f>IFERROR(__xludf.DUMMYFUNCTION("""COMPUTED_VALUE"""),"TLPG TJ WANGI")</f>
        <v>TLPG TJ WANGI</v>
      </c>
      <c r="D189" s="16" t="str">
        <f>IFERROR(__xludf.DUMMYFUNCTION("""COMPUTED_VALUE"""),"PT SUMBER MAKMUR MEGAH ABADI")</f>
        <v>PT SUMBER MAKMUR MEGAH ABADI</v>
      </c>
      <c r="F189" s="19"/>
      <c r="G189" s="16"/>
    </row>
    <row r="190">
      <c r="A190" s="16">
        <f>IFERROR(__xludf.DUMMYFUNCTION("""COMPUTED_VALUE"""),7.0)</f>
        <v>7</v>
      </c>
      <c r="B190" s="16" t="str">
        <f>IFERROR(__xludf.DUMMYFUNCTION("""COMPUTED_VALUE"""),"S 8848 UF")</f>
        <v>S 8848 UF</v>
      </c>
      <c r="C190" s="16" t="str">
        <f>IFERROR(__xludf.DUMMYFUNCTION("""COMPUTED_VALUE"""),"TLPG MEM GRESIK")</f>
        <v>TLPG MEM GRESIK</v>
      </c>
      <c r="D190" s="16" t="str">
        <f>IFERROR(__xludf.DUMMYFUNCTION("""COMPUTED_VALUE"""),"PT NAUMI ARUMAH ZOE")</f>
        <v>PT NAUMI ARUMAH ZOE</v>
      </c>
      <c r="F190" s="19"/>
      <c r="G190" s="16"/>
    </row>
    <row r="191">
      <c r="A191" s="16">
        <f>IFERROR(__xludf.DUMMYFUNCTION("""COMPUTED_VALUE"""),7.0)</f>
        <v>7</v>
      </c>
      <c r="B191" s="16" t="str">
        <f>IFERROR(__xludf.DUMMYFUNCTION("""COMPUTED_VALUE"""),"S 8977 UL")</f>
        <v>S 8977 UL</v>
      </c>
      <c r="C191" s="16" t="str">
        <f>IFERROR(__xludf.DUMMYFUNCTION("""COMPUTED_VALUE"""),"TLPG TJ PERAK")</f>
        <v>TLPG TJ PERAK</v>
      </c>
      <c r="D191" s="16" t="str">
        <f>IFERROR(__xludf.DUMMYFUNCTION("""COMPUTED_VALUE"""),"PT SRI MUKTI RAYA")</f>
        <v>PT SRI MUKTI RAYA</v>
      </c>
      <c r="F191" s="19"/>
      <c r="G191" s="16"/>
    </row>
    <row r="192">
      <c r="A192" s="16">
        <f>IFERROR(__xludf.DUMMYFUNCTION("""COMPUTED_VALUE"""),7.0)</f>
        <v>7</v>
      </c>
      <c r="B192" s="16" t="str">
        <f>IFERROR(__xludf.DUMMYFUNCTION("""COMPUTED_VALUE"""),"S 9611 UJ")</f>
        <v>S 9611 UJ</v>
      </c>
      <c r="C192" s="16" t="str">
        <f>IFERROR(__xludf.DUMMYFUNCTION("""COMPUTED_VALUE"""),"TLPG TJ PERAK")</f>
        <v>TLPG TJ PERAK</v>
      </c>
      <c r="D192" s="16" t="str">
        <f>IFERROR(__xludf.DUMMYFUNCTION("""COMPUTED_VALUE"""),"PT CATUR MITRA LAMONGAN PRIMA GAS")</f>
        <v>PT CATUR MITRA LAMONGAN PRIMA GAS</v>
      </c>
      <c r="F192" s="19"/>
      <c r="G192" s="16"/>
    </row>
    <row r="193">
      <c r="A193" s="16">
        <f>IFERROR(__xludf.DUMMYFUNCTION("""COMPUTED_VALUE"""),7.0)</f>
        <v>7</v>
      </c>
      <c r="B193" s="16" t="str">
        <f>IFERROR(__xludf.DUMMYFUNCTION("""COMPUTED_VALUE"""),"W 8729 QD")</f>
        <v>W 8729 QD</v>
      </c>
      <c r="C193" s="16" t="str">
        <f>IFERROR(__xludf.DUMMYFUNCTION("""COMPUTED_VALUE"""),"TLPG TJ PERAK")</f>
        <v>TLPG TJ PERAK</v>
      </c>
      <c r="D193" s="16" t="str">
        <f>IFERROR(__xludf.DUMMYFUNCTION("""COMPUTED_VALUE"""),"PT SUMAN GAUNG PERSADA")</f>
        <v>PT SUMAN GAUNG PERSADA</v>
      </c>
      <c r="F193" s="19"/>
      <c r="G193" s="16"/>
    </row>
    <row r="194">
      <c r="A194" s="32">
        <f>IFERROR(__xludf.DUMMYFUNCTION("""COMPUTED_VALUE"""),8.0)</f>
        <v>8</v>
      </c>
      <c r="B194" s="32" t="str">
        <f>IFERROR(__xludf.DUMMYFUNCTION("""COMPUTED_VALUE"""),"AE 8846 UT")</f>
        <v>AE 8846 UT</v>
      </c>
      <c r="C194" s="32" t="str">
        <f>IFERROR(__xludf.DUMMYFUNCTION("""COMPUTED_VALUE"""),"TLPG TJ PERAK")</f>
        <v>TLPG TJ PERAK</v>
      </c>
      <c r="D194" s="32" t="str">
        <f>IFERROR(__xludf.DUMMYFUNCTION("""COMPUTED_VALUE"""),"PT BUANA KARYA SURYA PRATAMA")</f>
        <v>PT BUANA KARYA SURYA PRATAMA</v>
      </c>
      <c r="E194" s="33" t="s">
        <v>463</v>
      </c>
      <c r="F194" s="19"/>
      <c r="G194" s="16"/>
    </row>
    <row r="195">
      <c r="A195" s="32">
        <f>IFERROR(__xludf.DUMMYFUNCTION("""COMPUTED_VALUE"""),8.0)</f>
        <v>8</v>
      </c>
      <c r="B195" s="32" t="str">
        <f>IFERROR(__xludf.DUMMYFUNCTION("""COMPUTED_VALUE"""),"AG 8093 EI")</f>
        <v>AG 8093 EI</v>
      </c>
      <c r="C195" s="32" t="str">
        <f>IFERROR(__xludf.DUMMYFUNCTION("""COMPUTED_VALUE"""),"TLPG MEM GRESIK")</f>
        <v>TLPG MEM GRESIK</v>
      </c>
      <c r="D195" s="32" t="str">
        <f>IFERROR(__xludf.DUMMYFUNCTION("""COMPUTED_VALUE"""),"PT RADIMA JAYA KEDIRI")</f>
        <v>PT RADIMA JAYA KEDIRI</v>
      </c>
      <c r="F195" s="19"/>
      <c r="G195" s="16"/>
    </row>
    <row r="196">
      <c r="A196" s="32">
        <f>IFERROR(__xludf.DUMMYFUNCTION("""COMPUTED_VALUE"""),8.0)</f>
        <v>8</v>
      </c>
      <c r="B196" s="32" t="str">
        <f>IFERROR(__xludf.DUMMYFUNCTION("""COMPUTED_VALUE"""),"AG 8818 UK")</f>
        <v>AG 8818 UK</v>
      </c>
      <c r="C196" s="32" t="str">
        <f>IFERROR(__xludf.DUMMYFUNCTION("""COMPUTED_VALUE"""),"TLPG TJ PERAK")</f>
        <v>TLPG TJ PERAK</v>
      </c>
      <c r="D196" s="32" t="str">
        <f>IFERROR(__xludf.DUMMYFUNCTION("""COMPUTED_VALUE"""),"PT RAMA MANGGALA GAS")</f>
        <v>PT RAMA MANGGALA GAS</v>
      </c>
      <c r="F196" s="19"/>
      <c r="G196" s="16"/>
    </row>
    <row r="197">
      <c r="A197" s="32">
        <f>IFERROR(__xludf.DUMMYFUNCTION("""COMPUTED_VALUE"""),8.0)</f>
        <v>8</v>
      </c>
      <c r="B197" s="32" t="str">
        <f>IFERROR(__xludf.DUMMYFUNCTION("""COMPUTED_VALUE"""),"AG 8893 YK")</f>
        <v>AG 8893 YK</v>
      </c>
      <c r="C197" s="32" t="str">
        <f>IFERROR(__xludf.DUMMYFUNCTION("""COMPUTED_VALUE"""),"TLPG TJ PERAK")</f>
        <v>TLPG TJ PERAK</v>
      </c>
      <c r="D197" s="32" t="str">
        <f>IFERROR(__xludf.DUMMYFUNCTION("""COMPUTED_VALUE"""),"PT BINTANG CIPTA PERSADA")</f>
        <v>PT BINTANG CIPTA PERSADA</v>
      </c>
      <c r="F197" s="19"/>
      <c r="G197" s="16"/>
    </row>
    <row r="198">
      <c r="A198" s="32">
        <f>IFERROR(__xludf.DUMMYFUNCTION("""COMPUTED_VALUE"""),8.0)</f>
        <v>8</v>
      </c>
      <c r="B198" s="32" t="str">
        <f>IFERROR(__xludf.DUMMYFUNCTION("""COMPUTED_VALUE"""),"B 9868 SFV")</f>
        <v>B 9868 SFV</v>
      </c>
      <c r="C198" s="32" t="str">
        <f>IFERROR(__xludf.DUMMYFUNCTION("""COMPUTED_VALUE"""),"TLPG MEM GRESIK")</f>
        <v>TLPG MEM GRESIK</v>
      </c>
      <c r="D198" s="32" t="str">
        <f>IFERROR(__xludf.DUMMYFUNCTION("""COMPUTED_VALUE"""),"PT PATRA LOGISTIK")</f>
        <v>PT PATRA LOGISTIK</v>
      </c>
      <c r="F198" s="19"/>
      <c r="G198" s="16"/>
    </row>
    <row r="199">
      <c r="A199" s="32">
        <f>IFERROR(__xludf.DUMMYFUNCTION("""COMPUTED_VALUE"""),8.0)</f>
        <v>8</v>
      </c>
      <c r="B199" s="32" t="str">
        <f>IFERROR(__xludf.DUMMYFUNCTION("""COMPUTED_VALUE"""),"B 9880 SFU")</f>
        <v>B 9880 SFU</v>
      </c>
      <c r="C199" s="32" t="str">
        <f>IFERROR(__xludf.DUMMYFUNCTION("""COMPUTED_VALUE"""),"TLPG MEM GRESIK")</f>
        <v>TLPG MEM GRESIK</v>
      </c>
      <c r="D199" s="32" t="str">
        <f>IFERROR(__xludf.DUMMYFUNCTION("""COMPUTED_VALUE"""),"PT PATRA NIAGA")</f>
        <v>PT PATRA NIAGA</v>
      </c>
      <c r="F199" s="19"/>
      <c r="G199" s="16"/>
    </row>
    <row r="200">
      <c r="A200" s="32">
        <f>IFERROR(__xludf.DUMMYFUNCTION("""COMPUTED_VALUE"""),8.0)</f>
        <v>8</v>
      </c>
      <c r="B200" s="32" t="str">
        <f>IFERROR(__xludf.DUMMYFUNCTION("""COMPUTED_VALUE"""),"DK 8011 UK")</f>
        <v>DK 8011 UK</v>
      </c>
      <c r="C200" s="32" t="str">
        <f>IFERROR(__xludf.DUMMYFUNCTION("""COMPUTED_VALUE"""),"TLPG MANGGIS")</f>
        <v>TLPG MANGGIS</v>
      </c>
      <c r="D200" s="32" t="str">
        <f>IFERROR(__xludf.DUMMYFUNCTION("""COMPUTED_VALUE"""),"SPPBE-PT. Ayu Sari Pertiwi")</f>
        <v>SPPBE-PT. Ayu Sari Pertiwi</v>
      </c>
      <c r="F200" s="19"/>
      <c r="G200" s="16"/>
    </row>
    <row r="201">
      <c r="A201" s="32">
        <f>IFERROR(__xludf.DUMMYFUNCTION("""COMPUTED_VALUE"""),8.0)</f>
        <v>8</v>
      </c>
      <c r="B201" s="32" t="str">
        <f>IFERROR(__xludf.DUMMYFUNCTION("""COMPUTED_VALUE"""),"DK 8533 CE")</f>
        <v>DK 8533 CE</v>
      </c>
      <c r="C201" s="32" t="str">
        <f>IFERROR(__xludf.DUMMYFUNCTION("""COMPUTED_VALUE"""),"TLPG MANGGIS")</f>
        <v>TLPG MANGGIS</v>
      </c>
      <c r="D201" s="32" t="str">
        <f>IFERROR(__xludf.DUMMYFUNCTION("""COMPUTED_VALUE"""),"PT HELA CITRA AGUNG")</f>
        <v>PT HELA CITRA AGUNG</v>
      </c>
      <c r="F201" s="19"/>
      <c r="G201" s="16"/>
    </row>
    <row r="202">
      <c r="A202" s="32">
        <f>IFERROR(__xludf.DUMMYFUNCTION("""COMPUTED_VALUE"""),8.0)</f>
        <v>8</v>
      </c>
      <c r="B202" s="32" t="str">
        <f>IFERROR(__xludf.DUMMYFUNCTION("""COMPUTED_VALUE"""),"DK 8565 BS")</f>
        <v>DK 8565 BS</v>
      </c>
      <c r="C202" s="32" t="str">
        <f>IFERROR(__xludf.DUMMYFUNCTION("""COMPUTED_VALUE"""),"TLPG MANGGIS")</f>
        <v>TLPG MANGGIS</v>
      </c>
      <c r="D202" s="32" t="str">
        <f>IFERROR(__xludf.DUMMYFUNCTION("""COMPUTED_VALUE"""),"SPPBE-PT. Pande Agung Dewata")</f>
        <v>SPPBE-PT. Pande Agung Dewata</v>
      </c>
      <c r="F202" s="19"/>
      <c r="G202" s="16"/>
    </row>
    <row r="203">
      <c r="A203" s="32">
        <f>IFERROR(__xludf.DUMMYFUNCTION("""COMPUTED_VALUE"""),8.0)</f>
        <v>8</v>
      </c>
      <c r="B203" s="32" t="str">
        <f>IFERROR(__xludf.DUMMYFUNCTION("""COMPUTED_VALUE"""),"DK 8636 BE")</f>
        <v>DK 8636 BE</v>
      </c>
      <c r="C203" s="32" t="str">
        <f>IFERROR(__xludf.DUMMYFUNCTION("""COMPUTED_VALUE"""),"TLPG MANGGIS")</f>
        <v>TLPG MANGGIS</v>
      </c>
      <c r="D203" s="32" t="str">
        <f>IFERROR(__xludf.DUMMYFUNCTION("""COMPUTED_VALUE"""),"PT CAHAYA ASTIKA DHARMA")</f>
        <v>PT CAHAYA ASTIKA DHARMA</v>
      </c>
      <c r="F203" s="19"/>
      <c r="G203" s="16"/>
    </row>
    <row r="204">
      <c r="A204" s="32">
        <f>IFERROR(__xludf.DUMMYFUNCTION("""COMPUTED_VALUE"""),8.0)</f>
        <v>8</v>
      </c>
      <c r="B204" s="32" t="str">
        <f>IFERROR(__xludf.DUMMYFUNCTION("""COMPUTED_VALUE"""),"DK 8735 DQ")</f>
        <v>DK 8735 DQ</v>
      </c>
      <c r="C204" s="32" t="str">
        <f>IFERROR(__xludf.DUMMYFUNCTION("""COMPUTED_VALUE"""),"TLPG MANGGIS")</f>
        <v>TLPG MANGGIS</v>
      </c>
      <c r="D204" s="32" t="str">
        <f>IFERROR(__xludf.DUMMYFUNCTION("""COMPUTED_VALUE"""),"SPPBE-PT. Candra Karya Gas")</f>
        <v>SPPBE-PT. Candra Karya Gas</v>
      </c>
      <c r="F204" s="19"/>
      <c r="G204" s="16"/>
    </row>
    <row r="205">
      <c r="A205" s="32">
        <f>IFERROR(__xludf.DUMMYFUNCTION("""COMPUTED_VALUE"""),8.0)</f>
        <v>8</v>
      </c>
      <c r="B205" s="32" t="str">
        <f>IFERROR(__xludf.DUMMYFUNCTION("""COMPUTED_VALUE"""),"DR 8481 KO")</f>
        <v>DR 8481 KO</v>
      </c>
      <c r="C205" s="32" t="str">
        <f>IFERROR(__xludf.DUMMYFUNCTION("""COMPUTED_VALUE"""),"TLPG LOMBOK")</f>
        <v>TLPG LOMBOK</v>
      </c>
      <c r="D205" s="32" t="str">
        <f>IFERROR(__xludf.DUMMYFUNCTION("""COMPUTED_VALUE"""),"Data Company Belum Ada")</f>
        <v>Data Company Belum Ada</v>
      </c>
      <c r="F205" s="19"/>
      <c r="G205" s="16"/>
    </row>
    <row r="206">
      <c r="A206" s="32">
        <f>IFERROR(__xludf.DUMMYFUNCTION("""COMPUTED_VALUE"""),8.0)</f>
        <v>8</v>
      </c>
      <c r="B206" s="32" t="str">
        <f>IFERROR(__xludf.DUMMYFUNCTION("""COMPUTED_VALUE"""),"EA 8677 SC")</f>
        <v>EA 8677 SC</v>
      </c>
      <c r="C206" s="32" t="str">
        <f>IFERROR(__xludf.DUMMYFUNCTION("""COMPUTED_VALUE"""),"TLPG BIMA")</f>
        <v>TLPG BIMA</v>
      </c>
      <c r="D206" s="32" t="str">
        <f>IFERROR(__xludf.DUMMYFUNCTION("""COMPUTED_VALUE"""),"Data Company Belum Ada")</f>
        <v>Data Company Belum Ada</v>
      </c>
      <c r="F206" s="19"/>
      <c r="G206" s="16"/>
    </row>
    <row r="207">
      <c r="A207" s="32">
        <f>IFERROR(__xludf.DUMMYFUNCTION("""COMPUTED_VALUE"""),8.0)</f>
        <v>8</v>
      </c>
      <c r="B207" s="32" t="str">
        <f>IFERROR(__xludf.DUMMYFUNCTION("""COMPUTED_VALUE"""),"L 8115 UUC")</f>
        <v>L 8115 UUC</v>
      </c>
      <c r="C207" s="32" t="str">
        <f>IFERROR(__xludf.DUMMYFUNCTION("""COMPUTED_VALUE"""),"TLPG LOMBOK")</f>
        <v>TLPG LOMBOK</v>
      </c>
      <c r="D207" s="32" t="str">
        <f>IFERROR(__xludf.DUMMYFUNCTION("""COMPUTED_VALUE"""),"SPPBE-PT. Surya Adiguna Indogas")</f>
        <v>SPPBE-PT. Surya Adiguna Indogas</v>
      </c>
      <c r="F207" s="19"/>
      <c r="G207" s="16"/>
    </row>
    <row r="208">
      <c r="A208" s="32">
        <f>IFERROR(__xludf.DUMMYFUNCTION("""COMPUTED_VALUE"""),8.0)</f>
        <v>8</v>
      </c>
      <c r="B208" s="32" t="str">
        <f>IFERROR(__xludf.DUMMYFUNCTION("""COMPUTED_VALUE"""),"L 8537 UD")</f>
        <v>L 8537 UD</v>
      </c>
      <c r="C208" s="32" t="str">
        <f>IFERROR(__xludf.DUMMYFUNCTION("""COMPUTED_VALUE"""),"TLPG TJ PERAK")</f>
        <v>TLPG TJ PERAK</v>
      </c>
      <c r="D208" s="32" t="str">
        <f>IFERROR(__xludf.DUMMYFUNCTION("""COMPUTED_VALUE"""),"PT GOENADI GASINDO PRATAMA")</f>
        <v>PT GOENADI GASINDO PRATAMA</v>
      </c>
      <c r="F208" s="19"/>
      <c r="G208" s="16"/>
    </row>
    <row r="209">
      <c r="A209" s="32">
        <f>IFERROR(__xludf.DUMMYFUNCTION("""COMPUTED_VALUE"""),8.0)</f>
        <v>8</v>
      </c>
      <c r="B209" s="32" t="str">
        <f>IFERROR(__xludf.DUMMYFUNCTION("""COMPUTED_VALUE"""),"L 9552 UW")</f>
        <v>L 9552 UW</v>
      </c>
      <c r="C209" s="32" t="str">
        <f>IFERROR(__xludf.DUMMYFUNCTION("""COMPUTED_VALUE"""),"TLPG MEM GRESIK")</f>
        <v>TLPG MEM GRESIK</v>
      </c>
      <c r="D209" s="32" t="str">
        <f>IFERROR(__xludf.DUMMYFUNCTION("""COMPUTED_VALUE"""),"PT UNIVERSAL ENERGY PRATAMA")</f>
        <v>PT UNIVERSAL ENERGY PRATAMA</v>
      </c>
      <c r="F209" s="19"/>
      <c r="G209" s="16"/>
    </row>
    <row r="210">
      <c r="A210" s="32">
        <f>IFERROR(__xludf.DUMMYFUNCTION("""COMPUTED_VALUE"""),8.0)</f>
        <v>8</v>
      </c>
      <c r="B210" s="32" t="str">
        <f>IFERROR(__xludf.DUMMYFUNCTION("""COMPUTED_VALUE"""),"L 9718 UD")</f>
        <v>L 9718 UD</v>
      </c>
      <c r="C210" s="32" t="str">
        <f>IFERROR(__xludf.DUMMYFUNCTION("""COMPUTED_VALUE"""),"TLPG TJ PERAK")</f>
        <v>TLPG TJ PERAK</v>
      </c>
      <c r="D210" s="32" t="str">
        <f>IFERROR(__xludf.DUMMYFUNCTION("""COMPUTED_VALUE"""),"PT GEHA INTI CITRA")</f>
        <v>PT GEHA INTI CITRA</v>
      </c>
      <c r="F210" s="19"/>
      <c r="G210" s="16"/>
    </row>
    <row r="211">
      <c r="A211" s="32">
        <f>IFERROR(__xludf.DUMMYFUNCTION("""COMPUTED_VALUE"""),8.0)</f>
        <v>8</v>
      </c>
      <c r="B211" s="32" t="str">
        <f>IFERROR(__xludf.DUMMYFUNCTION("""COMPUTED_VALUE"""),"L 9837 UJ")</f>
        <v>L 9837 UJ</v>
      </c>
      <c r="C211" s="32" t="str">
        <f>IFERROR(__xludf.DUMMYFUNCTION("""COMPUTED_VALUE"""),"TLPG MEM GRESIK")</f>
        <v>TLPG MEM GRESIK</v>
      </c>
      <c r="D211" s="32" t="str">
        <f>IFERROR(__xludf.DUMMYFUNCTION("""COMPUTED_VALUE"""),"PT PATRA NIAGA")</f>
        <v>PT PATRA NIAGA</v>
      </c>
      <c r="F211" s="19"/>
      <c r="G211" s="16"/>
    </row>
    <row r="212">
      <c r="A212" s="32">
        <f>IFERROR(__xludf.DUMMYFUNCTION("""COMPUTED_VALUE"""),8.0)</f>
        <v>8</v>
      </c>
      <c r="B212" s="32" t="str">
        <f>IFERROR(__xludf.DUMMYFUNCTION("""COMPUTED_VALUE"""),"M 8016 UV")</f>
        <v>M 8016 UV</v>
      </c>
      <c r="C212" s="32" t="str">
        <f>IFERROR(__xludf.DUMMYFUNCTION("""COMPUTED_VALUE"""),"TLPG TJ PERAK")</f>
        <v>TLPG TJ PERAK</v>
      </c>
      <c r="D212" s="32" t="str">
        <f>IFERROR(__xludf.DUMMYFUNCTION("""COMPUTED_VALUE"""),"PT MITRA MADURA DHARMA ABADI")</f>
        <v>PT MITRA MADURA DHARMA ABADI</v>
      </c>
      <c r="F212" s="19"/>
      <c r="G212" s="16"/>
    </row>
    <row r="213">
      <c r="A213" s="32">
        <f>IFERROR(__xludf.DUMMYFUNCTION("""COMPUTED_VALUE"""),8.0)</f>
        <v>8</v>
      </c>
      <c r="B213" s="32" t="str">
        <f>IFERROR(__xludf.DUMMYFUNCTION("""COMPUTED_VALUE"""),"M 9321 UV")</f>
        <v>M 9321 UV</v>
      </c>
      <c r="C213" s="32" t="str">
        <f>IFERROR(__xludf.DUMMYFUNCTION("""COMPUTED_VALUE"""),"TLPG TJ PERAK")</f>
        <v>TLPG TJ PERAK</v>
      </c>
      <c r="D213" s="32" t="str">
        <f>IFERROR(__xludf.DUMMYFUNCTION("""COMPUTED_VALUE"""),"PT PERAK POLANA ALOMAMPA")</f>
        <v>PT PERAK POLANA ALOMAMPA</v>
      </c>
      <c r="F213" s="19"/>
      <c r="G213" s="16"/>
    </row>
    <row r="214">
      <c r="A214" s="32">
        <f>IFERROR(__xludf.DUMMYFUNCTION("""COMPUTED_VALUE"""),8.0)</f>
        <v>8</v>
      </c>
      <c r="B214" s="32" t="str">
        <f>IFERROR(__xludf.DUMMYFUNCTION("""COMPUTED_VALUE"""),"M 9489 UN")</f>
        <v>M 9489 UN</v>
      </c>
      <c r="C214" s="32" t="str">
        <f>IFERROR(__xludf.DUMMYFUNCTION("""COMPUTED_VALUE"""),"TLPG TJ PERAK")</f>
        <v>TLPG TJ PERAK</v>
      </c>
      <c r="D214" s="32" t="str">
        <f>IFERROR(__xludf.DUMMYFUNCTION("""COMPUTED_VALUE"""),"PT ASAPERKASA ABIMULYA")</f>
        <v>PT ASAPERKASA ABIMULYA</v>
      </c>
      <c r="F214" s="19"/>
      <c r="G214" s="16"/>
    </row>
    <row r="215">
      <c r="A215" s="32">
        <f>IFERROR(__xludf.DUMMYFUNCTION("""COMPUTED_VALUE"""),8.0)</f>
        <v>8</v>
      </c>
      <c r="B215" s="32" t="str">
        <f>IFERROR(__xludf.DUMMYFUNCTION("""COMPUTED_VALUE"""),"N 8327 ED")</f>
        <v>N 8327 ED</v>
      </c>
      <c r="C215" s="32" t="str">
        <f>IFERROR(__xludf.DUMMYFUNCTION("""COMPUTED_VALUE"""),"TLPG TJ PERAK")</f>
        <v>TLPG TJ PERAK</v>
      </c>
      <c r="D215" s="32" t="str">
        <f>IFERROR(__xludf.DUMMYFUNCTION("""COMPUTED_VALUE"""),"PT AGAM SEULAWAH JAYA")</f>
        <v>PT AGAM SEULAWAH JAYA</v>
      </c>
      <c r="F215" s="19"/>
      <c r="G215" s="16"/>
    </row>
    <row r="216">
      <c r="A216" s="32">
        <f>IFERROR(__xludf.DUMMYFUNCTION("""COMPUTED_VALUE"""),8.0)</f>
        <v>8</v>
      </c>
      <c r="B216" s="32" t="str">
        <f>IFERROR(__xludf.DUMMYFUNCTION("""COMPUTED_VALUE"""),"N 8673 UV")</f>
        <v>N 8673 UV</v>
      </c>
      <c r="C216" s="32" t="str">
        <f>IFERROR(__xludf.DUMMYFUNCTION("""COMPUTED_VALUE"""),"TLPG TJ PERAK")</f>
        <v>TLPG TJ PERAK</v>
      </c>
      <c r="D216" s="32" t="str">
        <f>IFERROR(__xludf.DUMMYFUNCTION("""COMPUTED_VALUE"""),"PT BUANATAMA CAHAYA LESTARI")</f>
        <v>PT BUANATAMA CAHAYA LESTARI</v>
      </c>
      <c r="F216" s="19"/>
      <c r="G216" s="16"/>
    </row>
    <row r="217">
      <c r="A217" s="32">
        <f>IFERROR(__xludf.DUMMYFUNCTION("""COMPUTED_VALUE"""),8.0)</f>
        <v>8</v>
      </c>
      <c r="B217" s="32" t="str">
        <f>IFERROR(__xludf.DUMMYFUNCTION("""COMPUTED_VALUE"""),"P 8018 UF")</f>
        <v>P 8018 UF</v>
      </c>
      <c r="C217" s="32" t="str">
        <f>IFERROR(__xludf.DUMMYFUNCTION("""COMPUTED_VALUE"""),"TLPG TJ WANGI")</f>
        <v>TLPG TJ WANGI</v>
      </c>
      <c r="D217" s="32" t="str">
        <f>IFERROR(__xludf.DUMMYFUNCTION("""COMPUTED_VALUE"""),"Data Company Belum Ada")</f>
        <v>Data Company Belum Ada</v>
      </c>
      <c r="F217" s="19"/>
      <c r="G217" s="16"/>
    </row>
    <row r="218">
      <c r="A218" s="32">
        <f>IFERROR(__xludf.DUMMYFUNCTION("""COMPUTED_VALUE"""),8.0)</f>
        <v>8</v>
      </c>
      <c r="B218" s="32" t="str">
        <f>IFERROR(__xludf.DUMMYFUNCTION("""COMPUTED_VALUE"""),"S 8940 UF")</f>
        <v>S 8940 UF</v>
      </c>
      <c r="C218" s="32" t="str">
        <f>IFERROR(__xludf.DUMMYFUNCTION("""COMPUTED_VALUE"""),"TLPG MEM GRESIK")</f>
        <v>TLPG MEM GRESIK</v>
      </c>
      <c r="D218" s="32" t="str">
        <f>IFERROR(__xludf.DUMMYFUNCTION("""COMPUTED_VALUE"""),"PT NAUMI ARUMAH ZOE")</f>
        <v>PT NAUMI ARUMAH ZOE</v>
      </c>
      <c r="F218" s="19"/>
      <c r="G218" s="16"/>
    </row>
    <row r="219">
      <c r="A219" s="32">
        <f>IFERROR(__xludf.DUMMYFUNCTION("""COMPUTED_VALUE"""),8.0)</f>
        <v>8</v>
      </c>
      <c r="B219" s="32" t="str">
        <f>IFERROR(__xludf.DUMMYFUNCTION("""COMPUTED_VALUE"""),"S 9010 NI")</f>
        <v>S 9010 NI</v>
      </c>
      <c r="C219" s="32" t="str">
        <f>IFERROR(__xludf.DUMMYFUNCTION("""COMPUTED_VALUE"""),"TLPG TJ PERAK")</f>
        <v>TLPG TJ PERAK</v>
      </c>
      <c r="D219" s="32" t="str">
        <f>IFERROR(__xludf.DUMMYFUNCTION("""COMPUTED_VALUE"""),"PT PATERMAN PETRONIAGA")</f>
        <v>PT PATERMAN PETRONIAGA</v>
      </c>
      <c r="F219" s="19"/>
      <c r="G219" s="16"/>
    </row>
    <row r="220">
      <c r="A220" s="32">
        <f>IFERROR(__xludf.DUMMYFUNCTION("""COMPUTED_VALUE"""),8.0)</f>
        <v>8</v>
      </c>
      <c r="B220" s="32" t="str">
        <f>IFERROR(__xludf.DUMMYFUNCTION("""COMPUTED_VALUE"""),"S 9614 UJ")</f>
        <v>S 9614 UJ</v>
      </c>
      <c r="C220" s="32" t="str">
        <f>IFERROR(__xludf.DUMMYFUNCTION("""COMPUTED_VALUE"""),"TLPG TJ PERAK")</f>
        <v>TLPG TJ PERAK</v>
      </c>
      <c r="D220" s="32" t="str">
        <f>IFERROR(__xludf.DUMMYFUNCTION("""COMPUTED_VALUE"""),"PT CATUR MITRA LAMONGAN PRIMA GAS")</f>
        <v>PT CATUR MITRA LAMONGAN PRIMA GAS</v>
      </c>
      <c r="F220" s="19"/>
      <c r="G220" s="16"/>
    </row>
    <row r="221">
      <c r="A221" s="32">
        <f>IFERROR(__xludf.DUMMYFUNCTION("""COMPUTED_VALUE"""),8.0)</f>
        <v>8</v>
      </c>
      <c r="B221" s="32" t="str">
        <f>IFERROR(__xludf.DUMMYFUNCTION("""COMPUTED_VALUE"""),"W 8193 PF")</f>
        <v>W 8193 PF</v>
      </c>
      <c r="C221" s="32" t="str">
        <f>IFERROR(__xludf.DUMMYFUNCTION("""COMPUTED_VALUE"""),"TLPG TJ PERAK")</f>
        <v>TLPG TJ PERAK</v>
      </c>
      <c r="D221" s="32" t="str">
        <f>IFERROR(__xludf.DUMMYFUNCTION("""COMPUTED_VALUE"""),"PT BONGKARAN ENERGI")</f>
        <v>PT BONGKARAN ENERGI</v>
      </c>
      <c r="F221" s="19"/>
      <c r="G221" s="16"/>
    </row>
    <row r="222">
      <c r="A222" s="16">
        <f>IFERROR(__xludf.DUMMYFUNCTION("""COMPUTED_VALUE"""),9.0)</f>
        <v>9</v>
      </c>
      <c r="B222" s="16" t="str">
        <f>IFERROR(__xludf.DUMMYFUNCTION("""COMPUTED_VALUE"""),"AE 8857 UT")</f>
        <v>AE 8857 UT</v>
      </c>
      <c r="C222" s="16" t="str">
        <f>IFERROR(__xludf.DUMMYFUNCTION("""COMPUTED_VALUE"""),"TLPG TJ PERAK")</f>
        <v>TLPG TJ PERAK</v>
      </c>
      <c r="D222" s="16" t="str">
        <f>IFERROR(__xludf.DUMMYFUNCTION("""COMPUTED_VALUE"""),"PT BUANA KARYA SURYA PRATAMA")</f>
        <v>PT BUANA KARYA SURYA PRATAMA</v>
      </c>
      <c r="E222" s="18" t="s">
        <v>478</v>
      </c>
      <c r="F222" s="19"/>
      <c r="G222" s="16"/>
    </row>
    <row r="223">
      <c r="A223" s="16">
        <f>IFERROR(__xludf.DUMMYFUNCTION("""COMPUTED_VALUE"""),9.0)</f>
        <v>9</v>
      </c>
      <c r="B223" s="16" t="str">
        <f>IFERROR(__xludf.DUMMYFUNCTION("""COMPUTED_VALUE"""),"AE 9634 UJ")</f>
        <v>AE 9634 UJ</v>
      </c>
      <c r="C223" s="16" t="str">
        <f>IFERROR(__xludf.DUMMYFUNCTION("""COMPUTED_VALUE"""),"TLPG TJ PERAK")</f>
        <v>TLPG TJ PERAK</v>
      </c>
      <c r="D223" s="16" t="str">
        <f>IFERROR(__xludf.DUMMYFUNCTION("""COMPUTED_VALUE"""),"PT KARYA USAHA MANDIRI LESTARI")</f>
        <v>PT KARYA USAHA MANDIRI LESTARI</v>
      </c>
      <c r="F223" s="19"/>
      <c r="G223" s="16"/>
    </row>
    <row r="224">
      <c r="A224" s="16">
        <f>IFERROR(__xludf.DUMMYFUNCTION("""COMPUTED_VALUE"""),9.0)</f>
        <v>9</v>
      </c>
      <c r="B224" s="16" t="str">
        <f>IFERROR(__xludf.DUMMYFUNCTION("""COMPUTED_VALUE"""),"AG 8079 UZ")</f>
        <v>AG 8079 UZ</v>
      </c>
      <c r="C224" s="16" t="str">
        <f>IFERROR(__xludf.DUMMYFUNCTION("""COMPUTED_VALUE"""),"TLPG TJ PERAK")</f>
        <v>TLPG TJ PERAK</v>
      </c>
      <c r="D224" s="16" t="str">
        <f>IFERROR(__xludf.DUMMYFUNCTION("""COMPUTED_VALUE"""),"PT DIAN EL HADA")</f>
        <v>PT DIAN EL HADA</v>
      </c>
      <c r="F224" s="19"/>
      <c r="G224" s="16"/>
    </row>
    <row r="225">
      <c r="A225" s="16">
        <f>IFERROR(__xludf.DUMMYFUNCTION("""COMPUTED_VALUE"""),9.0)</f>
        <v>9</v>
      </c>
      <c r="B225" s="16" t="str">
        <f>IFERROR(__xludf.DUMMYFUNCTION("""COMPUTED_VALUE"""),"AG 8086 UF")</f>
        <v>AG 8086 UF</v>
      </c>
      <c r="C225" s="16" t="str">
        <f>IFERROR(__xludf.DUMMYFUNCTION("""COMPUTED_VALUE"""),"TLPG TJ PERAK")</f>
        <v>TLPG TJ PERAK</v>
      </c>
      <c r="D225" s="16" t="str">
        <f>IFERROR(__xludf.DUMMYFUNCTION("""COMPUTED_VALUE"""),"PT DIAN RAMA GAS")</f>
        <v>PT DIAN RAMA GAS</v>
      </c>
      <c r="F225" s="19"/>
      <c r="G225" s="16"/>
    </row>
    <row r="226">
      <c r="A226" s="16">
        <f>IFERROR(__xludf.DUMMYFUNCTION("""COMPUTED_VALUE"""),9.0)</f>
        <v>9</v>
      </c>
      <c r="B226" s="16" t="str">
        <f>IFERROR(__xludf.DUMMYFUNCTION("""COMPUTED_VALUE"""),"B 9088 SEI")</f>
        <v>B 9088 SEI</v>
      </c>
      <c r="C226" s="16" t="str">
        <f>IFERROR(__xludf.DUMMYFUNCTION("""COMPUTED_VALUE"""),"TLPG MEM GRESIK")</f>
        <v>TLPG MEM GRESIK</v>
      </c>
      <c r="D226" s="16" t="str">
        <f>IFERROR(__xludf.DUMMYFUNCTION("""COMPUTED_VALUE"""),"PT PATRA NIAGA")</f>
        <v>PT PATRA NIAGA</v>
      </c>
      <c r="F226" s="19"/>
      <c r="G226" s="16"/>
    </row>
    <row r="227">
      <c r="A227" s="16">
        <f>IFERROR(__xludf.DUMMYFUNCTION("""COMPUTED_VALUE"""),9.0)</f>
        <v>9</v>
      </c>
      <c r="B227" s="16" t="str">
        <f>IFERROR(__xludf.DUMMYFUNCTION("""COMPUTED_VALUE"""),"B 9870 SFV")</f>
        <v>B 9870 SFV</v>
      </c>
      <c r="C227" s="16" t="str">
        <f>IFERROR(__xludf.DUMMYFUNCTION("""COMPUTED_VALUE"""),"TLPG MEM GRESIK")</f>
        <v>TLPG MEM GRESIK</v>
      </c>
      <c r="D227" s="16" t="str">
        <f>IFERROR(__xludf.DUMMYFUNCTION("""COMPUTED_VALUE"""),"PT PATRA LOGISTIK")</f>
        <v>PT PATRA LOGISTIK</v>
      </c>
      <c r="F227" s="19"/>
      <c r="G227" s="16"/>
    </row>
    <row r="228">
      <c r="A228" s="16">
        <f>IFERROR(__xludf.DUMMYFUNCTION("""COMPUTED_VALUE"""),9.0)</f>
        <v>9</v>
      </c>
      <c r="B228" s="16" t="str">
        <f>IFERROR(__xludf.DUMMYFUNCTION("""COMPUTED_VALUE"""),"B 9882 SFU")</f>
        <v>B 9882 SFU</v>
      </c>
      <c r="C228" s="16" t="str">
        <f>IFERROR(__xludf.DUMMYFUNCTION("""COMPUTED_VALUE"""),"TLPG MEM GRESIK")</f>
        <v>TLPG MEM GRESIK</v>
      </c>
      <c r="D228" s="16" t="str">
        <f>IFERROR(__xludf.DUMMYFUNCTION("""COMPUTED_VALUE"""),"PT PATRA NIAGA")</f>
        <v>PT PATRA NIAGA</v>
      </c>
      <c r="F228" s="19"/>
      <c r="G228" s="16"/>
    </row>
    <row r="229">
      <c r="A229" s="16">
        <f>IFERROR(__xludf.DUMMYFUNCTION("""COMPUTED_VALUE"""),9.0)</f>
        <v>9</v>
      </c>
      <c r="B229" s="16" t="str">
        <f>IFERROR(__xludf.DUMMYFUNCTION("""COMPUTED_VALUE"""),"DK 8029 UK")</f>
        <v>DK 8029 UK</v>
      </c>
      <c r="C229" s="16" t="str">
        <f>IFERROR(__xludf.DUMMYFUNCTION("""COMPUTED_VALUE"""),"TLPG MANGGIS")</f>
        <v>TLPG MANGGIS</v>
      </c>
      <c r="D229" s="16" t="str">
        <f>IFERROR(__xludf.DUMMYFUNCTION("""COMPUTED_VALUE"""),"SPPBE-PT. Ayu Sari Pertiwi")</f>
        <v>SPPBE-PT. Ayu Sari Pertiwi</v>
      </c>
      <c r="F229" s="19"/>
      <c r="G229" s="16"/>
    </row>
    <row r="230">
      <c r="A230" s="16">
        <f>IFERROR(__xludf.DUMMYFUNCTION("""COMPUTED_VALUE"""),9.0)</f>
        <v>9</v>
      </c>
      <c r="B230" s="16" t="str">
        <f>IFERROR(__xludf.DUMMYFUNCTION("""COMPUTED_VALUE"""),"DK 8053 DN")</f>
        <v>DK 8053 DN</v>
      </c>
      <c r="C230" s="16" t="str">
        <f>IFERROR(__xludf.DUMMYFUNCTION("""COMPUTED_VALUE"""),"TLPG MANGGIS")</f>
        <v>TLPG MANGGIS</v>
      </c>
      <c r="D230" s="16" t="str">
        <f>IFERROR(__xludf.DUMMYFUNCTION("""COMPUTED_VALUE"""),"Data Company Belum Ada")</f>
        <v>Data Company Belum Ada</v>
      </c>
      <c r="F230" s="19"/>
      <c r="G230" s="16"/>
    </row>
    <row r="231">
      <c r="A231" s="16">
        <f>IFERROR(__xludf.DUMMYFUNCTION("""COMPUTED_VALUE"""),9.0)</f>
        <v>9</v>
      </c>
      <c r="B231" s="16" t="str">
        <f>IFERROR(__xludf.DUMMYFUNCTION("""COMPUTED_VALUE"""),"DK 8236 GH")</f>
        <v>DK 8236 GH</v>
      </c>
      <c r="C231" s="16" t="str">
        <f>IFERROR(__xludf.DUMMYFUNCTION("""COMPUTED_VALUE"""),"TLPG MANGGIS")</f>
        <v>TLPG MANGGIS</v>
      </c>
      <c r="D231" s="16" t="str">
        <f>IFERROR(__xludf.DUMMYFUNCTION("""COMPUTED_VALUE"""),"SPPBE-PT. Kiani Pasifik Nusantara")</f>
        <v>SPPBE-PT. Kiani Pasifik Nusantara</v>
      </c>
      <c r="F231" s="19"/>
      <c r="G231" s="16"/>
    </row>
    <row r="232">
      <c r="A232" s="16">
        <f>IFERROR(__xludf.DUMMYFUNCTION("""COMPUTED_VALUE"""),9.0)</f>
        <v>9</v>
      </c>
      <c r="B232" s="16" t="str">
        <f>IFERROR(__xludf.DUMMYFUNCTION("""COMPUTED_VALUE"""),"DK 8285 DT")</f>
        <v>DK 8285 DT</v>
      </c>
      <c r="C232" s="16" t="str">
        <f>IFERROR(__xludf.DUMMYFUNCTION("""COMPUTED_VALUE"""),"TLPG MANGGIS")</f>
        <v>TLPG MANGGIS</v>
      </c>
      <c r="D232" s="16" t="str">
        <f>IFERROR(__xludf.DUMMYFUNCTION("""COMPUTED_VALUE"""),"SPPBE-PT. Prapen Ananda Dewata")</f>
        <v>SPPBE-PT. Prapen Ananda Dewata</v>
      </c>
      <c r="F232" s="19"/>
      <c r="G232" s="16"/>
    </row>
    <row r="233">
      <c r="A233" s="16">
        <f>IFERROR(__xludf.DUMMYFUNCTION("""COMPUTED_VALUE"""),9.0)</f>
        <v>9</v>
      </c>
      <c r="B233" s="16" t="str">
        <f>IFERROR(__xludf.DUMMYFUNCTION("""COMPUTED_VALUE"""),"DK 8737 DQ")</f>
        <v>DK 8737 DQ</v>
      </c>
      <c r="C233" s="16" t="str">
        <f>IFERROR(__xludf.DUMMYFUNCTION("""COMPUTED_VALUE"""),"TLPG MANGGIS")</f>
        <v>TLPG MANGGIS</v>
      </c>
      <c r="D233" s="16" t="str">
        <f>IFERROR(__xludf.DUMMYFUNCTION("""COMPUTED_VALUE"""),"SPPBE-PT. Candra Karya Gas")</f>
        <v>SPPBE-PT. Candra Karya Gas</v>
      </c>
      <c r="F233" s="19"/>
      <c r="G233" s="16"/>
    </row>
    <row r="234">
      <c r="A234" s="16">
        <f>IFERROR(__xludf.DUMMYFUNCTION("""COMPUTED_VALUE"""),9.0)</f>
        <v>9</v>
      </c>
      <c r="B234" s="16" t="str">
        <f>IFERROR(__xludf.DUMMYFUNCTION("""COMPUTED_VALUE"""),"DK 8834 BM")</f>
        <v>DK 8834 BM</v>
      </c>
      <c r="C234" s="16" t="str">
        <f>IFERROR(__xludf.DUMMYFUNCTION("""COMPUTED_VALUE"""),"TLPG MANGGIS")</f>
        <v>TLPG MANGGIS</v>
      </c>
      <c r="D234" s="16" t="str">
        <f>IFERROR(__xludf.DUMMYFUNCTION("""COMPUTED_VALUE"""),"SPPBE-PT. Cahaya Astika Dharma")</f>
        <v>SPPBE-PT. Cahaya Astika Dharma</v>
      </c>
      <c r="F234" s="19"/>
      <c r="G234" s="16"/>
    </row>
    <row r="235">
      <c r="A235" s="16">
        <f>IFERROR(__xludf.DUMMYFUNCTION("""COMPUTED_VALUE"""),9.0)</f>
        <v>9</v>
      </c>
      <c r="B235" s="16" t="str">
        <f>IFERROR(__xludf.DUMMYFUNCTION("""COMPUTED_VALUE"""),"DR 8304 WZ")</f>
        <v>DR 8304 WZ</v>
      </c>
      <c r="C235" s="16" t="str">
        <f>IFERROR(__xludf.DUMMYFUNCTION("""COMPUTED_VALUE"""),"TLPG BIMA")</f>
        <v>TLPG BIMA</v>
      </c>
      <c r="D235" s="16" t="str">
        <f>IFERROR(__xludf.DUMMYFUNCTION("""COMPUTED_VALUE"""),"Data Company Belum Ada")</f>
        <v>Data Company Belum Ada</v>
      </c>
      <c r="F235" s="19"/>
      <c r="G235" s="16"/>
    </row>
    <row r="236">
      <c r="A236" s="16">
        <f>IFERROR(__xludf.DUMMYFUNCTION("""COMPUTED_VALUE"""),9.0)</f>
        <v>9</v>
      </c>
      <c r="B236" s="16" t="str">
        <f>IFERROR(__xludf.DUMMYFUNCTION("""COMPUTED_VALUE"""),"L 8083 CA")</f>
        <v>L 8083 CA</v>
      </c>
      <c r="C236" s="16" t="str">
        <f>IFERROR(__xludf.DUMMYFUNCTION("""COMPUTED_VALUE"""),"TLPG TJ WANGI")</f>
        <v>TLPG TJ WANGI</v>
      </c>
      <c r="D236" s="16" t="str">
        <f>IFERROR(__xludf.DUMMYFUNCTION("""COMPUTED_VALUE"""),"PT KARYA GEMILANG GAS SEJAHTERA")</f>
        <v>PT KARYA GEMILANG GAS SEJAHTERA</v>
      </c>
      <c r="F236" s="19"/>
      <c r="G236" s="16"/>
    </row>
    <row r="237">
      <c r="A237" s="16">
        <f>IFERROR(__xludf.DUMMYFUNCTION("""COMPUTED_VALUE"""),9.0)</f>
        <v>9</v>
      </c>
      <c r="B237" s="16" t="str">
        <f>IFERROR(__xludf.DUMMYFUNCTION("""COMPUTED_VALUE"""),"L 8684 AG")</f>
        <v>L 8684 AG</v>
      </c>
      <c r="C237" s="16" t="str">
        <f>IFERROR(__xludf.DUMMYFUNCTION("""COMPUTED_VALUE"""),"TLPG TJ PERAK")</f>
        <v>TLPG TJ PERAK</v>
      </c>
      <c r="D237" s="16" t="str">
        <f>IFERROR(__xludf.DUMMYFUNCTION("""COMPUTED_VALUE"""),"PT ANDHIKA PUTRA TRIGAS LENTERA")</f>
        <v>PT ANDHIKA PUTRA TRIGAS LENTERA</v>
      </c>
      <c r="F237" s="19"/>
      <c r="G237" s="16"/>
    </row>
    <row r="238">
      <c r="A238" s="16">
        <f>IFERROR(__xludf.DUMMYFUNCTION("""COMPUTED_VALUE"""),9.0)</f>
        <v>9</v>
      </c>
      <c r="B238" s="16" t="str">
        <f>IFERROR(__xludf.DUMMYFUNCTION("""COMPUTED_VALUE"""),"M 9026 UV")</f>
        <v>M 9026 UV</v>
      </c>
      <c r="C238" s="16" t="str">
        <f>IFERROR(__xludf.DUMMYFUNCTION("""COMPUTED_VALUE"""),"TLPG TJ PERAK")</f>
        <v>TLPG TJ PERAK</v>
      </c>
      <c r="D238" s="16" t="str">
        <f>IFERROR(__xludf.DUMMYFUNCTION("""COMPUTED_VALUE"""),"PT MITRA MADURA DHARMA ABADI")</f>
        <v>PT MITRA MADURA DHARMA ABADI</v>
      </c>
      <c r="F238" s="19"/>
      <c r="G238" s="16"/>
    </row>
    <row r="239">
      <c r="A239" s="16">
        <f>IFERROR(__xludf.DUMMYFUNCTION("""COMPUTED_VALUE"""),9.0)</f>
        <v>9</v>
      </c>
      <c r="B239" s="16" t="str">
        <f>IFERROR(__xludf.DUMMYFUNCTION("""COMPUTED_VALUE"""),"N 8674 UV")</f>
        <v>N 8674 UV</v>
      </c>
      <c r="C239" s="16" t="str">
        <f>IFERROR(__xludf.DUMMYFUNCTION("""COMPUTED_VALUE"""),"TLPG TJ PERAK")</f>
        <v>TLPG TJ PERAK</v>
      </c>
      <c r="D239" s="16" t="str">
        <f>IFERROR(__xludf.DUMMYFUNCTION("""COMPUTED_VALUE"""),"PT BUANATAMA CAHAYA LESTARI")</f>
        <v>PT BUANATAMA CAHAYA LESTARI</v>
      </c>
      <c r="F239" s="19"/>
      <c r="G239" s="16"/>
    </row>
    <row r="240">
      <c r="A240" s="16">
        <f>IFERROR(__xludf.DUMMYFUNCTION("""COMPUTED_VALUE"""),9.0)</f>
        <v>9</v>
      </c>
      <c r="B240" s="16" t="str">
        <f>IFERROR(__xludf.DUMMYFUNCTION("""COMPUTED_VALUE"""),"N 9162 UV")</f>
        <v>N 9162 UV</v>
      </c>
      <c r="C240" s="16" t="str">
        <f>IFERROR(__xludf.DUMMYFUNCTION("""COMPUTED_VALUE"""),"TLPG TJ PERAK")</f>
        <v>TLPG TJ PERAK</v>
      </c>
      <c r="D240" s="16" t="str">
        <f>IFERROR(__xludf.DUMMYFUNCTION("""COMPUTED_VALUE"""),"PT SINAR WAHANA SURYA")</f>
        <v>PT SINAR WAHANA SURYA</v>
      </c>
      <c r="F240" s="19"/>
      <c r="G240" s="16"/>
    </row>
    <row r="241">
      <c r="A241" s="16">
        <f>IFERROR(__xludf.DUMMYFUNCTION("""COMPUTED_VALUE"""),9.0)</f>
        <v>9</v>
      </c>
      <c r="B241" s="16" t="str">
        <f>IFERROR(__xludf.DUMMYFUNCTION("""COMPUTED_VALUE"""),"N 9286 UN")</f>
        <v>N 9286 UN</v>
      </c>
      <c r="C241" s="16" t="str">
        <f>IFERROR(__xludf.DUMMYFUNCTION("""COMPUTED_VALUE"""),"TLPG TJ PERAK")</f>
        <v>TLPG TJ PERAK</v>
      </c>
      <c r="D241" s="16" t="str">
        <f>IFERROR(__xludf.DUMMYFUNCTION("""COMPUTED_VALUE"""),"PT HAKAMINDO PETROCHEM")</f>
        <v>PT HAKAMINDO PETROCHEM</v>
      </c>
      <c r="F241" s="19"/>
      <c r="G241" s="16"/>
    </row>
    <row r="242">
      <c r="A242" s="16">
        <f>IFERROR(__xludf.DUMMYFUNCTION("""COMPUTED_VALUE"""),9.0)</f>
        <v>9</v>
      </c>
      <c r="B242" s="16" t="str">
        <f>IFERROR(__xludf.DUMMYFUNCTION("""COMPUTED_VALUE"""),"N 9307 WD")</f>
        <v>N 9307 WD</v>
      </c>
      <c r="C242" s="16" t="str">
        <f>IFERROR(__xludf.DUMMYFUNCTION("""COMPUTED_VALUE"""),"TLPG TJ PERAK")</f>
        <v>TLPG TJ PERAK</v>
      </c>
      <c r="D242" s="16" t="str">
        <f>IFERROR(__xludf.DUMMYFUNCTION("""COMPUTED_VALUE"""),"PT TATA BERSAMA")</f>
        <v>PT TATA BERSAMA</v>
      </c>
      <c r="F242" s="19"/>
      <c r="G242" s="16"/>
    </row>
    <row r="243">
      <c r="A243" s="16">
        <f>IFERROR(__xludf.DUMMYFUNCTION("""COMPUTED_VALUE"""),9.0)</f>
        <v>9</v>
      </c>
      <c r="B243" s="16" t="str">
        <f>IFERROR(__xludf.DUMMYFUNCTION("""COMPUTED_VALUE"""),"P 8312 UG")</f>
        <v>P 8312 UG</v>
      </c>
      <c r="C243" s="16" t="str">
        <f>IFERROR(__xludf.DUMMYFUNCTION("""COMPUTED_VALUE"""),"TLPG TJ WANGI")</f>
        <v>TLPG TJ WANGI</v>
      </c>
      <c r="D243" s="16" t="str">
        <f>IFERROR(__xludf.DUMMYFUNCTION("""COMPUTED_VALUE"""),"PT MEGA HULU ENERGI")</f>
        <v>PT MEGA HULU ENERGI</v>
      </c>
      <c r="F243" s="19"/>
      <c r="G243" s="16"/>
    </row>
    <row r="244">
      <c r="A244" s="16">
        <f>IFERROR(__xludf.DUMMYFUNCTION("""COMPUTED_VALUE"""),9.0)</f>
        <v>9</v>
      </c>
      <c r="B244" s="16" t="str">
        <f>IFERROR(__xludf.DUMMYFUNCTION("""COMPUTED_VALUE"""),"P 8920 UG")</f>
        <v>P 8920 UG</v>
      </c>
      <c r="C244" s="16" t="str">
        <f>IFERROR(__xludf.DUMMYFUNCTION("""COMPUTED_VALUE"""),"TLPG TJ WANGI")</f>
        <v>TLPG TJ WANGI</v>
      </c>
      <c r="D244" s="16" t="str">
        <f>IFERROR(__xludf.DUMMYFUNCTION("""COMPUTED_VALUE"""),"PT MEGA HULU ENEGRI")</f>
        <v>PT MEGA HULU ENEGRI</v>
      </c>
      <c r="F244" s="19"/>
      <c r="G244" s="16"/>
    </row>
    <row r="245">
      <c r="A245" s="16">
        <f>IFERROR(__xludf.DUMMYFUNCTION("""COMPUTED_VALUE"""),9.0)</f>
        <v>9</v>
      </c>
      <c r="B245" s="16" t="str">
        <f>IFERROR(__xludf.DUMMYFUNCTION("""COMPUTED_VALUE"""),"S 8052 UZ")</f>
        <v>S 8052 UZ</v>
      </c>
      <c r="C245" s="16" t="str">
        <f>IFERROR(__xludf.DUMMYFUNCTION("""COMPUTED_VALUE"""),"TLPG TJ PERAK")</f>
        <v>TLPG TJ PERAK</v>
      </c>
      <c r="D245" s="16" t="str">
        <f>IFERROR(__xludf.DUMMYFUNCTION("""COMPUTED_VALUE"""),"PT SUMBER BINA USAHA MANDIRI")</f>
        <v>PT SUMBER BINA USAHA MANDIRI</v>
      </c>
      <c r="F245" s="19"/>
      <c r="G245" s="16"/>
    </row>
    <row r="246">
      <c r="A246" s="16">
        <f>IFERROR(__xludf.DUMMYFUNCTION("""COMPUTED_VALUE"""),9.0)</f>
        <v>9</v>
      </c>
      <c r="B246" s="16" t="str">
        <f>IFERROR(__xludf.DUMMYFUNCTION("""COMPUTED_VALUE"""),"S 9343 UZ")</f>
        <v>S 9343 UZ</v>
      </c>
      <c r="C246" s="16" t="str">
        <f>IFERROR(__xludf.DUMMYFUNCTION("""COMPUTED_VALUE"""),"TLPG TJ PERAK")</f>
        <v>TLPG TJ PERAK</v>
      </c>
      <c r="D246" s="16" t="str">
        <f>IFERROR(__xludf.DUMMYFUNCTION("""COMPUTED_VALUE"""),"PT DIVA GAS")</f>
        <v>PT DIVA GAS</v>
      </c>
      <c r="F246" s="19"/>
      <c r="G246" s="16"/>
    </row>
    <row r="247">
      <c r="A247" s="16">
        <f>IFERROR(__xludf.DUMMYFUNCTION("""COMPUTED_VALUE"""),9.0)</f>
        <v>9</v>
      </c>
      <c r="B247" s="16" t="str">
        <f>IFERROR(__xludf.DUMMYFUNCTION("""COMPUTED_VALUE"""),"S 9973 UQ")</f>
        <v>S 9973 UQ</v>
      </c>
      <c r="C247" s="16" t="str">
        <f>IFERROR(__xludf.DUMMYFUNCTION("""COMPUTED_VALUE"""),"TLPG TJ PERAK")</f>
        <v>TLPG TJ PERAK</v>
      </c>
      <c r="D247" s="16" t="str">
        <f>IFERROR(__xludf.DUMMYFUNCTION("""COMPUTED_VALUE"""),"PT PATERMAN PETRONIAGA")</f>
        <v>PT PATERMAN PETRONIAGA</v>
      </c>
      <c r="F247" s="19"/>
      <c r="G247" s="16"/>
    </row>
    <row r="248">
      <c r="A248" s="16">
        <f>IFERROR(__xludf.DUMMYFUNCTION("""COMPUTED_VALUE"""),9.0)</f>
        <v>9</v>
      </c>
      <c r="B248" s="16" t="str">
        <f>IFERROR(__xludf.DUMMYFUNCTION("""COMPUTED_VALUE"""),"W 8059 UD")</f>
        <v>W 8059 UD</v>
      </c>
      <c r="C248" s="16" t="str">
        <f>IFERROR(__xludf.DUMMYFUNCTION("""COMPUTED_VALUE"""),"TLPG LOMBOK")</f>
        <v>TLPG LOMBOK</v>
      </c>
      <c r="D248" s="16" t="str">
        <f>IFERROR(__xludf.DUMMYFUNCTION("""COMPUTED_VALUE"""),"SPPBE-PT. Surya Adiguna Indogas")</f>
        <v>SPPBE-PT. Surya Adiguna Indogas</v>
      </c>
      <c r="F248" s="19"/>
      <c r="G248" s="16"/>
    </row>
    <row r="249">
      <c r="A249" s="16">
        <f>IFERROR(__xludf.DUMMYFUNCTION("""COMPUTED_VALUE"""),9.0)</f>
        <v>9</v>
      </c>
      <c r="B249" s="16" t="str">
        <f>IFERROR(__xludf.DUMMYFUNCTION("""COMPUTED_VALUE"""),"W 9170 PD")</f>
        <v>W 9170 PD</v>
      </c>
      <c r="C249" s="16" t="str">
        <f>IFERROR(__xludf.DUMMYFUNCTION("""COMPUTED_VALUE"""),"TLPG TJ PERAK")</f>
        <v>TLPG TJ PERAK</v>
      </c>
      <c r="D249" s="16" t="str">
        <f>IFERROR(__xludf.DUMMYFUNCTION("""COMPUTED_VALUE"""),"PT NAWA PELITA RAYA")</f>
        <v>PT NAWA PELITA RAYA</v>
      </c>
      <c r="F249" s="19"/>
      <c r="G249" s="16"/>
    </row>
    <row r="250">
      <c r="A250" s="32">
        <f>IFERROR(__xludf.DUMMYFUNCTION("""COMPUTED_VALUE"""),10.0)</f>
        <v>10</v>
      </c>
      <c r="B250" s="32" t="str">
        <f>IFERROR(__xludf.DUMMYFUNCTION("""COMPUTED_VALUE"""),"AE 8086 UT")</f>
        <v>AE 8086 UT</v>
      </c>
      <c r="C250" s="32" t="str">
        <f>IFERROR(__xludf.DUMMYFUNCTION("""COMPUTED_VALUE"""),"TLPG TJ PERAK")</f>
        <v>TLPG TJ PERAK</v>
      </c>
      <c r="D250" s="32" t="str">
        <f>IFERROR(__xludf.DUMMYFUNCTION("""COMPUTED_VALUE"""),"PT BUANA KARYA SURYA PRATAMA")</f>
        <v>PT BUANA KARYA SURYA PRATAMA</v>
      </c>
      <c r="E250" s="33" t="s">
        <v>490</v>
      </c>
      <c r="F250" s="19"/>
      <c r="G250" s="16"/>
    </row>
    <row r="251">
      <c r="A251" s="32">
        <f>IFERROR(__xludf.DUMMYFUNCTION("""COMPUTED_VALUE"""),10.0)</f>
        <v>10</v>
      </c>
      <c r="B251" s="32" t="str">
        <f>IFERROR(__xludf.DUMMYFUNCTION("""COMPUTED_VALUE"""),"AE 8527 UJ")</f>
        <v>AE 8527 UJ</v>
      </c>
      <c r="C251" s="32" t="str">
        <f>IFERROR(__xludf.DUMMYFUNCTION("""COMPUTED_VALUE"""),"TLPG TJ PERAK")</f>
        <v>TLPG TJ PERAK</v>
      </c>
      <c r="D251" s="32" t="str">
        <f>IFERROR(__xludf.DUMMYFUNCTION("""COMPUTED_VALUE"""),"PT RAMA MANGGALA GAS")</f>
        <v>PT RAMA MANGGALA GAS</v>
      </c>
      <c r="F251" s="19"/>
      <c r="G251" s="16"/>
    </row>
    <row r="252">
      <c r="A252" s="32">
        <f>IFERROR(__xludf.DUMMYFUNCTION("""COMPUTED_VALUE"""),10.0)</f>
        <v>10</v>
      </c>
      <c r="B252" s="32" t="str">
        <f>IFERROR(__xludf.DUMMYFUNCTION("""COMPUTED_VALUE"""),"AE 8639 UP")</f>
        <v>AE 8639 UP</v>
      </c>
      <c r="C252" s="32" t="str">
        <f>IFERROR(__xludf.DUMMYFUNCTION("""COMPUTED_VALUE"""),"TLPG TJ PERAK")</f>
        <v>TLPG TJ PERAK</v>
      </c>
      <c r="D252" s="32" t="str">
        <f>IFERROR(__xludf.DUMMYFUNCTION("""COMPUTED_VALUE"""),"PT TRISINDO ADIKAMULIA")</f>
        <v>PT TRISINDO ADIKAMULIA</v>
      </c>
      <c r="F252" s="19"/>
      <c r="G252" s="16"/>
    </row>
    <row r="253">
      <c r="A253" s="32">
        <f>IFERROR(__xludf.DUMMYFUNCTION("""COMPUTED_VALUE"""),10.0)</f>
        <v>10</v>
      </c>
      <c r="B253" s="32" t="str">
        <f>IFERROR(__xludf.DUMMYFUNCTION("""COMPUTED_VALUE"""),"AG 8087 UF")</f>
        <v>AG 8087 UF</v>
      </c>
      <c r="C253" s="32" t="str">
        <f>IFERROR(__xludf.DUMMYFUNCTION("""COMPUTED_VALUE"""),"TLPG TJ PERAK")</f>
        <v>TLPG TJ PERAK</v>
      </c>
      <c r="D253" s="32" t="str">
        <f>IFERROR(__xludf.DUMMYFUNCTION("""COMPUTED_VALUE"""),"PT DIAN RAMA GAS")</f>
        <v>PT DIAN RAMA GAS</v>
      </c>
      <c r="F253" s="19"/>
      <c r="G253" s="16"/>
    </row>
    <row r="254">
      <c r="A254" s="32">
        <f>IFERROR(__xludf.DUMMYFUNCTION("""COMPUTED_VALUE"""),10.0)</f>
        <v>10</v>
      </c>
      <c r="B254" s="32" t="str">
        <f>IFERROR(__xludf.DUMMYFUNCTION("""COMPUTED_VALUE"""),"AG 8225 UG")</f>
        <v>AG 8225 UG</v>
      </c>
      <c r="C254" s="32" t="str">
        <f>IFERROR(__xludf.DUMMYFUNCTION("""COMPUTED_VALUE"""),"TLPG TJ PERAK")</f>
        <v>TLPG TJ PERAK</v>
      </c>
      <c r="D254" s="32" t="str">
        <f>IFERROR(__xludf.DUMMYFUNCTION("""COMPUTED_VALUE"""),"PT SINAR HASIL BUANA")</f>
        <v>PT SINAR HASIL BUANA</v>
      </c>
      <c r="F254" s="19"/>
      <c r="G254" s="16"/>
    </row>
    <row r="255">
      <c r="A255" s="32">
        <f>IFERROR(__xludf.DUMMYFUNCTION("""COMPUTED_VALUE"""),10.0)</f>
        <v>10</v>
      </c>
      <c r="B255" s="32" t="str">
        <f>IFERROR(__xludf.DUMMYFUNCTION("""COMPUTED_VALUE"""),"AG 8654 UZ")</f>
        <v>AG 8654 UZ</v>
      </c>
      <c r="C255" s="32" t="str">
        <f>IFERROR(__xludf.DUMMYFUNCTION("""COMPUTED_VALUE"""),"TLPG TJ PERAK")</f>
        <v>TLPG TJ PERAK</v>
      </c>
      <c r="D255" s="32" t="str">
        <f>IFERROR(__xludf.DUMMYFUNCTION("""COMPUTED_VALUE"""),"PT DIAN EL HADA")</f>
        <v>PT DIAN EL HADA</v>
      </c>
      <c r="F255" s="19"/>
      <c r="G255" s="16"/>
    </row>
    <row r="256">
      <c r="A256" s="32">
        <f>IFERROR(__xludf.DUMMYFUNCTION("""COMPUTED_VALUE"""),10.0)</f>
        <v>10</v>
      </c>
      <c r="B256" s="32" t="str">
        <f>IFERROR(__xludf.DUMMYFUNCTION("""COMPUTED_VALUE"""),"B 9202 TEK")</f>
        <v>B 9202 TEK</v>
      </c>
      <c r="C256" s="32" t="str">
        <f>IFERROR(__xludf.DUMMYFUNCTION("""COMPUTED_VALUE"""),"TLPG MEM GRESIK")</f>
        <v>TLPG MEM GRESIK</v>
      </c>
      <c r="D256" s="32" t="str">
        <f>IFERROR(__xludf.DUMMYFUNCTION("""COMPUTED_VALUE"""),"PT ADAM TRANS")</f>
        <v>PT ADAM TRANS</v>
      </c>
      <c r="F256" s="19"/>
      <c r="G256" s="16"/>
    </row>
    <row r="257">
      <c r="A257" s="32">
        <f>IFERROR(__xludf.DUMMYFUNCTION("""COMPUTED_VALUE"""),10.0)</f>
        <v>10</v>
      </c>
      <c r="B257" s="32" t="str">
        <f>IFERROR(__xludf.DUMMYFUNCTION("""COMPUTED_VALUE"""),"B 9717 SFU")</f>
        <v>B 9717 SFU</v>
      </c>
      <c r="C257" s="32" t="str">
        <f>IFERROR(__xludf.DUMMYFUNCTION("""COMPUTED_VALUE"""),"TLPG MEM GRESIK")</f>
        <v>TLPG MEM GRESIK</v>
      </c>
      <c r="D257" s="32" t="str">
        <f>IFERROR(__xludf.DUMMYFUNCTION("""COMPUTED_VALUE"""),"PT PATRA NIAGA")</f>
        <v>PT PATRA NIAGA</v>
      </c>
      <c r="F257" s="19"/>
      <c r="G257" s="16"/>
    </row>
    <row r="258">
      <c r="A258" s="32">
        <f>IFERROR(__xludf.DUMMYFUNCTION("""COMPUTED_VALUE"""),10.0)</f>
        <v>10</v>
      </c>
      <c r="B258" s="32" t="str">
        <f>IFERROR(__xludf.DUMMYFUNCTION("""COMPUTED_VALUE"""),"B 9883 SFU")</f>
        <v>B 9883 SFU</v>
      </c>
      <c r="C258" s="32" t="str">
        <f>IFERROR(__xludf.DUMMYFUNCTION("""COMPUTED_VALUE"""),"TLPG MEM GRESIK")</f>
        <v>TLPG MEM GRESIK</v>
      </c>
      <c r="D258" s="32" t="str">
        <f>IFERROR(__xludf.DUMMYFUNCTION("""COMPUTED_VALUE"""),"PT PATRA NIAGA")</f>
        <v>PT PATRA NIAGA</v>
      </c>
      <c r="F258" s="19"/>
      <c r="G258" s="16"/>
    </row>
    <row r="259">
      <c r="A259" s="32">
        <f>IFERROR(__xludf.DUMMYFUNCTION("""COMPUTED_VALUE"""),10.0)</f>
        <v>10</v>
      </c>
      <c r="B259" s="32" t="str">
        <f>IFERROR(__xludf.DUMMYFUNCTION("""COMPUTED_VALUE"""),"DK 8117 FS")</f>
        <v>DK 8117 FS</v>
      </c>
      <c r="C259" s="32" t="str">
        <f>IFERROR(__xludf.DUMMYFUNCTION("""COMPUTED_VALUE"""),"TLPG MANGGIS")</f>
        <v>TLPG MANGGIS</v>
      </c>
      <c r="D259" s="32" t="str">
        <f>IFERROR(__xludf.DUMMYFUNCTION("""COMPUTED_VALUE"""),"SPPBE-PT. Prapen Ananda Dewata")</f>
        <v>SPPBE-PT. Prapen Ananda Dewata</v>
      </c>
      <c r="F259" s="19"/>
      <c r="G259" s="16"/>
    </row>
    <row r="260">
      <c r="A260" s="32">
        <f>IFERROR(__xludf.DUMMYFUNCTION("""COMPUTED_VALUE"""),10.0)</f>
        <v>10</v>
      </c>
      <c r="B260" s="32" t="str">
        <f>IFERROR(__xludf.DUMMYFUNCTION("""COMPUTED_VALUE"""),"DK 8170 UB")</f>
        <v>DK 8170 UB</v>
      </c>
      <c r="C260" s="32" t="str">
        <f>IFERROR(__xludf.DUMMYFUNCTION("""COMPUTED_VALUE"""),"TLPG MANGGIS")</f>
        <v>TLPG MANGGIS</v>
      </c>
      <c r="D260" s="32" t="str">
        <f>IFERROR(__xludf.DUMMYFUNCTION("""COMPUTED_VALUE"""),"PT. Ayu Sari Pertiwi")</f>
        <v>PT. Ayu Sari Pertiwi</v>
      </c>
      <c r="F260" s="19"/>
      <c r="G260" s="16"/>
    </row>
    <row r="261">
      <c r="A261" s="32">
        <f>IFERROR(__xludf.DUMMYFUNCTION("""COMPUTED_VALUE"""),10.0)</f>
        <v>10</v>
      </c>
      <c r="B261" s="32" t="str">
        <f>IFERROR(__xludf.DUMMYFUNCTION("""COMPUTED_VALUE"""),"DK 8268 HH")</f>
        <v>DK 8268 HH</v>
      </c>
      <c r="C261" s="32" t="str">
        <f>IFERROR(__xludf.DUMMYFUNCTION("""COMPUTED_VALUE"""),"TLPG MANGGIS")</f>
        <v>TLPG MANGGIS</v>
      </c>
      <c r="D261" s="32" t="str">
        <f>IFERROR(__xludf.DUMMYFUNCTION("""COMPUTED_VALUE"""),"SPPBE-PT. Kiani Pasifik Nusantara")</f>
        <v>SPPBE-PT. Kiani Pasifik Nusantara</v>
      </c>
      <c r="F261" s="19"/>
      <c r="G261" s="16"/>
    </row>
    <row r="262">
      <c r="A262" s="32">
        <f>IFERROR(__xludf.DUMMYFUNCTION("""COMPUTED_VALUE"""),10.0)</f>
        <v>10</v>
      </c>
      <c r="B262" s="32" t="str">
        <f>IFERROR(__xludf.DUMMYFUNCTION("""COMPUTED_VALUE"""),"DK 8584 OL")</f>
        <v>DK 8584 OL</v>
      </c>
      <c r="C262" s="32" t="str">
        <f>IFERROR(__xludf.DUMMYFUNCTION("""COMPUTED_VALUE"""),"TLPG MANGGIS")</f>
        <v>TLPG MANGGIS</v>
      </c>
      <c r="D262" s="32" t="str">
        <f>IFERROR(__xludf.DUMMYFUNCTION("""COMPUTED_VALUE"""),"SPPBE-PT. Putra Bali Dwipa")</f>
        <v>SPPBE-PT. Putra Bali Dwipa</v>
      </c>
      <c r="F262" s="19"/>
      <c r="G262" s="16"/>
    </row>
    <row r="263">
      <c r="A263" s="32">
        <f>IFERROR(__xludf.DUMMYFUNCTION("""COMPUTED_VALUE"""),10.0)</f>
        <v>10</v>
      </c>
      <c r="B263" s="32" t="str">
        <f>IFERROR(__xludf.DUMMYFUNCTION("""COMPUTED_VALUE"""),"DK 8773 MG")</f>
        <v>DK 8773 MG</v>
      </c>
      <c r="C263" s="32" t="str">
        <f>IFERROR(__xludf.DUMMYFUNCTION("""COMPUTED_VALUE"""),"TLPG LOMBOK")</f>
        <v>TLPG LOMBOK</v>
      </c>
      <c r="D263" s="32" t="str">
        <f>IFERROR(__xludf.DUMMYFUNCTION("""COMPUTED_VALUE"""),"SPPBE-PT. Harapan Jaya Utama")</f>
        <v>SPPBE-PT. Harapan Jaya Utama</v>
      </c>
      <c r="F263" s="19"/>
      <c r="G263" s="16"/>
    </row>
    <row r="264">
      <c r="A264" s="32">
        <f>IFERROR(__xludf.DUMMYFUNCTION("""COMPUTED_VALUE"""),10.0)</f>
        <v>10</v>
      </c>
      <c r="B264" s="32" t="str">
        <f>IFERROR(__xludf.DUMMYFUNCTION("""COMPUTED_VALUE"""),"DR 8105 LJ")</f>
        <v>DR 8105 LJ</v>
      </c>
      <c r="C264" s="32" t="str">
        <f>IFERROR(__xludf.DUMMYFUNCTION("""COMPUTED_VALUE"""),"TLPG LOMBOK")</f>
        <v>TLPG LOMBOK</v>
      </c>
      <c r="D264" s="32" t="str">
        <f>IFERROR(__xludf.DUMMYFUNCTION("""COMPUTED_VALUE"""),"SPPBE-PT. Anugrah Narwastu Raya")</f>
        <v>SPPBE-PT. Anugrah Narwastu Raya</v>
      </c>
      <c r="F264" s="19"/>
      <c r="G264" s="16"/>
    </row>
    <row r="265">
      <c r="A265" s="32">
        <f>IFERROR(__xludf.DUMMYFUNCTION("""COMPUTED_VALUE"""),10.0)</f>
        <v>10</v>
      </c>
      <c r="B265" s="32" t="str">
        <f>IFERROR(__xludf.DUMMYFUNCTION("""COMPUTED_VALUE"""),"EA 8670 SC")</f>
        <v>EA 8670 SC</v>
      </c>
      <c r="C265" s="32" t="str">
        <f>IFERROR(__xludf.DUMMYFUNCTION("""COMPUTED_VALUE"""),"TLPG BIMA")</f>
        <v>TLPG BIMA</v>
      </c>
      <c r="D265" s="32" t="str">
        <f>IFERROR(__xludf.DUMMYFUNCTION("""COMPUTED_VALUE"""),"PT. BIMA OIL INTERNUSA")</f>
        <v>PT. BIMA OIL INTERNUSA</v>
      </c>
      <c r="F265" s="19"/>
      <c r="G265" s="16"/>
    </row>
    <row r="266">
      <c r="A266" s="32">
        <f>IFERROR(__xludf.DUMMYFUNCTION("""COMPUTED_VALUE"""),10.0)</f>
        <v>10</v>
      </c>
      <c r="B266" s="32" t="str">
        <f>IFERROR(__xludf.DUMMYFUNCTION("""COMPUTED_VALUE"""),"L 8229 NF")</f>
        <v>L 8229 NF</v>
      </c>
      <c r="C266" s="32" t="str">
        <f>IFERROR(__xludf.DUMMYFUNCTION("""COMPUTED_VALUE"""),"TLPG TJ PERAK")</f>
        <v>TLPG TJ PERAK</v>
      </c>
      <c r="D266" s="32" t="str">
        <f>IFERROR(__xludf.DUMMYFUNCTION("""COMPUTED_VALUE"""),"Data Company Belum Ada")</f>
        <v>Data Company Belum Ada</v>
      </c>
      <c r="F266" s="19"/>
      <c r="G266" s="16"/>
    </row>
    <row r="267">
      <c r="A267" s="32">
        <f>IFERROR(__xludf.DUMMYFUNCTION("""COMPUTED_VALUE"""),10.0)</f>
        <v>10</v>
      </c>
      <c r="B267" s="32" t="str">
        <f>IFERROR(__xludf.DUMMYFUNCTION("""COMPUTED_VALUE"""),"L 9390 UU")</f>
        <v>L 9390 UU</v>
      </c>
      <c r="C267" s="32" t="str">
        <f>IFERROR(__xludf.DUMMYFUNCTION("""COMPUTED_VALUE"""),"TLPG TJ WANGI")</f>
        <v>TLPG TJ WANGI</v>
      </c>
      <c r="D267" s="32" t="str">
        <f>IFERROR(__xludf.DUMMYFUNCTION("""COMPUTED_VALUE"""),"Data Company Belum Ada")</f>
        <v>Data Company Belum Ada</v>
      </c>
      <c r="F267" s="19"/>
      <c r="G267" s="16"/>
    </row>
    <row r="268">
      <c r="A268" s="32">
        <f>IFERROR(__xludf.DUMMYFUNCTION("""COMPUTED_VALUE"""),10.0)</f>
        <v>10</v>
      </c>
      <c r="B268" s="32" t="str">
        <f>IFERROR(__xludf.DUMMYFUNCTION("""COMPUTED_VALUE"""),"L 9644 BB")</f>
        <v>L 9644 BB</v>
      </c>
      <c r="C268" s="32" t="str">
        <f>IFERROR(__xludf.DUMMYFUNCTION("""COMPUTED_VALUE"""),"TLPG TJ PERAK")</f>
        <v>TLPG TJ PERAK</v>
      </c>
      <c r="D268" s="32" t="str">
        <f>IFERROR(__xludf.DUMMYFUNCTION("""COMPUTED_VALUE"""),"PT ANDHIKA PUTRA TRIGAS LENTERA")</f>
        <v>PT ANDHIKA PUTRA TRIGAS LENTERA</v>
      </c>
      <c r="F268" s="19"/>
      <c r="G268" s="16"/>
    </row>
    <row r="269">
      <c r="A269" s="32">
        <f>IFERROR(__xludf.DUMMYFUNCTION("""COMPUTED_VALUE"""),10.0)</f>
        <v>10</v>
      </c>
      <c r="B269" s="32" t="str">
        <f>IFERROR(__xludf.DUMMYFUNCTION("""COMPUTED_VALUE"""),"M 9028 UV")</f>
        <v>M 9028 UV</v>
      </c>
      <c r="C269" s="32" t="str">
        <f>IFERROR(__xludf.DUMMYFUNCTION("""COMPUTED_VALUE"""),"TLPG TJ PERAK")</f>
        <v>TLPG TJ PERAK</v>
      </c>
      <c r="D269" s="32" t="str">
        <f>IFERROR(__xludf.DUMMYFUNCTION("""COMPUTED_VALUE"""),"PT MITRA MADURA DHARMA ABADI")</f>
        <v>PT MITRA MADURA DHARMA ABADI</v>
      </c>
      <c r="F269" s="19"/>
      <c r="G269" s="16"/>
    </row>
    <row r="270">
      <c r="A270" s="32">
        <f>IFERROR(__xludf.DUMMYFUNCTION("""COMPUTED_VALUE"""),10.0)</f>
        <v>10</v>
      </c>
      <c r="B270" s="32" t="str">
        <f>IFERROR(__xludf.DUMMYFUNCTION("""COMPUTED_VALUE"""),"N 9425 UU")</f>
        <v>N 9425 UU</v>
      </c>
      <c r="C270" s="32" t="str">
        <f>IFERROR(__xludf.DUMMYFUNCTION("""COMPUTED_VALUE"""),"TLPG TJ PERAK")</f>
        <v>TLPG TJ PERAK</v>
      </c>
      <c r="D270" s="32" t="str">
        <f>IFERROR(__xludf.DUMMYFUNCTION("""COMPUTED_VALUE"""),"PT SINAR WAHANA SURYA")</f>
        <v>PT SINAR WAHANA SURYA</v>
      </c>
      <c r="F270" s="19"/>
      <c r="G270" s="16"/>
    </row>
    <row r="271">
      <c r="A271" s="32">
        <f>IFERROR(__xludf.DUMMYFUNCTION("""COMPUTED_VALUE"""),10.0)</f>
        <v>10</v>
      </c>
      <c r="B271" s="32" t="str">
        <f>IFERROR(__xludf.DUMMYFUNCTION("""COMPUTED_VALUE"""),"N 9478 UG")</f>
        <v>N 9478 UG</v>
      </c>
      <c r="C271" s="32" t="str">
        <f>IFERROR(__xludf.DUMMYFUNCTION("""COMPUTED_VALUE"""),"TLPG TJ PERAK")</f>
        <v>TLPG TJ PERAK</v>
      </c>
      <c r="D271" s="32" t="str">
        <f>IFERROR(__xludf.DUMMYFUNCTION("""COMPUTED_VALUE"""),"PT BINA ANUGERAH INTI KIMIA")</f>
        <v>PT BINA ANUGERAH INTI KIMIA</v>
      </c>
      <c r="F271" s="19"/>
      <c r="G271" s="16"/>
    </row>
    <row r="272">
      <c r="A272" s="32">
        <f>IFERROR(__xludf.DUMMYFUNCTION("""COMPUTED_VALUE"""),10.0)</f>
        <v>10</v>
      </c>
      <c r="B272" s="32" t="str">
        <f>IFERROR(__xludf.DUMMYFUNCTION("""COMPUTED_VALUE"""),"P 8150 UF")</f>
        <v>P 8150 UF</v>
      </c>
      <c r="C272" s="32" t="str">
        <f>IFERROR(__xludf.DUMMYFUNCTION("""COMPUTED_VALUE"""),"TLPG TJ WANGI")</f>
        <v>TLPG TJ WANGI</v>
      </c>
      <c r="D272" s="32" t="str">
        <f>IFERROR(__xludf.DUMMYFUNCTION("""COMPUTED_VALUE"""),"Data Company Belum Ada")</f>
        <v>Data Company Belum Ada</v>
      </c>
      <c r="F272" s="19"/>
      <c r="G272" s="16"/>
    </row>
    <row r="273">
      <c r="A273" s="32">
        <f>IFERROR(__xludf.DUMMYFUNCTION("""COMPUTED_VALUE"""),10.0)</f>
        <v>10</v>
      </c>
      <c r="B273" s="32" t="str">
        <f>IFERROR(__xludf.DUMMYFUNCTION("""COMPUTED_VALUE"""),"P 8436 UA")</f>
        <v>P 8436 UA</v>
      </c>
      <c r="C273" s="32" t="str">
        <f>IFERROR(__xludf.DUMMYFUNCTION("""COMPUTED_VALUE"""),"TLPG TJ WANGI")</f>
        <v>TLPG TJ WANGI</v>
      </c>
      <c r="D273" s="32" t="str">
        <f>IFERROR(__xludf.DUMMYFUNCTION("""COMPUTED_VALUE"""),"PT ARIA ENERGY PERSADA")</f>
        <v>PT ARIA ENERGY PERSADA</v>
      </c>
      <c r="F273" s="19"/>
      <c r="G273" s="16"/>
    </row>
    <row r="274">
      <c r="A274" s="32">
        <f>IFERROR(__xludf.DUMMYFUNCTION("""COMPUTED_VALUE"""),10.0)</f>
        <v>10</v>
      </c>
      <c r="B274" s="32" t="str">
        <f>IFERROR(__xludf.DUMMYFUNCTION("""COMPUTED_VALUE"""),"S 8061 UC")</f>
        <v>S 8061 UC</v>
      </c>
      <c r="C274" s="32" t="str">
        <f>IFERROR(__xludf.DUMMYFUNCTION("""COMPUTED_VALUE"""),"TLPG TJ PERAK")</f>
        <v>TLPG TJ PERAK</v>
      </c>
      <c r="D274" s="32" t="str">
        <f>IFERROR(__xludf.DUMMYFUNCTION("""COMPUTED_VALUE"""),"PT LA TUNSA")</f>
        <v>PT LA TUNSA</v>
      </c>
      <c r="F274" s="19"/>
      <c r="G274" s="16"/>
    </row>
    <row r="275">
      <c r="A275" s="32">
        <f>IFERROR(__xludf.DUMMYFUNCTION("""COMPUTED_VALUE"""),10.0)</f>
        <v>10</v>
      </c>
      <c r="B275" s="32" t="str">
        <f>IFERROR(__xludf.DUMMYFUNCTION("""COMPUTED_VALUE"""),"S 8141 UZ")</f>
        <v>S 8141 UZ</v>
      </c>
      <c r="C275" s="32" t="str">
        <f>IFERROR(__xludf.DUMMYFUNCTION("""COMPUTED_VALUE"""),"TLPG TJ PERAK")</f>
        <v>TLPG TJ PERAK</v>
      </c>
      <c r="D275" s="32" t="str">
        <f>IFERROR(__xludf.DUMMYFUNCTION("""COMPUTED_VALUE"""),"PT SUMBER BINA USAHA MANDIRI")</f>
        <v>PT SUMBER BINA USAHA MANDIRI</v>
      </c>
      <c r="F275" s="19"/>
      <c r="G275" s="16"/>
    </row>
    <row r="276">
      <c r="A276" s="32">
        <f>IFERROR(__xludf.DUMMYFUNCTION("""COMPUTED_VALUE"""),10.0)</f>
        <v>10</v>
      </c>
      <c r="B276" s="32" t="str">
        <f>IFERROR(__xludf.DUMMYFUNCTION("""COMPUTED_VALUE"""),"S 8319 UZ")</f>
        <v>S 8319 UZ</v>
      </c>
      <c r="C276" s="32" t="str">
        <f>IFERROR(__xludf.DUMMYFUNCTION("""COMPUTED_VALUE"""),"TLPG TJ PERAK")</f>
        <v>TLPG TJ PERAK</v>
      </c>
      <c r="D276" s="32" t="str">
        <f>IFERROR(__xludf.DUMMYFUNCTION("""COMPUTED_VALUE"""),"PT TRIJAYA ADYMIX MANDIRI")</f>
        <v>PT TRIJAYA ADYMIX MANDIRI</v>
      </c>
      <c r="F276" s="19"/>
      <c r="G276" s="16"/>
    </row>
    <row r="277">
      <c r="A277" s="32">
        <f>IFERROR(__xludf.DUMMYFUNCTION("""COMPUTED_VALUE"""),10.0)</f>
        <v>10</v>
      </c>
      <c r="B277" s="32" t="str">
        <f>IFERROR(__xludf.DUMMYFUNCTION("""COMPUTED_VALUE"""),"W 8042 UD")</f>
        <v>W 8042 UD</v>
      </c>
      <c r="C277" s="32" t="str">
        <f>IFERROR(__xludf.DUMMYFUNCTION("""COMPUTED_VALUE"""),"TLPG LOMBOK")</f>
        <v>TLPG LOMBOK</v>
      </c>
      <c r="D277" s="32" t="str">
        <f>IFERROR(__xludf.DUMMYFUNCTION("""COMPUTED_VALUE"""),"SPPBE-PT. Surya Adiguna Indogas")</f>
        <v>SPPBE-PT. Surya Adiguna Indogas</v>
      </c>
      <c r="F277" s="19"/>
      <c r="G277" s="16"/>
    </row>
    <row r="278">
      <c r="A278" s="32">
        <f>IFERROR(__xludf.DUMMYFUNCTION("""COMPUTED_VALUE"""),10.0)</f>
        <v>10</v>
      </c>
      <c r="B278" s="32" t="str">
        <f>IFERROR(__xludf.DUMMYFUNCTION("""COMPUTED_VALUE"""),"W 8353 UR")</f>
        <v>W 8353 UR</v>
      </c>
      <c r="C278" s="32" t="str">
        <f>IFERROR(__xludf.DUMMYFUNCTION("""COMPUTED_VALUE"""),"TLPG TJ PERAK")</f>
        <v>TLPG TJ PERAK</v>
      </c>
      <c r="D278" s="32" t="str">
        <f>IFERROR(__xludf.DUMMYFUNCTION("""COMPUTED_VALUE"""),"PT NAWA PELITA RAYA")</f>
        <v>PT NAWA PELITA RAYA</v>
      </c>
      <c r="F278" s="19"/>
      <c r="G278" s="16"/>
    </row>
    <row r="279">
      <c r="A279" s="16">
        <f>IFERROR(__xludf.DUMMYFUNCTION("""COMPUTED_VALUE"""),11.0)</f>
        <v>11</v>
      </c>
      <c r="B279" s="16" t="str">
        <f>IFERROR(__xludf.DUMMYFUNCTION("""COMPUTED_VALUE"""),"AE 8099 UT")</f>
        <v>AE 8099 UT</v>
      </c>
      <c r="C279" s="16" t="str">
        <f>IFERROR(__xludf.DUMMYFUNCTION("""COMPUTED_VALUE"""),"TLPG TJ PERAK")</f>
        <v>TLPG TJ PERAK</v>
      </c>
      <c r="D279" s="16" t="str">
        <f>IFERROR(__xludf.DUMMYFUNCTION("""COMPUTED_VALUE"""),"PT GAS ALAM BUMI REOG")</f>
        <v>PT GAS ALAM BUMI REOG</v>
      </c>
      <c r="E279" s="18" t="s">
        <v>504</v>
      </c>
      <c r="F279" s="19"/>
      <c r="G279" s="16"/>
    </row>
    <row r="280">
      <c r="A280" s="16">
        <f>IFERROR(__xludf.DUMMYFUNCTION("""COMPUTED_VALUE"""),11.0)</f>
        <v>11</v>
      </c>
      <c r="B280" s="16" t="str">
        <f>IFERROR(__xludf.DUMMYFUNCTION("""COMPUTED_VALUE"""),"AE 8641 UP")</f>
        <v>AE 8641 UP</v>
      </c>
      <c r="C280" s="16" t="str">
        <f>IFERROR(__xludf.DUMMYFUNCTION("""COMPUTED_VALUE"""),"TLPG TJ PERAK")</f>
        <v>TLPG TJ PERAK</v>
      </c>
      <c r="D280" s="16" t="str">
        <f>IFERROR(__xludf.DUMMYFUNCTION("""COMPUTED_VALUE"""),"PT TRISINDO ADIKAMULIA")</f>
        <v>PT TRISINDO ADIKAMULIA</v>
      </c>
      <c r="F280" s="19"/>
      <c r="G280" s="16"/>
    </row>
    <row r="281">
      <c r="A281" s="16">
        <f>IFERROR(__xludf.DUMMYFUNCTION("""COMPUTED_VALUE"""),11.0)</f>
        <v>11</v>
      </c>
      <c r="B281" s="16" t="str">
        <f>IFERROR(__xludf.DUMMYFUNCTION("""COMPUTED_VALUE"""),"AG 8016 UC")</f>
        <v>AG 8016 UC</v>
      </c>
      <c r="C281" s="16" t="str">
        <f>IFERROR(__xludf.DUMMYFUNCTION("""COMPUTED_VALUE"""),"TLPG TJ PERAK")</f>
        <v>TLPG TJ PERAK</v>
      </c>
      <c r="D281" s="16" t="str">
        <f>IFERROR(__xludf.DUMMYFUNCTION("""COMPUTED_VALUE"""),"PT LIRBOYO INSAN GLOBAL")</f>
        <v>PT LIRBOYO INSAN GLOBAL</v>
      </c>
      <c r="F281" s="19"/>
      <c r="G281" s="16"/>
    </row>
    <row r="282">
      <c r="A282" s="16">
        <f>IFERROR(__xludf.DUMMYFUNCTION("""COMPUTED_VALUE"""),11.0)</f>
        <v>11</v>
      </c>
      <c r="B282" s="16" t="str">
        <f>IFERROR(__xludf.DUMMYFUNCTION("""COMPUTED_VALUE"""),"AG 8063 UZ")</f>
        <v>AG 8063 UZ</v>
      </c>
      <c r="C282" s="16" t="str">
        <f>IFERROR(__xludf.DUMMYFUNCTION("""COMPUTED_VALUE"""),"TLPG TJ PERAK")</f>
        <v>TLPG TJ PERAK</v>
      </c>
      <c r="D282" s="16" t="str">
        <f>IFERROR(__xludf.DUMMYFUNCTION("""COMPUTED_VALUE"""),"PT TRIAS MULTI NASIONAL")</f>
        <v>PT TRIAS MULTI NASIONAL</v>
      </c>
      <c r="F282" s="19"/>
      <c r="G282" s="16"/>
    </row>
    <row r="283">
      <c r="A283" s="16">
        <f>IFERROR(__xludf.DUMMYFUNCTION("""COMPUTED_VALUE"""),11.0)</f>
        <v>11</v>
      </c>
      <c r="B283" s="16" t="str">
        <f>IFERROR(__xludf.DUMMYFUNCTION("""COMPUTED_VALUE"""),"AG 8088 UF")</f>
        <v>AG 8088 UF</v>
      </c>
      <c r="C283" s="16" t="str">
        <f>IFERROR(__xludf.DUMMYFUNCTION("""COMPUTED_VALUE"""),"TLPG TJ PERAK")</f>
        <v>TLPG TJ PERAK</v>
      </c>
      <c r="D283" s="16" t="str">
        <f>IFERROR(__xludf.DUMMYFUNCTION("""COMPUTED_VALUE"""),"PT DIAN RAMA GAS")</f>
        <v>PT DIAN RAMA GAS</v>
      </c>
      <c r="F283" s="19"/>
      <c r="G283" s="16"/>
    </row>
    <row r="284">
      <c r="A284" s="16">
        <f>IFERROR(__xludf.DUMMYFUNCTION("""COMPUTED_VALUE"""),11.0)</f>
        <v>11</v>
      </c>
      <c r="B284" s="16" t="str">
        <f>IFERROR(__xludf.DUMMYFUNCTION("""COMPUTED_VALUE"""),"AG 8374 UG")</f>
        <v>AG 8374 UG</v>
      </c>
      <c r="C284" s="16" t="str">
        <f>IFERROR(__xludf.DUMMYFUNCTION("""COMPUTED_VALUE"""),"TLPG TJ PERAK")</f>
        <v>TLPG TJ PERAK</v>
      </c>
      <c r="D284" s="16" t="str">
        <f>IFERROR(__xludf.DUMMYFUNCTION("""COMPUTED_VALUE"""),"PT PANDU MANUNGGAL KARSA")</f>
        <v>PT PANDU MANUNGGAL KARSA</v>
      </c>
      <c r="F284" s="19"/>
      <c r="G284" s="16"/>
    </row>
    <row r="285">
      <c r="A285" s="16">
        <f>IFERROR(__xludf.DUMMYFUNCTION("""COMPUTED_VALUE"""),11.0)</f>
        <v>11</v>
      </c>
      <c r="B285" s="16" t="str">
        <f>IFERROR(__xludf.DUMMYFUNCTION("""COMPUTED_VALUE"""),"AG 8913 UK")</f>
        <v>AG 8913 UK</v>
      </c>
      <c r="C285" s="16" t="str">
        <f>IFERROR(__xludf.DUMMYFUNCTION("""COMPUTED_VALUE"""),"TLPG TJ PERAK")</f>
        <v>TLPG TJ PERAK</v>
      </c>
      <c r="D285" s="16" t="str">
        <f>IFERROR(__xludf.DUMMYFUNCTION("""COMPUTED_VALUE"""),"PT RACHMASARI BRASS INDONESIA")</f>
        <v>PT RACHMASARI BRASS INDONESIA</v>
      </c>
      <c r="F285" s="19"/>
      <c r="G285" s="16"/>
    </row>
    <row r="286">
      <c r="A286" s="16">
        <f>IFERROR(__xludf.DUMMYFUNCTION("""COMPUTED_VALUE"""),11.0)</f>
        <v>11</v>
      </c>
      <c r="B286" s="16" t="str">
        <f>IFERROR(__xludf.DUMMYFUNCTION("""COMPUTED_VALUE"""),"B 9871 SFV")</f>
        <v>B 9871 SFV</v>
      </c>
      <c r="C286" s="16" t="str">
        <f>IFERROR(__xludf.DUMMYFUNCTION("""COMPUTED_VALUE"""),"TLPG MEM GRESIK")</f>
        <v>TLPG MEM GRESIK</v>
      </c>
      <c r="D286" s="16" t="str">
        <f>IFERROR(__xludf.DUMMYFUNCTION("""COMPUTED_VALUE"""),"PT PATRA LOGISTIK")</f>
        <v>PT PATRA LOGISTIK</v>
      </c>
      <c r="F286" s="19"/>
      <c r="G286" s="16"/>
    </row>
    <row r="287">
      <c r="A287" s="16">
        <f>IFERROR(__xludf.DUMMYFUNCTION("""COMPUTED_VALUE"""),11.0)</f>
        <v>11</v>
      </c>
      <c r="B287" s="16" t="str">
        <f>IFERROR(__xludf.DUMMYFUNCTION("""COMPUTED_VALUE"""),"B 9881 SFU")</f>
        <v>B 9881 SFU</v>
      </c>
      <c r="C287" s="16" t="str">
        <f>IFERROR(__xludf.DUMMYFUNCTION("""COMPUTED_VALUE"""),"TLPG MEM GRESIK")</f>
        <v>TLPG MEM GRESIK</v>
      </c>
      <c r="D287" s="16" t="str">
        <f>IFERROR(__xludf.DUMMYFUNCTION("""COMPUTED_VALUE"""),"PT PATRA NIAGA")</f>
        <v>PT PATRA NIAGA</v>
      </c>
      <c r="F287" s="19"/>
      <c r="G287" s="16"/>
    </row>
    <row r="288">
      <c r="A288" s="16">
        <f>IFERROR(__xludf.DUMMYFUNCTION("""COMPUTED_VALUE"""),11.0)</f>
        <v>11</v>
      </c>
      <c r="B288" s="16" t="str">
        <f>IFERROR(__xludf.DUMMYFUNCTION("""COMPUTED_VALUE"""),"DK 8139 TS")</f>
        <v>DK 8139 TS</v>
      </c>
      <c r="C288" s="16" t="str">
        <f>IFERROR(__xludf.DUMMYFUNCTION("""COMPUTED_VALUE"""),"TLPG MANGGIS")</f>
        <v>TLPG MANGGIS</v>
      </c>
      <c r="D288" s="16" t="str">
        <f>IFERROR(__xludf.DUMMYFUNCTION("""COMPUTED_VALUE"""),"SPPBE-PT. Gasari Mas Timur")</f>
        <v>SPPBE-PT. Gasari Mas Timur</v>
      </c>
      <c r="F288" s="19"/>
      <c r="G288" s="16"/>
    </row>
    <row r="289">
      <c r="A289" s="16">
        <f>IFERROR(__xludf.DUMMYFUNCTION("""COMPUTED_VALUE"""),11.0)</f>
        <v>11</v>
      </c>
      <c r="B289" s="16" t="str">
        <f>IFERROR(__xludf.DUMMYFUNCTION("""COMPUTED_VALUE"""),"DK 8302 HF")</f>
        <v>DK 8302 HF</v>
      </c>
      <c r="C289" s="16" t="str">
        <f>IFERROR(__xludf.DUMMYFUNCTION("""COMPUTED_VALUE"""),"TLPG MANGGIS")</f>
        <v>TLPG MANGGIS</v>
      </c>
      <c r="D289" s="16" t="str">
        <f>IFERROR(__xludf.DUMMYFUNCTION("""COMPUTED_VALUE"""),"SPPBE-PT. Kiani Pasifik Nusantara")</f>
        <v>SPPBE-PT. Kiani Pasifik Nusantara</v>
      </c>
      <c r="F289" s="19"/>
      <c r="G289" s="16"/>
    </row>
    <row r="290">
      <c r="A290" s="16">
        <f>IFERROR(__xludf.DUMMYFUNCTION("""COMPUTED_VALUE"""),11.0)</f>
        <v>11</v>
      </c>
      <c r="B290" s="16" t="str">
        <f>IFERROR(__xludf.DUMMYFUNCTION("""COMPUTED_VALUE"""),"DK 8305 BW")</f>
        <v>DK 8305 BW</v>
      </c>
      <c r="C290" s="16" t="str">
        <f>IFERROR(__xludf.DUMMYFUNCTION("""COMPUTED_VALUE"""),"TLPG MANGGIS")</f>
        <v>TLPG MANGGIS</v>
      </c>
      <c r="D290" s="16" t="str">
        <f>IFERROR(__xludf.DUMMYFUNCTION("""COMPUTED_VALUE"""),"Data Company Belum Ada")</f>
        <v>Data Company Belum Ada</v>
      </c>
      <c r="F290" s="19"/>
      <c r="G290" s="16"/>
    </row>
    <row r="291">
      <c r="A291" s="16">
        <f>IFERROR(__xludf.DUMMYFUNCTION("""COMPUTED_VALUE"""),11.0)</f>
        <v>11</v>
      </c>
      <c r="B291" s="16" t="str">
        <f>IFERROR(__xludf.DUMMYFUNCTION("""COMPUTED_VALUE"""),"DK 8587 OL")</f>
        <v>DK 8587 OL</v>
      </c>
      <c r="C291" s="16" t="str">
        <f>IFERROR(__xludf.DUMMYFUNCTION("""COMPUTED_VALUE"""),"TLPG MANGGIS")</f>
        <v>TLPG MANGGIS</v>
      </c>
      <c r="D291" s="16" t="str">
        <f>IFERROR(__xludf.DUMMYFUNCTION("""COMPUTED_VALUE"""),"SPPBE-PT. Putra Bali Dwipa")</f>
        <v>SPPBE-PT. Putra Bali Dwipa</v>
      </c>
      <c r="F291" s="19"/>
      <c r="G291" s="16"/>
    </row>
    <row r="292">
      <c r="A292" s="16">
        <f>IFERROR(__xludf.DUMMYFUNCTION("""COMPUTED_VALUE"""),11.0)</f>
        <v>11</v>
      </c>
      <c r="B292" s="16" t="str">
        <f>IFERROR(__xludf.DUMMYFUNCTION("""COMPUTED_VALUE"""),"DK 8640 VM")</f>
        <v>DK 8640 VM</v>
      </c>
      <c r="C292" s="16" t="str">
        <f>IFERROR(__xludf.DUMMYFUNCTION("""COMPUTED_VALUE"""),"TLPG MANGGIS")</f>
        <v>TLPG MANGGIS</v>
      </c>
      <c r="D292" s="16" t="str">
        <f>IFERROR(__xludf.DUMMYFUNCTION("""COMPUTED_VALUE"""),"PT. Ayu Sari Pertiwi")</f>
        <v>PT. Ayu Sari Pertiwi</v>
      </c>
      <c r="F292" s="19"/>
      <c r="G292" s="16"/>
    </row>
    <row r="293">
      <c r="A293" s="16">
        <f>IFERROR(__xludf.DUMMYFUNCTION("""COMPUTED_VALUE"""),11.0)</f>
        <v>11</v>
      </c>
      <c r="B293" s="16" t="str">
        <f>IFERROR(__xludf.DUMMYFUNCTION("""COMPUTED_VALUE"""),"DR 8792 KC")</f>
        <v>DR 8792 KC</v>
      </c>
      <c r="C293" s="16" t="str">
        <f>IFERROR(__xludf.DUMMYFUNCTION("""COMPUTED_VALUE"""),"TLPG LOMBOK")</f>
        <v>TLPG LOMBOK</v>
      </c>
      <c r="D293" s="16" t="str">
        <f>IFERROR(__xludf.DUMMYFUNCTION("""COMPUTED_VALUE"""),"SPPBE-PT. Anugrah Narwastu Raya")</f>
        <v>SPPBE-PT. Anugrah Narwastu Raya</v>
      </c>
      <c r="F293" s="19"/>
      <c r="G293" s="16"/>
    </row>
    <row r="294">
      <c r="A294" s="16">
        <f>IFERROR(__xludf.DUMMYFUNCTION("""COMPUTED_VALUE"""),11.0)</f>
        <v>11</v>
      </c>
      <c r="B294" s="16" t="str">
        <f>IFERROR(__xludf.DUMMYFUNCTION("""COMPUTED_VALUE"""),"EA 8678 SC")</f>
        <v>EA 8678 SC</v>
      </c>
      <c r="C294" s="16" t="str">
        <f>IFERROR(__xludf.DUMMYFUNCTION("""COMPUTED_VALUE"""),"TLPG BIMA")</f>
        <v>TLPG BIMA</v>
      </c>
      <c r="D294" s="16" t="str">
        <f>IFERROR(__xludf.DUMMYFUNCTION("""COMPUTED_VALUE"""),"Data Company Belum Ada")</f>
        <v>Data Company Belum Ada</v>
      </c>
      <c r="F294" s="19"/>
      <c r="G294" s="16"/>
    </row>
    <row r="295">
      <c r="A295" s="16">
        <f>IFERROR(__xludf.DUMMYFUNCTION("""COMPUTED_VALUE"""),11.0)</f>
        <v>11</v>
      </c>
      <c r="B295" s="16" t="str">
        <f>IFERROR(__xludf.DUMMYFUNCTION("""COMPUTED_VALUE"""),"L 8079 UQ")</f>
        <v>L 8079 UQ</v>
      </c>
      <c r="C295" s="16" t="str">
        <f>IFERROR(__xludf.DUMMYFUNCTION("""COMPUTED_VALUE"""),"TLPG MEM GRESIK")</f>
        <v>TLPG MEM GRESIK</v>
      </c>
      <c r="D295" s="16" t="str">
        <f>IFERROR(__xludf.DUMMYFUNCTION("""COMPUTED_VALUE"""),"PT PATRA NIAGA")</f>
        <v>PT PATRA NIAGA</v>
      </c>
      <c r="F295" s="19"/>
      <c r="G295" s="16"/>
    </row>
    <row r="296">
      <c r="A296" s="16">
        <f>IFERROR(__xludf.DUMMYFUNCTION("""COMPUTED_VALUE"""),11.0)</f>
        <v>11</v>
      </c>
      <c r="B296" s="16" t="str">
        <f>IFERROR(__xludf.DUMMYFUNCTION("""COMPUTED_VALUE"""),"L 8454 N")</f>
        <v>L 8454 N</v>
      </c>
      <c r="C296" s="16" t="str">
        <f>IFERROR(__xludf.DUMMYFUNCTION("""COMPUTED_VALUE"""),"TLPG TJ PERAK")</f>
        <v>TLPG TJ PERAK</v>
      </c>
      <c r="D296" s="16" t="str">
        <f>IFERROR(__xludf.DUMMYFUNCTION("""COMPUTED_VALUE"""),"PT ANDHIKA DIAN UTAMA")</f>
        <v>PT ANDHIKA DIAN UTAMA</v>
      </c>
      <c r="F296" s="19"/>
      <c r="G296" s="16"/>
    </row>
    <row r="297">
      <c r="A297" s="16">
        <f>IFERROR(__xludf.DUMMYFUNCTION("""COMPUTED_VALUE"""),11.0)</f>
        <v>11</v>
      </c>
      <c r="B297" s="16" t="str">
        <f>IFERROR(__xludf.DUMMYFUNCTION("""COMPUTED_VALUE"""),"L 9161 UB")</f>
        <v>L 9161 UB</v>
      </c>
      <c r="C297" s="16" t="str">
        <f>IFERROR(__xludf.DUMMYFUNCTION("""COMPUTED_VALUE"""),"TLPG TJ PERAK")</f>
        <v>TLPG TJ PERAK</v>
      </c>
      <c r="D297" s="16" t="str">
        <f>IFERROR(__xludf.DUMMYFUNCTION("""COMPUTED_VALUE"""),"PT GEHA INTI CITRA")</f>
        <v>PT GEHA INTI CITRA</v>
      </c>
      <c r="F297" s="19"/>
      <c r="G297" s="16"/>
    </row>
    <row r="298">
      <c r="A298" s="16">
        <f>IFERROR(__xludf.DUMMYFUNCTION("""COMPUTED_VALUE"""),11.0)</f>
        <v>11</v>
      </c>
      <c r="B298" s="16" t="str">
        <f>IFERROR(__xludf.DUMMYFUNCTION("""COMPUTED_VALUE"""),"M 9352 UV")</f>
        <v>M 9352 UV</v>
      </c>
      <c r="C298" s="16" t="str">
        <f>IFERROR(__xludf.DUMMYFUNCTION("""COMPUTED_VALUE"""),"TLPG TJ PERAK")</f>
        <v>TLPG TJ PERAK</v>
      </c>
      <c r="D298" s="16" t="str">
        <f>IFERROR(__xludf.DUMMYFUNCTION("""COMPUTED_VALUE"""),"PT MITRA MADURA DHARMA ABADI")</f>
        <v>PT MITRA MADURA DHARMA ABADI</v>
      </c>
      <c r="F298" s="19"/>
      <c r="G298" s="16"/>
    </row>
    <row r="299">
      <c r="A299" s="16">
        <f>IFERROR(__xludf.DUMMYFUNCTION("""COMPUTED_VALUE"""),11.0)</f>
        <v>11</v>
      </c>
      <c r="B299" s="16" t="str">
        <f>IFERROR(__xludf.DUMMYFUNCTION("""COMPUTED_VALUE"""),"N 8041 UZ")</f>
        <v>N 8041 UZ</v>
      </c>
      <c r="C299" s="16" t="str">
        <f>IFERROR(__xludf.DUMMYFUNCTION("""COMPUTED_VALUE"""),"TLPG MEM GRESIK")</f>
        <v>TLPG MEM GRESIK</v>
      </c>
      <c r="D299" s="16" t="str">
        <f>IFERROR(__xludf.DUMMYFUNCTION("""COMPUTED_VALUE"""),"PT SINAR AGUNG PUTRA ABADI")</f>
        <v>PT SINAR AGUNG PUTRA ABADI</v>
      </c>
      <c r="F299" s="19"/>
      <c r="G299" s="16"/>
    </row>
    <row r="300">
      <c r="A300" s="16">
        <f>IFERROR(__xludf.DUMMYFUNCTION("""COMPUTED_VALUE"""),11.0)</f>
        <v>11</v>
      </c>
      <c r="B300" s="16" t="str">
        <f>IFERROR(__xludf.DUMMYFUNCTION("""COMPUTED_VALUE"""),"N 8079 US")</f>
        <v>N 8079 US</v>
      </c>
      <c r="C300" s="16" t="str">
        <f>IFERROR(__xludf.DUMMYFUNCTION("""COMPUTED_VALUE"""),"TLPG TJ PERAK")</f>
        <v>TLPG TJ PERAK</v>
      </c>
      <c r="D300" s="16" t="str">
        <f>IFERROR(__xludf.DUMMYFUNCTION("""COMPUTED_VALUE"""),"PT ANUGERAH SUMBER BERKAT")</f>
        <v>PT ANUGERAH SUMBER BERKAT</v>
      </c>
      <c r="F300" s="19"/>
      <c r="G300" s="16"/>
    </row>
    <row r="301">
      <c r="A301" s="16">
        <f>IFERROR(__xludf.DUMMYFUNCTION("""COMPUTED_VALUE"""),11.0)</f>
        <v>11</v>
      </c>
      <c r="B301" s="16" t="str">
        <f>IFERROR(__xludf.DUMMYFUNCTION("""COMPUTED_VALUE"""),"N 8782 UR")</f>
        <v>N 8782 UR</v>
      </c>
      <c r="C301" s="16" t="str">
        <f>IFERROR(__xludf.DUMMYFUNCTION("""COMPUTED_VALUE"""),"TLPG TJ WANGI")</f>
        <v>TLPG TJ WANGI</v>
      </c>
      <c r="D301" s="16" t="str">
        <f>IFERROR(__xludf.DUMMYFUNCTION("""COMPUTED_VALUE"""),"Data Company Belum Ada")</f>
        <v>Data Company Belum Ada</v>
      </c>
      <c r="F301" s="19"/>
      <c r="G301" s="16"/>
    </row>
    <row r="302">
      <c r="A302" s="16">
        <f>IFERROR(__xludf.DUMMYFUNCTION("""COMPUTED_VALUE"""),11.0)</f>
        <v>11</v>
      </c>
      <c r="B302" s="16" t="str">
        <f>IFERROR(__xludf.DUMMYFUNCTION("""COMPUTED_VALUE"""),"N 9262 UF")</f>
        <v>N 9262 UF</v>
      </c>
      <c r="C302" s="16" t="str">
        <f>IFERROR(__xludf.DUMMYFUNCTION("""COMPUTED_VALUE"""),"TLPG MEM GRESIK")</f>
        <v>TLPG MEM GRESIK</v>
      </c>
      <c r="D302" s="16" t="str">
        <f>IFERROR(__xludf.DUMMYFUNCTION("""COMPUTED_VALUE"""),"PT SINAR WAHANA SURYA")</f>
        <v>PT SINAR WAHANA SURYA</v>
      </c>
      <c r="F302" s="19"/>
      <c r="G302" s="16"/>
    </row>
    <row r="303">
      <c r="A303" s="16">
        <f>IFERROR(__xludf.DUMMYFUNCTION("""COMPUTED_VALUE"""),11.0)</f>
        <v>11</v>
      </c>
      <c r="B303" s="16" t="str">
        <f>IFERROR(__xludf.DUMMYFUNCTION("""COMPUTED_VALUE"""),"N 9578 US")</f>
        <v>N 9578 US</v>
      </c>
      <c r="C303" s="16" t="str">
        <f>IFERROR(__xludf.DUMMYFUNCTION("""COMPUTED_VALUE"""),"TLPG TJ PERAK")</f>
        <v>TLPG TJ PERAK</v>
      </c>
      <c r="D303" s="16" t="str">
        <f>IFERROR(__xludf.DUMMYFUNCTION("""COMPUTED_VALUE"""),"PT BINA ANUGERAH INTI KIMIA")</f>
        <v>PT BINA ANUGERAH INTI KIMIA</v>
      </c>
      <c r="F303" s="19"/>
      <c r="G303" s="16"/>
    </row>
    <row r="304">
      <c r="A304" s="16">
        <f>IFERROR(__xludf.DUMMYFUNCTION("""COMPUTED_VALUE"""),11.0)</f>
        <v>11</v>
      </c>
      <c r="B304" s="16" t="str">
        <f>IFERROR(__xludf.DUMMYFUNCTION("""COMPUTED_VALUE"""),"P 8277 UG")</f>
        <v>P 8277 UG</v>
      </c>
      <c r="C304" s="16" t="str">
        <f>IFERROR(__xludf.DUMMYFUNCTION("""COMPUTED_VALUE"""),"TLPG TJ WANGI")</f>
        <v>TLPG TJ WANGI</v>
      </c>
      <c r="D304" s="16" t="str">
        <f>IFERROR(__xludf.DUMMYFUNCTION("""COMPUTED_VALUE"""),"Data Company Belum Ada")</f>
        <v>Data Company Belum Ada</v>
      </c>
      <c r="F304" s="19"/>
      <c r="G304" s="16"/>
    </row>
    <row r="305">
      <c r="A305" s="16">
        <f>IFERROR(__xludf.DUMMYFUNCTION("""COMPUTED_VALUE"""),11.0)</f>
        <v>11</v>
      </c>
      <c r="B305" s="16" t="str">
        <f>IFERROR(__xludf.DUMMYFUNCTION("""COMPUTED_VALUE"""),"S 8752 UC")</f>
        <v>S 8752 UC</v>
      </c>
      <c r="C305" s="16" t="str">
        <f>IFERROR(__xludf.DUMMYFUNCTION("""COMPUTED_VALUE"""),"TLPG TJ PERAK")</f>
        <v>TLPG TJ PERAK</v>
      </c>
      <c r="D305" s="16" t="str">
        <f>IFERROR(__xludf.DUMMYFUNCTION("""COMPUTED_VALUE"""),"PT LA TUNSA")</f>
        <v>PT LA TUNSA</v>
      </c>
      <c r="F305" s="19"/>
      <c r="G305" s="16"/>
    </row>
    <row r="306">
      <c r="A306" s="16">
        <f>IFERROR(__xludf.DUMMYFUNCTION("""COMPUTED_VALUE"""),11.0)</f>
        <v>11</v>
      </c>
      <c r="B306" s="16" t="str">
        <f>IFERROR(__xludf.DUMMYFUNCTION("""COMPUTED_VALUE"""),"W 8921 UR")</f>
        <v>W 8921 UR</v>
      </c>
      <c r="C306" s="16" t="str">
        <f>IFERROR(__xludf.DUMMYFUNCTION("""COMPUTED_VALUE"""),"TLPG TJ PERAK")</f>
        <v>TLPG TJ PERAK</v>
      </c>
      <c r="D306" s="16" t="str">
        <f>IFERROR(__xludf.DUMMYFUNCTION("""COMPUTED_VALUE"""),"PT WIN MED INDONESIA")</f>
        <v>PT WIN MED INDONESIA</v>
      </c>
      <c r="F306" s="19"/>
      <c r="G306" s="16"/>
    </row>
    <row r="307">
      <c r="A307" s="32">
        <f>IFERROR(__xludf.DUMMYFUNCTION("""COMPUTED_VALUE"""),12.0)</f>
        <v>12</v>
      </c>
      <c r="B307" s="32" t="str">
        <f>IFERROR(__xludf.DUMMYFUNCTION("""COMPUTED_VALUE"""),"AE 8642 UP")</f>
        <v>AE 8642 UP</v>
      </c>
      <c r="C307" s="32" t="str">
        <f>IFERROR(__xludf.DUMMYFUNCTION("""COMPUTED_VALUE"""),"TLPG TJ PERAK")</f>
        <v>TLPG TJ PERAK</v>
      </c>
      <c r="D307" s="32" t="str">
        <f>IFERROR(__xludf.DUMMYFUNCTION("""COMPUTED_VALUE"""),"PT TRISINDO ADIKAMULIA")</f>
        <v>PT TRISINDO ADIKAMULIA</v>
      </c>
      <c r="E307" s="33" t="s">
        <v>511</v>
      </c>
      <c r="F307" s="19"/>
      <c r="G307" s="16"/>
    </row>
    <row r="308">
      <c r="A308" s="32">
        <f>IFERROR(__xludf.DUMMYFUNCTION("""COMPUTED_VALUE"""),12.0)</f>
        <v>12</v>
      </c>
      <c r="B308" s="32" t="str">
        <f>IFERROR(__xludf.DUMMYFUNCTION("""COMPUTED_VALUE"""),"AG 8106 UC")</f>
        <v>AG 8106 UC</v>
      </c>
      <c r="C308" s="32" t="str">
        <f>IFERROR(__xludf.DUMMYFUNCTION("""COMPUTED_VALUE"""),"TLPG TJ PERAK")</f>
        <v>TLPG TJ PERAK</v>
      </c>
      <c r="D308" s="32" t="str">
        <f>IFERROR(__xludf.DUMMYFUNCTION("""COMPUTED_VALUE"""),"PT LIRBOYO INSAN GLOBAL")</f>
        <v>PT LIRBOYO INSAN GLOBAL</v>
      </c>
      <c r="F308" s="19"/>
      <c r="G308" s="16"/>
    </row>
    <row r="309">
      <c r="A309" s="32">
        <f>IFERROR(__xludf.DUMMYFUNCTION("""COMPUTED_VALUE"""),12.0)</f>
        <v>12</v>
      </c>
      <c r="B309" s="32" t="str">
        <f>IFERROR(__xludf.DUMMYFUNCTION("""COMPUTED_VALUE"""),"AG 8817 UT")</f>
        <v>AG 8817 UT</v>
      </c>
      <c r="C309" s="32" t="str">
        <f>IFERROR(__xludf.DUMMYFUNCTION("""COMPUTED_VALUE"""),"TLPG TJ PERAK")</f>
        <v>TLPG TJ PERAK</v>
      </c>
      <c r="D309" s="32" t="str">
        <f>IFERROR(__xludf.DUMMYFUNCTION("""COMPUTED_VALUE"""),"PT GANGSAR SENTOSA PETROLIUM")</f>
        <v>PT GANGSAR SENTOSA PETROLIUM</v>
      </c>
      <c r="F309" s="19"/>
      <c r="G309" s="16"/>
    </row>
    <row r="310">
      <c r="A310" s="32">
        <f>IFERROR(__xludf.DUMMYFUNCTION("""COMPUTED_VALUE"""),12.0)</f>
        <v>12</v>
      </c>
      <c r="B310" s="32" t="str">
        <f>IFERROR(__xludf.DUMMYFUNCTION("""COMPUTED_VALUE"""),"B 9069 SEJ")</f>
        <v>B 9069 SEJ</v>
      </c>
      <c r="C310" s="32" t="str">
        <f>IFERROR(__xludf.DUMMYFUNCTION("""COMPUTED_VALUE"""),"TLPG TJ WANGI")</f>
        <v>TLPG TJ WANGI</v>
      </c>
      <c r="D310" s="32" t="str">
        <f>IFERROR(__xludf.DUMMYFUNCTION("""COMPUTED_VALUE"""),"Data Company Belum Ada")</f>
        <v>Data Company Belum Ada</v>
      </c>
      <c r="F310" s="19"/>
      <c r="G310" s="16"/>
    </row>
    <row r="311">
      <c r="A311" s="32">
        <f>IFERROR(__xludf.DUMMYFUNCTION("""COMPUTED_VALUE"""),12.0)</f>
        <v>12</v>
      </c>
      <c r="B311" s="32" t="str">
        <f>IFERROR(__xludf.DUMMYFUNCTION("""COMPUTED_VALUE"""),"DK 8148 TS")</f>
        <v>DK 8148 TS</v>
      </c>
      <c r="C311" s="32" t="str">
        <f>IFERROR(__xludf.DUMMYFUNCTION("""COMPUTED_VALUE"""),"TLPG MANGGIS")</f>
        <v>TLPG MANGGIS</v>
      </c>
      <c r="D311" s="32" t="str">
        <f>IFERROR(__xludf.DUMMYFUNCTION("""COMPUTED_VALUE"""),"SPPBE-PT. Gasari Mas Timur")</f>
        <v>SPPBE-PT. Gasari Mas Timur</v>
      </c>
      <c r="F311" s="19"/>
      <c r="G311" s="16"/>
    </row>
    <row r="312">
      <c r="A312" s="32">
        <f>IFERROR(__xludf.DUMMYFUNCTION("""COMPUTED_VALUE"""),12.0)</f>
        <v>12</v>
      </c>
      <c r="B312" s="32" t="str">
        <f>IFERROR(__xludf.DUMMYFUNCTION("""COMPUTED_VALUE"""),"DK 8588 OL")</f>
        <v>DK 8588 OL</v>
      </c>
      <c r="C312" s="32" t="str">
        <f>IFERROR(__xludf.DUMMYFUNCTION("""COMPUTED_VALUE"""),"TLPG MANGGIS")</f>
        <v>TLPG MANGGIS</v>
      </c>
      <c r="D312" s="32" t="str">
        <f>IFERROR(__xludf.DUMMYFUNCTION("""COMPUTED_VALUE"""),"SPPBE-PT. Putra Bali Dwipa")</f>
        <v>SPPBE-PT. Putra Bali Dwipa</v>
      </c>
      <c r="F312" s="19"/>
      <c r="G312" s="16"/>
    </row>
    <row r="313">
      <c r="A313" s="32">
        <f>IFERROR(__xludf.DUMMYFUNCTION("""COMPUTED_VALUE"""),12.0)</f>
        <v>12</v>
      </c>
      <c r="B313" s="32" t="str">
        <f>IFERROR(__xludf.DUMMYFUNCTION("""COMPUTED_VALUE"""),"DK 8696 AS")</f>
        <v>DK 8696 AS</v>
      </c>
      <c r="C313" s="32" t="str">
        <f>IFERROR(__xludf.DUMMYFUNCTION("""COMPUTED_VALUE"""),"TLPG MANGGIS")</f>
        <v>TLPG MANGGIS</v>
      </c>
      <c r="D313" s="32" t="str">
        <f>IFERROR(__xludf.DUMMYFUNCTION("""COMPUTED_VALUE"""),"Data Company Belum Ada")</f>
        <v>Data Company Belum Ada</v>
      </c>
      <c r="F313" s="19"/>
      <c r="G313" s="16"/>
    </row>
    <row r="314">
      <c r="A314" s="32">
        <f>IFERROR(__xludf.DUMMYFUNCTION("""COMPUTED_VALUE"""),12.0)</f>
        <v>12</v>
      </c>
      <c r="B314" s="32" t="str">
        <f>IFERROR(__xludf.DUMMYFUNCTION("""COMPUTED_VALUE"""),"DR 8542 AG")</f>
        <v>DR 8542 AG</v>
      </c>
      <c r="C314" s="32" t="str">
        <f>IFERROR(__xludf.DUMMYFUNCTION("""COMPUTED_VALUE"""),"TLPG LOMBOK")</f>
        <v>TLPG LOMBOK</v>
      </c>
      <c r="D314" s="32" t="str">
        <f>IFERROR(__xludf.DUMMYFUNCTION("""COMPUTED_VALUE"""),"SPPBE-PT. Lombok Menara Energigas")</f>
        <v>SPPBE-PT. Lombok Menara Energigas</v>
      </c>
      <c r="F314" s="19"/>
      <c r="G314" s="16"/>
    </row>
    <row r="315">
      <c r="A315" s="32">
        <f>IFERROR(__xludf.DUMMYFUNCTION("""COMPUTED_VALUE"""),12.0)</f>
        <v>12</v>
      </c>
      <c r="B315" s="32" t="str">
        <f>IFERROR(__xludf.DUMMYFUNCTION("""COMPUTED_VALUE"""),"EA 8671 SC")</f>
        <v>EA 8671 SC</v>
      </c>
      <c r="C315" s="32" t="str">
        <f>IFERROR(__xludf.DUMMYFUNCTION("""COMPUTED_VALUE"""),"TLPG BIMA")</f>
        <v>TLPG BIMA</v>
      </c>
      <c r="D315" s="32" t="str">
        <f>IFERROR(__xludf.DUMMYFUNCTION("""COMPUTED_VALUE"""),"PT. BIMA OIL INTERNUSA")</f>
        <v>PT. BIMA OIL INTERNUSA</v>
      </c>
      <c r="F315" s="19"/>
      <c r="G315" s="16"/>
    </row>
    <row r="316">
      <c r="A316" s="32">
        <f>IFERROR(__xludf.DUMMYFUNCTION("""COMPUTED_VALUE"""),12.0)</f>
        <v>12</v>
      </c>
      <c r="B316" s="32" t="str">
        <f>IFERROR(__xludf.DUMMYFUNCTION("""COMPUTED_VALUE"""),"L 8013 UX")</f>
        <v>L 8013 UX</v>
      </c>
      <c r="C316" s="32" t="str">
        <f>IFERROR(__xludf.DUMMYFUNCTION("""COMPUTED_VALUE"""),"TLPG MEM GRESIK")</f>
        <v>TLPG MEM GRESIK</v>
      </c>
      <c r="D316" s="32" t="str">
        <f>IFERROR(__xludf.DUMMYFUNCTION("""COMPUTED_VALUE"""),"PT PERMATA ENERGI BUMI INDONESIA")</f>
        <v>PT PERMATA ENERGI BUMI INDONESIA</v>
      </c>
      <c r="F316" s="19"/>
      <c r="G316" s="16"/>
    </row>
    <row r="317">
      <c r="A317" s="32">
        <f>IFERROR(__xludf.DUMMYFUNCTION("""COMPUTED_VALUE"""),12.0)</f>
        <v>12</v>
      </c>
      <c r="B317" s="32" t="str">
        <f>IFERROR(__xludf.DUMMYFUNCTION("""COMPUTED_VALUE"""),"L 8036 UUB")</f>
        <v>L 8036 UUB</v>
      </c>
      <c r="C317" s="32" t="str">
        <f>IFERROR(__xludf.DUMMYFUNCTION("""COMPUTED_VALUE"""),"TLPG MEM GRESIK")</f>
        <v>TLPG MEM GRESIK</v>
      </c>
      <c r="D317" s="32" t="str">
        <f>IFERROR(__xludf.DUMMYFUNCTION("""COMPUTED_VALUE"""),"PT KARYA USAHA LESTARI")</f>
        <v>PT KARYA USAHA LESTARI</v>
      </c>
      <c r="F317" s="19"/>
      <c r="G317" s="16"/>
    </row>
    <row r="318">
      <c r="A318" s="32">
        <f>IFERROR(__xludf.DUMMYFUNCTION("""COMPUTED_VALUE"""),12.0)</f>
        <v>12</v>
      </c>
      <c r="B318" s="32" t="str">
        <f>IFERROR(__xludf.DUMMYFUNCTION("""COMPUTED_VALUE"""),"L 8063 BL")</f>
        <v>L 8063 BL</v>
      </c>
      <c r="C318" s="32" t="str">
        <f>IFERROR(__xludf.DUMMYFUNCTION("""COMPUTED_VALUE"""),"TLPG TJ PERAK")</f>
        <v>TLPG TJ PERAK</v>
      </c>
      <c r="D318" s="32" t="str">
        <f>IFERROR(__xludf.DUMMYFUNCTION("""COMPUTED_VALUE"""),"PT DHARMA TECH INFOMEDIA")</f>
        <v>PT DHARMA TECH INFOMEDIA</v>
      </c>
      <c r="F318" s="19"/>
      <c r="G318" s="16"/>
    </row>
    <row r="319">
      <c r="A319" s="32">
        <f>IFERROR(__xludf.DUMMYFUNCTION("""COMPUTED_VALUE"""),12.0)</f>
        <v>12</v>
      </c>
      <c r="B319" s="32" t="str">
        <f>IFERROR(__xludf.DUMMYFUNCTION("""COMPUTED_VALUE"""),"L 8088 UR")</f>
        <v>L 8088 UR</v>
      </c>
      <c r="C319" s="32" t="str">
        <f>IFERROR(__xludf.DUMMYFUNCTION("""COMPUTED_VALUE"""),"TLPG MEM GRESIK")</f>
        <v>TLPG MEM GRESIK</v>
      </c>
      <c r="D319" s="32" t="str">
        <f>IFERROR(__xludf.DUMMYFUNCTION("""COMPUTED_VALUE"""),"PT PATRA NIAGA")</f>
        <v>PT PATRA NIAGA</v>
      </c>
      <c r="F319" s="19"/>
      <c r="G319" s="16"/>
    </row>
    <row r="320">
      <c r="A320" s="32">
        <f>IFERROR(__xludf.DUMMYFUNCTION("""COMPUTED_VALUE"""),12.0)</f>
        <v>12</v>
      </c>
      <c r="B320" s="32" t="str">
        <f>IFERROR(__xludf.DUMMYFUNCTION("""COMPUTED_VALUE"""),"L 8892 UU")</f>
        <v>L 8892 UU</v>
      </c>
      <c r="C320" s="32" t="str">
        <f>IFERROR(__xludf.DUMMYFUNCTION("""COMPUTED_VALUE"""),"TLPG TJ PERAK")</f>
        <v>TLPG TJ PERAK</v>
      </c>
      <c r="D320" s="32" t="str">
        <f>IFERROR(__xludf.DUMMYFUNCTION("""COMPUTED_VALUE"""),"PT MUTUAL MAXEL")</f>
        <v>PT MUTUAL MAXEL</v>
      </c>
      <c r="F320" s="19"/>
      <c r="G320" s="16"/>
    </row>
    <row r="321">
      <c r="A321" s="32">
        <f>IFERROR(__xludf.DUMMYFUNCTION("""COMPUTED_VALUE"""),12.0)</f>
        <v>12</v>
      </c>
      <c r="B321" s="32" t="str">
        <f>IFERROR(__xludf.DUMMYFUNCTION("""COMPUTED_VALUE"""),"L 9290 UQ")</f>
        <v>L 9290 UQ</v>
      </c>
      <c r="C321" s="32" t="str">
        <f>IFERROR(__xludf.DUMMYFUNCTION("""COMPUTED_VALUE"""),"TLPG TJ PERAK")</f>
        <v>TLPG TJ PERAK</v>
      </c>
      <c r="D321" s="32" t="str">
        <f>IFERROR(__xludf.DUMMYFUNCTION("""COMPUTED_VALUE"""),"PT GEHA INTI CITRA")</f>
        <v>PT GEHA INTI CITRA</v>
      </c>
      <c r="F321" s="19"/>
      <c r="G321" s="16"/>
    </row>
    <row r="322">
      <c r="A322" s="32">
        <f>IFERROR(__xludf.DUMMYFUNCTION("""COMPUTED_VALUE"""),12.0)</f>
        <v>12</v>
      </c>
      <c r="B322" s="32" t="str">
        <f>IFERROR(__xludf.DUMMYFUNCTION("""COMPUTED_VALUE"""),"N 8006 UT")</f>
        <v>N 8006 UT</v>
      </c>
      <c r="C322" s="32" t="str">
        <f>IFERROR(__xludf.DUMMYFUNCTION("""COMPUTED_VALUE"""),"TLPG TJ PERAK")</f>
        <v>TLPG TJ PERAK</v>
      </c>
      <c r="D322" s="32" t="str">
        <f>IFERROR(__xludf.DUMMYFUNCTION("""COMPUTED_VALUE"""),"PT ANUGERAH JATI UTAMA")</f>
        <v>PT ANUGERAH JATI UTAMA</v>
      </c>
      <c r="F322" s="19"/>
      <c r="G322" s="16"/>
    </row>
    <row r="323">
      <c r="A323" s="32">
        <f>IFERROR(__xludf.DUMMYFUNCTION("""COMPUTED_VALUE"""),12.0)</f>
        <v>12</v>
      </c>
      <c r="B323" s="32" t="str">
        <f>IFERROR(__xludf.DUMMYFUNCTION("""COMPUTED_VALUE"""),"N 8025 UZ")</f>
        <v>N 8025 UZ</v>
      </c>
      <c r="C323" s="32" t="str">
        <f>IFERROR(__xludf.DUMMYFUNCTION("""COMPUTED_VALUE"""),"TLPG MEM GRESIK")</f>
        <v>TLPG MEM GRESIK</v>
      </c>
      <c r="D323" s="32" t="str">
        <f>IFERROR(__xludf.DUMMYFUNCTION("""COMPUTED_VALUE"""),"PT SINAR AGUNG PUTRA ABADI")</f>
        <v>PT SINAR AGUNG PUTRA ABADI</v>
      </c>
      <c r="F323" s="19"/>
      <c r="G323" s="16"/>
    </row>
    <row r="324">
      <c r="A324" s="32">
        <f>IFERROR(__xludf.DUMMYFUNCTION("""COMPUTED_VALUE"""),12.0)</f>
        <v>12</v>
      </c>
      <c r="B324" s="32" t="str">
        <f>IFERROR(__xludf.DUMMYFUNCTION("""COMPUTED_VALUE"""),"N 8582 UE")</f>
        <v>N 8582 UE</v>
      </c>
      <c r="C324" s="32" t="str">
        <f>IFERROR(__xludf.DUMMYFUNCTION("""COMPUTED_VALUE"""),"TLPG TJ PERAK")</f>
        <v>TLPG TJ PERAK</v>
      </c>
      <c r="D324" s="32" t="str">
        <f>IFERROR(__xludf.DUMMYFUNCTION("""COMPUTED_VALUE"""),"PT TRIEN GASMIKU")</f>
        <v>PT TRIEN GASMIKU</v>
      </c>
      <c r="F324" s="19"/>
      <c r="G324" s="16"/>
    </row>
    <row r="325">
      <c r="A325" s="32">
        <f>IFERROR(__xludf.DUMMYFUNCTION("""COMPUTED_VALUE"""),12.0)</f>
        <v>12</v>
      </c>
      <c r="B325" s="32" t="str">
        <f>IFERROR(__xludf.DUMMYFUNCTION("""COMPUTED_VALUE"""),"N 8777 UG")</f>
        <v>N 8777 UG</v>
      </c>
      <c r="C325" s="32" t="str">
        <f>IFERROR(__xludf.DUMMYFUNCTION("""COMPUTED_VALUE"""),"TLPG TJ PERAK")</f>
        <v>TLPG TJ PERAK</v>
      </c>
      <c r="D325" s="32" t="str">
        <f>IFERROR(__xludf.DUMMYFUNCTION("""COMPUTED_VALUE"""),"PT SOLUSINDO INNOVATIVE")</f>
        <v>PT SOLUSINDO INNOVATIVE</v>
      </c>
      <c r="F325" s="19"/>
      <c r="G325" s="16"/>
    </row>
    <row r="326">
      <c r="A326" s="32">
        <f>IFERROR(__xludf.DUMMYFUNCTION("""COMPUTED_VALUE"""),12.0)</f>
        <v>12</v>
      </c>
      <c r="B326" s="32" t="str">
        <f>IFERROR(__xludf.DUMMYFUNCTION("""COMPUTED_VALUE"""),"N 8799 UG")</f>
        <v>N 8799 UG</v>
      </c>
      <c r="C326" s="32" t="str">
        <f>IFERROR(__xludf.DUMMYFUNCTION("""COMPUTED_VALUE"""),"TLPG TJ PERAK")</f>
        <v>TLPG TJ PERAK</v>
      </c>
      <c r="D326" s="32" t="str">
        <f>IFERROR(__xludf.DUMMYFUNCTION("""COMPUTED_VALUE"""),"PT ANUGERAH SUMBER BERKAT")</f>
        <v>PT ANUGERAH SUMBER BERKAT</v>
      </c>
      <c r="F326" s="19"/>
      <c r="G326" s="16"/>
    </row>
    <row r="327">
      <c r="A327" s="32">
        <f>IFERROR(__xludf.DUMMYFUNCTION("""COMPUTED_VALUE"""),12.0)</f>
        <v>12</v>
      </c>
      <c r="B327" s="32" t="str">
        <f>IFERROR(__xludf.DUMMYFUNCTION("""COMPUTED_VALUE"""),"N 9509 UG")</f>
        <v>N 9509 UG</v>
      </c>
      <c r="C327" s="32" t="str">
        <f>IFERROR(__xludf.DUMMYFUNCTION("""COMPUTED_VALUE"""),"TLPG MEM GRESIK")</f>
        <v>TLPG MEM GRESIK</v>
      </c>
      <c r="D327" s="32" t="str">
        <f>IFERROR(__xludf.DUMMYFUNCTION("""COMPUTED_VALUE"""),"PT SINAR WAHANA SURYA")</f>
        <v>PT SINAR WAHANA SURYA</v>
      </c>
      <c r="F327" s="19"/>
      <c r="G327" s="16"/>
    </row>
    <row r="328">
      <c r="A328" s="32">
        <f>IFERROR(__xludf.DUMMYFUNCTION("""COMPUTED_VALUE"""),12.0)</f>
        <v>12</v>
      </c>
      <c r="B328" s="32" t="str">
        <f>IFERROR(__xludf.DUMMYFUNCTION("""COMPUTED_VALUE"""),"N 9910 UN")</f>
        <v>N 9910 UN</v>
      </c>
      <c r="C328" s="32" t="str">
        <f>IFERROR(__xludf.DUMMYFUNCTION("""COMPUTED_VALUE"""),"TLPG TJ WANGI")</f>
        <v>TLPG TJ WANGI</v>
      </c>
      <c r="D328" s="32" t="str">
        <f>IFERROR(__xludf.DUMMYFUNCTION("""COMPUTED_VALUE"""),"PT MAHKOTA MIGAS PERKASA")</f>
        <v>PT MAHKOTA MIGAS PERKASA</v>
      </c>
      <c r="F328" s="19"/>
      <c r="G328" s="16"/>
    </row>
    <row r="329">
      <c r="A329" s="32">
        <f>IFERROR(__xludf.DUMMYFUNCTION("""COMPUTED_VALUE"""),12.0)</f>
        <v>12</v>
      </c>
      <c r="B329" s="32" t="str">
        <f>IFERROR(__xludf.DUMMYFUNCTION("""COMPUTED_VALUE"""),"P 8172 UF")</f>
        <v>P 8172 UF</v>
      </c>
      <c r="C329" s="32" t="str">
        <f>IFERROR(__xludf.DUMMYFUNCTION("""COMPUTED_VALUE"""),"TLPG TJ WANGI")</f>
        <v>TLPG TJ WANGI</v>
      </c>
      <c r="D329" s="32" t="str">
        <f>IFERROR(__xludf.DUMMYFUNCTION("""COMPUTED_VALUE"""),"Data Company Belum Ada")</f>
        <v>Data Company Belum Ada</v>
      </c>
      <c r="F329" s="19"/>
      <c r="G329" s="16"/>
    </row>
    <row r="330">
      <c r="A330" s="32">
        <f>IFERROR(__xludf.DUMMYFUNCTION("""COMPUTED_VALUE"""),12.0)</f>
        <v>12</v>
      </c>
      <c r="B330" s="32" t="str">
        <f>IFERROR(__xludf.DUMMYFUNCTION("""COMPUTED_VALUE"""),"P 8257 UH")</f>
        <v>P 8257 UH</v>
      </c>
      <c r="C330" s="32" t="str">
        <f>IFERROR(__xludf.DUMMYFUNCTION("""COMPUTED_VALUE"""),"TLPG TJ WANGI")</f>
        <v>TLPG TJ WANGI</v>
      </c>
      <c r="D330" s="32" t="str">
        <f>IFERROR(__xludf.DUMMYFUNCTION("""COMPUTED_VALUE"""),"Data Company Belum Ada")</f>
        <v>Data Company Belum Ada</v>
      </c>
      <c r="F330" s="19"/>
      <c r="G330" s="16"/>
    </row>
    <row r="331">
      <c r="A331" s="32">
        <f>IFERROR(__xludf.DUMMYFUNCTION("""COMPUTED_VALUE"""),12.0)</f>
        <v>12</v>
      </c>
      <c r="B331" s="32" t="str">
        <f>IFERROR(__xludf.DUMMYFUNCTION("""COMPUTED_VALUE"""),"P 8360 UG")</f>
        <v>P 8360 UG</v>
      </c>
      <c r="C331" s="32" t="str">
        <f>IFERROR(__xludf.DUMMYFUNCTION("""COMPUTED_VALUE"""),"TLPG TJ WANGI")</f>
        <v>TLPG TJ WANGI</v>
      </c>
      <c r="D331" s="32" t="str">
        <f>IFERROR(__xludf.DUMMYFUNCTION("""COMPUTED_VALUE"""),"Data Company Belum Ada")</f>
        <v>Data Company Belum Ada</v>
      </c>
      <c r="F331" s="19"/>
      <c r="G331" s="16"/>
    </row>
    <row r="332">
      <c r="A332" s="32">
        <f>IFERROR(__xludf.DUMMYFUNCTION("""COMPUTED_VALUE"""),12.0)</f>
        <v>12</v>
      </c>
      <c r="B332" s="32" t="str">
        <f>IFERROR(__xludf.DUMMYFUNCTION("""COMPUTED_VALUE"""),"S 8316 AI")</f>
        <v>S 8316 AI</v>
      </c>
      <c r="C332" s="32" t="str">
        <f>IFERROR(__xludf.DUMMYFUNCTION("""COMPUTED_VALUE"""),"TLPG TJ PERAK")</f>
        <v>TLPG TJ PERAK</v>
      </c>
      <c r="D332" s="32" t="str">
        <f>IFERROR(__xludf.DUMMYFUNCTION("""COMPUTED_VALUE"""),"PT SWARNA BINA UTAMA")</f>
        <v>PT SWARNA BINA UTAMA</v>
      </c>
      <c r="F332" s="19"/>
      <c r="G332" s="16"/>
    </row>
    <row r="333">
      <c r="A333" s="32">
        <f>IFERROR(__xludf.DUMMYFUNCTION("""COMPUTED_VALUE"""),12.0)</f>
        <v>12</v>
      </c>
      <c r="B333" s="32" t="str">
        <f>IFERROR(__xludf.DUMMYFUNCTION("""COMPUTED_VALUE"""),"S 8543 UN")</f>
        <v>S 8543 UN</v>
      </c>
      <c r="C333" s="32" t="str">
        <f>IFERROR(__xludf.DUMMYFUNCTION("""COMPUTED_VALUE"""),"TLPG TJ PERAK")</f>
        <v>TLPG TJ PERAK</v>
      </c>
      <c r="D333" s="32" t="str">
        <f>IFERROR(__xludf.DUMMYFUNCTION("""COMPUTED_VALUE"""),"PT AMANATUL UMMAH GAS")</f>
        <v>PT AMANATUL UMMAH GAS</v>
      </c>
      <c r="F333" s="19"/>
      <c r="G333" s="16"/>
    </row>
    <row r="334">
      <c r="A334" s="32">
        <f>IFERROR(__xludf.DUMMYFUNCTION("""COMPUTED_VALUE"""),12.0)</f>
        <v>12</v>
      </c>
      <c r="B334" s="32" t="str">
        <f>IFERROR(__xludf.DUMMYFUNCTION("""COMPUTED_VALUE"""),"W 8041 UW")</f>
        <v>W 8041 UW</v>
      </c>
      <c r="C334" s="32" t="str">
        <f>IFERROR(__xludf.DUMMYFUNCTION("""COMPUTED_VALUE"""),"TLPG TJ PERAK")</f>
        <v>TLPG TJ PERAK</v>
      </c>
      <c r="D334" s="32" t="str">
        <f>IFERROR(__xludf.DUMMYFUNCTION("""COMPUTED_VALUE"""),"PT WIN MED INDONESIA")</f>
        <v>PT WIN MED INDONESIA</v>
      </c>
      <c r="F334" s="19"/>
      <c r="G334" s="16"/>
    </row>
    <row r="335">
      <c r="G335" s="18"/>
    </row>
  </sheetData>
  <mergeCells count="12">
    <mergeCell ref="E194:E221"/>
    <mergeCell ref="E222:E249"/>
    <mergeCell ref="E250:E278"/>
    <mergeCell ref="E279:E306"/>
    <mergeCell ref="E307:E334"/>
    <mergeCell ref="E2:E29"/>
    <mergeCell ref="E30:E56"/>
    <mergeCell ref="E57:E83"/>
    <mergeCell ref="E84:E110"/>
    <mergeCell ref="E111:E138"/>
    <mergeCell ref="E139:E166"/>
    <mergeCell ref="E167:E19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35.5"/>
    <col customWidth="1" min="9" max="9" width="25.38"/>
    <col customWidth="1" min="10" max="10" width="3.5"/>
    <col customWidth="1" min="12" max="12" width="16.5"/>
    <col customWidth="1" min="13" max="13" width="3.38"/>
    <col customWidth="1" min="14" max="14" width="32.63"/>
    <col customWidth="1" min="16" max="16" width="3.5"/>
    <col customWidth="1" min="17" max="17" width="10.88"/>
    <col customWidth="1" min="18" max="18" width="16.5"/>
    <col customWidth="1" min="19" max="19" width="3.38"/>
    <col customWidth="1" min="20" max="20" width="32.5"/>
    <col customWidth="1" min="22" max="22" width="3.5"/>
    <col customWidth="1" min="24" max="24" width="16.5"/>
    <col customWidth="1" min="25" max="25" width="3.38"/>
    <col customWidth="1" min="26" max="26" width="34.63"/>
    <col customWidth="1" min="28" max="28" width="3.5"/>
    <col customWidth="1" min="29" max="29" width="10.5"/>
    <col customWidth="1" min="30" max="30" width="16.5"/>
    <col customWidth="1" min="31" max="31" width="3.38"/>
    <col customWidth="1" min="32" max="32" width="35.5"/>
    <col customWidth="1" min="36" max="36" width="16.5"/>
    <col customWidth="1" min="37" max="37" width="17.0"/>
    <col customWidth="1" min="39" max="39" width="3.5"/>
  </cols>
  <sheetData>
    <row r="1">
      <c r="A1" s="9" t="str">
        <f>IFERROR(__xludf.DUMMYFUNCTION("{""NOPOL"",""TLPG"",""PERUSAHAAN"",""JARAK"",""KATEGORI"",""BOBOT"",""PC AWAL"",""PC BARU"";
  ARRAYFORMULA(
    LET(
      data, SORT(
        FILTER(
          {'NOTED PERHITUNGAN'!B3:B1000,'NOTED PERHITUNGAN'!C3:C1000,'NOTED PERHITUNGAN'!D3:D1000,'NOTE"&amp;"D PERHITUNGAN'!E3:E1000,'NOTED PERHITUNGAN'!J3:J1000,'NOTED PERHITUNGAN'!K3:K1000,'NOTED PERHITUNGAN'!M3:M1000},
          'NOTED PERHITUNGAN'!J3:J1000&lt;&gt;""""
        ),
        6, FALSE,
        4, FALSE
      ),
      no, SEQUENCE(ROWS(data)),
      pc, "&amp;"MOD(no-1,12)+1,
      {data,pc}
    )
  )
}"),"NOPOL")</f>
        <v>NOPOL</v>
      </c>
      <c r="B1" s="9" t="str">
        <f>IFERROR(__xludf.DUMMYFUNCTION("""COMPUTED_VALUE"""),"TLPG")</f>
        <v>TLPG</v>
      </c>
      <c r="C1" s="9" t="str">
        <f>IFERROR(__xludf.DUMMYFUNCTION("""COMPUTED_VALUE"""),"PERUSAHAAN")</f>
        <v>PERUSAHAAN</v>
      </c>
      <c r="D1" s="11" t="str">
        <f>IFERROR(__xludf.DUMMYFUNCTION("""COMPUTED_VALUE"""),"JARAK")</f>
        <v>JARAK</v>
      </c>
      <c r="E1" s="11" t="str">
        <f>IFERROR(__xludf.DUMMYFUNCTION("""COMPUTED_VALUE"""),"KATEGORI")</f>
        <v>KATEGORI</v>
      </c>
      <c r="F1" s="11" t="str">
        <f>IFERROR(__xludf.DUMMYFUNCTION("""COMPUTED_VALUE"""),"BOBOT")</f>
        <v>BOBOT</v>
      </c>
      <c r="G1" s="11" t="str">
        <f>IFERROR(__xludf.DUMMYFUNCTION("""COMPUTED_VALUE"""),"PC AWAL")</f>
        <v>PC AWAL</v>
      </c>
      <c r="H1" s="11" t="str">
        <f>IFERROR(__xludf.DUMMYFUNCTION("""COMPUTED_VALUE"""),"PC BARU")</f>
        <v>PC BARU</v>
      </c>
      <c r="I1" s="12" t="s">
        <v>14</v>
      </c>
      <c r="J1" s="11" t="str">
        <f>IFERROR(__xludf.DUMMYFUNCTION("LET(
  tinggi,32,
  pcFinal,FILTER(IF($I$2:$I1000&lt;&gt;"""",$I$2:$I1000,$H$2:$H1000),$A$2:$A1000&lt;&gt;""""),
  nopol,FILTER($A$2:$A1000,$A$2:$A1000&lt;&gt;""""),
  tlpg,FILTER($B$2:$B1000,$A$2:$A1000&lt;&gt;""""),
  perusahaan,FILTER($C$2:$C1000,$A$2:$A1000&lt;&gt;""""),
  sp,MAKE"&amp;"ARRAY(tinggi,1,LAMBDA(r,c,"""")),
  gap,MAKEARRAY(2,23,LAMBDA(r,c,"""")),
  block,LAMBDA(pc,
    LET(
      f,FILTER({nopol,tlpg,pcFinal,perusahaan},pcFinal=pc),
      b,VSTACK(
        {""NO"",""DATA BARU"",""TERMINAL"",""PC"",""KETERANGAN""},
        HS"&amp;"TACK(SEQUENCE(ROWS(f)),f)
      ),
      IF(
        tinggi&gt;ROWS(b),
        VSTACK(b,MAKEARRAY(tinggi-ROWS(b),5,LAMBDA(r,c,""""))),
        TAKE(b,tinggi)
      )
    )
  ),
  VSTACK(
    HSTACK(block(1),sp,block(2),sp,block(3),sp,block(4)),
    gap,
   "&amp;" HSTACK(block(5),sp,block(6),sp,block(7),sp,block(8)),
    gap,
    HSTACK(block(9),sp,block(10),sp,block(11),sp,block(12))
  )
)"),"NO")</f>
        <v>NO</v>
      </c>
      <c r="K1" s="11" t="str">
        <f>IFERROR(__xludf.DUMMYFUNCTION("""COMPUTED_VALUE"""),"DATA BARU")</f>
        <v>DATA BARU</v>
      </c>
      <c r="L1" s="11" t="str">
        <f>IFERROR(__xludf.DUMMYFUNCTION("""COMPUTED_VALUE"""),"TERMINAL")</f>
        <v>TERMINAL</v>
      </c>
      <c r="M1" s="11" t="str">
        <f>IFERROR(__xludf.DUMMYFUNCTION("""COMPUTED_VALUE"""),"PC")</f>
        <v>PC</v>
      </c>
      <c r="N1" s="11" t="str">
        <f>IFERROR(__xludf.DUMMYFUNCTION("""COMPUTED_VALUE"""),"KETERANGAN")</f>
        <v>KETERANGAN</v>
      </c>
      <c r="O1" s="11" t="str">
        <f>IFERROR(__xludf.DUMMYFUNCTION("""COMPUTED_VALUE"""),"")</f>
        <v/>
      </c>
      <c r="P1" s="20" t="str">
        <f>IFERROR(__xludf.DUMMYFUNCTION("""COMPUTED_VALUE"""),"NO")</f>
        <v>NO</v>
      </c>
      <c r="Q1" s="20" t="str">
        <f>IFERROR(__xludf.DUMMYFUNCTION("""COMPUTED_VALUE"""),"DATA BARU")</f>
        <v>DATA BARU</v>
      </c>
      <c r="R1" s="20" t="str">
        <f>IFERROR(__xludf.DUMMYFUNCTION("""COMPUTED_VALUE"""),"TERMINAL")</f>
        <v>TERMINAL</v>
      </c>
      <c r="S1" s="20" t="str">
        <f>IFERROR(__xludf.DUMMYFUNCTION("""COMPUTED_VALUE"""),"PC")</f>
        <v>PC</v>
      </c>
      <c r="T1" s="20" t="str">
        <f>IFERROR(__xludf.DUMMYFUNCTION("""COMPUTED_VALUE"""),"KETERANGAN")</f>
        <v>KETERANGAN</v>
      </c>
      <c r="U1" s="11" t="str">
        <f>IFERROR(__xludf.DUMMYFUNCTION("""COMPUTED_VALUE"""),"")</f>
        <v/>
      </c>
      <c r="V1" s="11" t="str">
        <f>IFERROR(__xludf.DUMMYFUNCTION("""COMPUTED_VALUE"""),"NO")</f>
        <v>NO</v>
      </c>
      <c r="W1" s="11" t="str">
        <f>IFERROR(__xludf.DUMMYFUNCTION("""COMPUTED_VALUE"""),"DATA BARU")</f>
        <v>DATA BARU</v>
      </c>
      <c r="X1" s="11" t="str">
        <f>IFERROR(__xludf.DUMMYFUNCTION("""COMPUTED_VALUE"""),"TERMINAL")</f>
        <v>TERMINAL</v>
      </c>
      <c r="Y1" s="11" t="str">
        <f>IFERROR(__xludf.DUMMYFUNCTION("""COMPUTED_VALUE"""),"PC")</f>
        <v>PC</v>
      </c>
      <c r="Z1" s="11" t="str">
        <f>IFERROR(__xludf.DUMMYFUNCTION("""COMPUTED_VALUE"""),"KETERANGAN")</f>
        <v>KETERANGAN</v>
      </c>
      <c r="AA1" s="11" t="str">
        <f>IFERROR(__xludf.DUMMYFUNCTION("""COMPUTED_VALUE"""),"")</f>
        <v/>
      </c>
      <c r="AB1" s="20" t="str">
        <f>IFERROR(__xludf.DUMMYFUNCTION("""COMPUTED_VALUE"""),"NO")</f>
        <v>NO</v>
      </c>
      <c r="AC1" s="20" t="str">
        <f>IFERROR(__xludf.DUMMYFUNCTION("""COMPUTED_VALUE"""),"DATA BARU")</f>
        <v>DATA BARU</v>
      </c>
      <c r="AD1" s="20" t="str">
        <f>IFERROR(__xludf.DUMMYFUNCTION("""COMPUTED_VALUE"""),"TERMINAL")</f>
        <v>TERMINAL</v>
      </c>
      <c r="AE1" s="20" t="str">
        <f>IFERROR(__xludf.DUMMYFUNCTION("""COMPUTED_VALUE"""),"PC")</f>
        <v>PC</v>
      </c>
      <c r="AF1" s="20" t="str">
        <f>IFERROR(__xludf.DUMMYFUNCTION("""COMPUTED_VALUE"""),"KETERANGAN")</f>
        <v>KETERANGAN</v>
      </c>
      <c r="AI1" s="14" t="s">
        <v>2</v>
      </c>
      <c r="AJ1" s="14" t="s">
        <v>3</v>
      </c>
      <c r="AK1" s="14" t="s">
        <v>12</v>
      </c>
      <c r="AM1" s="23" t="s">
        <v>1</v>
      </c>
      <c r="AN1" s="23" t="s">
        <v>35</v>
      </c>
    </row>
    <row r="2">
      <c r="A2" s="9" t="str">
        <f>IFERROR(__xludf.DUMMYFUNCTION("""COMPUTED_VALUE"""),"L 8116 UUC")</f>
        <v>L 8116 UUC</v>
      </c>
      <c r="B2" s="9" t="str">
        <f>IFERROR(__xludf.DUMMYFUNCTION("""COMPUTED_VALUE"""),"TLPG BIMA")</f>
        <v>TLPG BIMA</v>
      </c>
      <c r="C2" s="9" t="str">
        <f>IFERROR(__xludf.DUMMYFUNCTION("""COMPUTED_VALUE"""),"PT. SUMBAWA DUTA ENERGY")</f>
        <v>PT. SUMBAWA DUTA ENERGY</v>
      </c>
      <c r="D2" s="11">
        <f>IFERROR(__xludf.DUMMYFUNCTION("""COMPUTED_VALUE"""),240.9)</f>
        <v>240.9</v>
      </c>
      <c r="E2" s="11" t="str">
        <f>IFERROR(__xludf.DUMMYFUNCTION("""COMPUTED_VALUE"""),"JAUH")</f>
        <v>JAUH</v>
      </c>
      <c r="F2" s="11">
        <f>IFERROR(__xludf.DUMMYFUNCTION("""COMPUTED_VALUE"""),3.0)</f>
        <v>3</v>
      </c>
      <c r="G2" s="11">
        <f>IFERROR(__xludf.DUMMYFUNCTION("""COMPUTED_VALUE"""),1.0)</f>
        <v>1</v>
      </c>
      <c r="H2" s="11">
        <f>IFERROR(__xludf.DUMMYFUNCTION("""COMPUTED_VALUE"""),1.0)</f>
        <v>1</v>
      </c>
      <c r="I2" s="11">
        <v>1.0</v>
      </c>
      <c r="J2" s="11">
        <f>IFERROR(__xludf.DUMMYFUNCTION("""COMPUTED_VALUE"""),1.0)</f>
        <v>1</v>
      </c>
      <c r="K2" s="11" t="str">
        <f>IFERROR(__xludf.DUMMYFUNCTION("""COMPUTED_VALUE"""),"L 8116 UUC")</f>
        <v>L 8116 UUC</v>
      </c>
      <c r="L2" s="11" t="str">
        <f>IFERROR(__xludf.DUMMYFUNCTION("""COMPUTED_VALUE"""),"TLPG BIMA")</f>
        <v>TLPG BIMA</v>
      </c>
      <c r="M2" s="11">
        <f>IFERROR(__xludf.DUMMYFUNCTION("""COMPUTED_VALUE"""),1.0)</f>
        <v>1</v>
      </c>
      <c r="N2" s="11" t="str">
        <f>IFERROR(__xludf.DUMMYFUNCTION("""COMPUTED_VALUE"""),"PT. SUMBAWA DUTA ENERGY")</f>
        <v>PT. SUMBAWA DUTA ENERGY</v>
      </c>
      <c r="O2" s="11" t="str">
        <f>IFERROR(__xludf.DUMMYFUNCTION("""COMPUTED_VALUE"""),"")</f>
        <v/>
      </c>
      <c r="P2" s="20">
        <f>IFERROR(__xludf.DUMMYFUNCTION("""COMPUTED_VALUE"""),1.0)</f>
        <v>1</v>
      </c>
      <c r="Q2" s="20" t="str">
        <f>IFERROR(__xludf.DUMMYFUNCTION("""COMPUTED_VALUE"""),"W 8057 UD")</f>
        <v>W 8057 UD</v>
      </c>
      <c r="R2" s="20" t="str">
        <f>IFERROR(__xludf.DUMMYFUNCTION("""COMPUTED_VALUE"""),"TLPG BIMA")</f>
        <v>TLPG BIMA</v>
      </c>
      <c r="S2" s="20">
        <f>IFERROR(__xludf.DUMMYFUNCTION("""COMPUTED_VALUE"""),2.0)</f>
        <v>2</v>
      </c>
      <c r="T2" s="20" t="str">
        <f>IFERROR(__xludf.DUMMYFUNCTION("""COMPUTED_VALUE"""),"PT. SUMBAWA DUTA ENERGI")</f>
        <v>PT. SUMBAWA DUTA ENERGI</v>
      </c>
      <c r="U2" s="11" t="str">
        <f>IFERROR(__xludf.DUMMYFUNCTION("""COMPUTED_VALUE"""),"")</f>
        <v/>
      </c>
      <c r="V2" s="11">
        <f>IFERROR(__xludf.DUMMYFUNCTION("""COMPUTED_VALUE"""),1.0)</f>
        <v>1</v>
      </c>
      <c r="W2" s="11" t="str">
        <f>IFERROR(__xludf.DUMMYFUNCTION("""COMPUTED_VALUE"""),"P 8435 UA")</f>
        <v>P 8435 UA</v>
      </c>
      <c r="X2" s="11" t="str">
        <f>IFERROR(__xludf.DUMMYFUNCTION("""COMPUTED_VALUE"""),"TLPG MEM GRESIK")</f>
        <v>TLPG MEM GRESIK</v>
      </c>
      <c r="Y2" s="11">
        <f>IFERROR(__xludf.DUMMYFUNCTION("""COMPUTED_VALUE"""),3.0)</f>
        <v>3</v>
      </c>
      <c r="Z2" s="11" t="str">
        <f>IFERROR(__xludf.DUMMYFUNCTION("""COMPUTED_VALUE"""),"PT ARIA ENERGY PERSADA")</f>
        <v>PT ARIA ENERGY PERSADA</v>
      </c>
      <c r="AA2" s="11" t="str">
        <f>IFERROR(__xludf.DUMMYFUNCTION("""COMPUTED_VALUE"""),"")</f>
        <v/>
      </c>
      <c r="AB2" s="20">
        <f>IFERROR(__xludf.DUMMYFUNCTION("""COMPUTED_VALUE"""),1.0)</f>
        <v>1</v>
      </c>
      <c r="AC2" s="20" t="str">
        <f>IFERROR(__xludf.DUMMYFUNCTION("""COMPUTED_VALUE"""),"L 8440 UD")</f>
        <v>L 8440 UD</v>
      </c>
      <c r="AD2" s="20" t="str">
        <f>IFERROR(__xludf.DUMMYFUNCTION("""COMPUTED_VALUE"""),"TLPG MEM GRESIK")</f>
        <v>TLPG MEM GRESIK</v>
      </c>
      <c r="AE2" s="20">
        <f>IFERROR(__xludf.DUMMYFUNCTION("""COMPUTED_VALUE"""),4.0)</f>
        <v>4</v>
      </c>
      <c r="AF2" s="20" t="str">
        <f>IFERROR(__xludf.DUMMYFUNCTION("""COMPUTED_VALUE"""),"PT BINA MAKMUR SENTOSA LESTARI")</f>
        <v>PT BINA MAKMUR SENTOSA LESTARI</v>
      </c>
      <c r="AI2" s="7" t="s">
        <v>27</v>
      </c>
      <c r="AJ2" s="7" t="s">
        <v>28</v>
      </c>
      <c r="AK2" s="7" t="s">
        <v>48</v>
      </c>
      <c r="AM2" s="23">
        <v>1.0</v>
      </c>
      <c r="AN2" s="23" t="s">
        <v>26</v>
      </c>
      <c r="AO2" s="23" t="s">
        <v>25</v>
      </c>
    </row>
    <row r="3">
      <c r="A3" s="9" t="str">
        <f>IFERROR(__xludf.DUMMYFUNCTION("""COMPUTED_VALUE"""),"W 8057 UD")</f>
        <v>W 8057 UD</v>
      </c>
      <c r="B3" s="9" t="str">
        <f>IFERROR(__xludf.DUMMYFUNCTION("""COMPUTED_VALUE"""),"TLPG BIMA")</f>
        <v>TLPG BIMA</v>
      </c>
      <c r="C3" s="9" t="str">
        <f>IFERROR(__xludf.DUMMYFUNCTION("""COMPUTED_VALUE"""),"PT. SUMBAWA DUTA ENERGI")</f>
        <v>PT. SUMBAWA DUTA ENERGI</v>
      </c>
      <c r="D3" s="11">
        <f>IFERROR(__xludf.DUMMYFUNCTION("""COMPUTED_VALUE"""),240.9)</f>
        <v>240.9</v>
      </c>
      <c r="E3" s="11" t="str">
        <f>IFERROR(__xludf.DUMMYFUNCTION("""COMPUTED_VALUE"""),"JAUH")</f>
        <v>JAUH</v>
      </c>
      <c r="F3" s="11">
        <f>IFERROR(__xludf.DUMMYFUNCTION("""COMPUTED_VALUE"""),3.0)</f>
        <v>3</v>
      </c>
      <c r="G3" s="11">
        <f>IFERROR(__xludf.DUMMYFUNCTION("""COMPUTED_VALUE"""),12.0)</f>
        <v>12</v>
      </c>
      <c r="H3" s="11">
        <f>IFERROR(__xludf.DUMMYFUNCTION("""COMPUTED_VALUE"""),2.0)</f>
        <v>2</v>
      </c>
      <c r="I3" s="11">
        <v>2.0</v>
      </c>
      <c r="J3" s="11">
        <f>IFERROR(__xludf.DUMMYFUNCTION("""COMPUTED_VALUE"""),2.0)</f>
        <v>2</v>
      </c>
      <c r="K3" s="11" t="str">
        <f>IFERROR(__xludf.DUMMYFUNCTION("""COMPUTED_VALUE"""),"AE 9401 UJ")</f>
        <v>AE 9401 UJ</v>
      </c>
      <c r="L3" s="11" t="str">
        <f>IFERROR(__xludf.DUMMYFUNCTION("""COMPUTED_VALUE"""),"TLPG TJ PERAK")</f>
        <v>TLPG TJ PERAK</v>
      </c>
      <c r="M3" s="11">
        <f>IFERROR(__xludf.DUMMYFUNCTION("""COMPUTED_VALUE"""),1.0)</f>
        <v>1</v>
      </c>
      <c r="N3" s="9" t="str">
        <f>IFERROR(__xludf.DUMMYFUNCTION("""COMPUTED_VALUE"""),"PT SUMINAR MITRAGAS SELARAS")</f>
        <v>PT SUMINAR MITRAGAS SELARAS</v>
      </c>
      <c r="O3" s="11" t="str">
        <f>IFERROR(__xludf.DUMMYFUNCTION("""COMPUTED_VALUE"""),"")</f>
        <v/>
      </c>
      <c r="P3" s="20">
        <f>IFERROR(__xludf.DUMMYFUNCTION("""COMPUTED_VALUE"""),2.0)</f>
        <v>2</v>
      </c>
      <c r="Q3" s="20" t="str">
        <f>IFERROR(__xludf.DUMMYFUNCTION("""COMPUTED_VALUE"""),"AG 9151 UL")</f>
        <v>AG 9151 UL</v>
      </c>
      <c r="R3" s="20" t="str">
        <f>IFERROR(__xludf.DUMMYFUNCTION("""COMPUTED_VALUE"""),"TLPG TJ PERAK")</f>
        <v>TLPG TJ PERAK</v>
      </c>
      <c r="S3" s="20">
        <f>IFERROR(__xludf.DUMMYFUNCTION("""COMPUTED_VALUE"""),2.0)</f>
        <v>2</v>
      </c>
      <c r="T3" s="20" t="str">
        <f>IFERROR(__xludf.DUMMYFUNCTION("""COMPUTED_VALUE"""),"PT SUMINAR MITRAGAS SELARAS")</f>
        <v>PT SUMINAR MITRAGAS SELARAS</v>
      </c>
      <c r="U3" s="11" t="str">
        <f>IFERROR(__xludf.DUMMYFUNCTION("""COMPUTED_VALUE"""),"")</f>
        <v/>
      </c>
      <c r="V3" s="11">
        <f>IFERROR(__xludf.DUMMYFUNCTION("""COMPUTED_VALUE"""),2.0)</f>
        <v>2</v>
      </c>
      <c r="W3" s="11" t="str">
        <f>IFERROR(__xludf.DUMMYFUNCTION("""COMPUTED_VALUE"""),"N 8857 UR")</f>
        <v>N 8857 UR</v>
      </c>
      <c r="X3" s="11" t="str">
        <f>IFERROR(__xludf.DUMMYFUNCTION("""COMPUTED_VALUE"""),"TLPG TJ WANGI")</f>
        <v>TLPG TJ WANGI</v>
      </c>
      <c r="Y3" s="11">
        <f>IFERROR(__xludf.DUMMYFUNCTION("""COMPUTED_VALUE"""),3.0)</f>
        <v>3</v>
      </c>
      <c r="Z3" s="11" t="str">
        <f>IFERROR(__xludf.DUMMYFUNCTION("""COMPUTED_VALUE"""),"PT BHUMI PERMATA INDAH")</f>
        <v>PT BHUMI PERMATA INDAH</v>
      </c>
      <c r="AA3" s="11" t="str">
        <f>IFERROR(__xludf.DUMMYFUNCTION("""COMPUTED_VALUE"""),"")</f>
        <v/>
      </c>
      <c r="AB3" s="20">
        <f>IFERROR(__xludf.DUMMYFUNCTION("""COMPUTED_VALUE"""),2.0)</f>
        <v>2</v>
      </c>
      <c r="AC3" s="20" t="str">
        <f>IFERROR(__xludf.DUMMYFUNCTION("""COMPUTED_VALUE"""),"AE 8835 UQ")</f>
        <v>AE 8835 UQ</v>
      </c>
      <c r="AD3" s="20" t="str">
        <f>IFERROR(__xludf.DUMMYFUNCTION("""COMPUTED_VALUE"""),"TLPG TJ PERAK")</f>
        <v>TLPG TJ PERAK</v>
      </c>
      <c r="AE3" s="20">
        <f>IFERROR(__xludf.DUMMYFUNCTION("""COMPUTED_VALUE"""),4.0)</f>
        <v>4</v>
      </c>
      <c r="AF3" s="20" t="str">
        <f>IFERROR(__xludf.DUMMYFUNCTION("""COMPUTED_VALUE"""),"PT SEKAWAN GAS NUSA")</f>
        <v>PT SEKAWAN GAS NUSA</v>
      </c>
      <c r="AI3" s="7" t="s">
        <v>30</v>
      </c>
      <c r="AJ3" s="7" t="s">
        <v>28</v>
      </c>
      <c r="AK3" s="7" t="s">
        <v>48</v>
      </c>
      <c r="AM3" s="23">
        <v>2.0</v>
      </c>
      <c r="AN3" s="23" t="s">
        <v>70</v>
      </c>
      <c r="AO3" s="23" t="s">
        <v>25</v>
      </c>
    </row>
    <row r="4">
      <c r="A4" s="9" t="str">
        <f>IFERROR(__xludf.DUMMYFUNCTION("""COMPUTED_VALUE"""),"P 8435 UA")</f>
        <v>P 8435 UA</v>
      </c>
      <c r="B4" s="9" t="str">
        <f>IFERROR(__xludf.DUMMYFUNCTION("""COMPUTED_VALUE"""),"TLPG MEM GRESIK")</f>
        <v>TLPG MEM GRESIK</v>
      </c>
      <c r="C4" s="9" t="str">
        <f>IFERROR(__xludf.DUMMYFUNCTION("""COMPUTED_VALUE"""),"PT ARIA ENERGY PERSADA")</f>
        <v>PT ARIA ENERGY PERSADA</v>
      </c>
      <c r="D4" s="11">
        <f>IFERROR(__xludf.DUMMYFUNCTION("""COMPUTED_VALUE"""),235.0)</f>
        <v>235</v>
      </c>
      <c r="E4" s="11" t="str">
        <f>IFERROR(__xludf.DUMMYFUNCTION("""COMPUTED_VALUE"""),"JAUH")</f>
        <v>JAUH</v>
      </c>
      <c r="F4" s="11">
        <f>IFERROR(__xludf.DUMMYFUNCTION("""COMPUTED_VALUE"""),3.0)</f>
        <v>3</v>
      </c>
      <c r="G4" s="11">
        <f>IFERROR(__xludf.DUMMYFUNCTION("""COMPUTED_VALUE"""),10.0)</f>
        <v>10</v>
      </c>
      <c r="H4" s="11">
        <f>IFERROR(__xludf.DUMMYFUNCTION("""COMPUTED_VALUE"""),3.0)</f>
        <v>3</v>
      </c>
      <c r="I4" s="11">
        <v>3.0</v>
      </c>
      <c r="J4" s="11">
        <f>IFERROR(__xludf.DUMMYFUNCTION("""COMPUTED_VALUE"""),3.0)</f>
        <v>3</v>
      </c>
      <c r="K4" s="11" t="str">
        <f>IFERROR(__xludf.DUMMYFUNCTION("""COMPUTED_VALUE"""),"AE 8518 UJ")</f>
        <v>AE 8518 UJ</v>
      </c>
      <c r="L4" s="11" t="str">
        <f>IFERROR(__xludf.DUMMYFUNCTION("""COMPUTED_VALUE"""),"TLPG TJ PERAK")</f>
        <v>TLPG TJ PERAK</v>
      </c>
      <c r="M4" s="11">
        <f>IFERROR(__xludf.DUMMYFUNCTION("""COMPUTED_VALUE"""),1.0)</f>
        <v>1</v>
      </c>
      <c r="N4" s="11" t="str">
        <f>IFERROR(__xludf.DUMMYFUNCTION("""COMPUTED_VALUE"""),"PT NUR WISTARA ABADI")</f>
        <v>PT NUR WISTARA ABADI</v>
      </c>
      <c r="O4" s="11" t="str">
        <f>IFERROR(__xludf.DUMMYFUNCTION("""COMPUTED_VALUE"""),"")</f>
        <v/>
      </c>
      <c r="P4" s="20">
        <f>IFERROR(__xludf.DUMMYFUNCTION("""COMPUTED_VALUE"""),3.0)</f>
        <v>3</v>
      </c>
      <c r="Q4" s="20" t="str">
        <f>IFERROR(__xludf.DUMMYFUNCTION("""COMPUTED_VALUE"""),"AE 8546 UJ")</f>
        <v>AE 8546 UJ</v>
      </c>
      <c r="R4" s="20" t="str">
        <f>IFERROR(__xludf.DUMMYFUNCTION("""COMPUTED_VALUE"""),"TLPG TJ PERAK")</f>
        <v>TLPG TJ PERAK</v>
      </c>
      <c r="S4" s="20">
        <f>IFERROR(__xludf.DUMMYFUNCTION("""COMPUTED_VALUE"""),2.0)</f>
        <v>2</v>
      </c>
      <c r="T4" s="20" t="str">
        <f>IFERROR(__xludf.DUMMYFUNCTION("""COMPUTED_VALUE"""),"PT NUR WISTARA ABADI")</f>
        <v>PT NUR WISTARA ABADI</v>
      </c>
      <c r="U4" s="11" t="str">
        <f>IFERROR(__xludf.DUMMYFUNCTION("""COMPUTED_VALUE"""),"")</f>
        <v/>
      </c>
      <c r="V4" s="11">
        <f>IFERROR(__xludf.DUMMYFUNCTION("""COMPUTED_VALUE"""),3.0)</f>
        <v>3</v>
      </c>
      <c r="W4" s="11" t="str">
        <f>IFERROR(__xludf.DUMMYFUNCTION("""COMPUTED_VALUE"""),"AE 9061 UJ")</f>
        <v>AE 9061 UJ</v>
      </c>
      <c r="X4" s="11" t="str">
        <f>IFERROR(__xludf.DUMMYFUNCTION("""COMPUTED_VALUE"""),"TLPG TJ PERAK")</f>
        <v>TLPG TJ PERAK</v>
      </c>
      <c r="Y4" s="11">
        <f>IFERROR(__xludf.DUMMYFUNCTION("""COMPUTED_VALUE"""),3.0)</f>
        <v>3</v>
      </c>
      <c r="Z4" s="11" t="str">
        <f>IFERROR(__xludf.DUMMYFUNCTION("""COMPUTED_VALUE"""),"PT NUR WISTARA ABADI")</f>
        <v>PT NUR WISTARA ABADI</v>
      </c>
      <c r="AA4" s="11" t="str">
        <f>IFERROR(__xludf.DUMMYFUNCTION("""COMPUTED_VALUE"""),"")</f>
        <v/>
      </c>
      <c r="AB4" s="20">
        <f>IFERROR(__xludf.DUMMYFUNCTION("""COMPUTED_VALUE"""),3.0)</f>
        <v>3</v>
      </c>
      <c r="AC4" s="20" t="str">
        <f>IFERROR(__xludf.DUMMYFUNCTION("""COMPUTED_VALUE"""),"AG 8380 KL")</f>
        <v>AG 8380 KL</v>
      </c>
      <c r="AD4" s="20" t="str">
        <f>IFERROR(__xludf.DUMMYFUNCTION("""COMPUTED_VALUE"""),"TLPG TJ PERAK")</f>
        <v>TLPG TJ PERAK</v>
      </c>
      <c r="AE4" s="20">
        <f>IFERROR(__xludf.DUMMYFUNCTION("""COMPUTED_VALUE"""),4.0)</f>
        <v>4</v>
      </c>
      <c r="AF4" s="20" t="str">
        <f>IFERROR(__xludf.DUMMYFUNCTION("""COMPUTED_VALUE"""),"PT AGUNG CATUR UTAMA GROUP")</f>
        <v>PT AGUNG CATUR UTAMA GROUP</v>
      </c>
      <c r="AI4" s="7" t="s">
        <v>29</v>
      </c>
      <c r="AJ4" s="7" t="s">
        <v>25</v>
      </c>
      <c r="AK4" s="7" t="s">
        <v>83</v>
      </c>
      <c r="AM4" s="23">
        <v>3.0</v>
      </c>
      <c r="AN4" s="23" t="s">
        <v>61</v>
      </c>
      <c r="AO4" s="23" t="s">
        <v>28</v>
      </c>
    </row>
    <row r="5">
      <c r="A5" s="9" t="str">
        <f>IFERROR(__xludf.DUMMYFUNCTION("""COMPUTED_VALUE"""),"L 8440 UD")</f>
        <v>L 8440 UD</v>
      </c>
      <c r="B5" s="9" t="str">
        <f>IFERROR(__xludf.DUMMYFUNCTION("""COMPUTED_VALUE"""),"TLPG MEM GRESIK")</f>
        <v>TLPG MEM GRESIK</v>
      </c>
      <c r="C5" s="9" t="str">
        <f>IFERROR(__xludf.DUMMYFUNCTION("""COMPUTED_VALUE"""),"PT BINA MAKMUR SENTOSA LESTARI")</f>
        <v>PT BINA MAKMUR SENTOSA LESTARI</v>
      </c>
      <c r="D5" s="11">
        <f>IFERROR(__xludf.DUMMYFUNCTION("""COMPUTED_VALUE"""),225.5)</f>
        <v>225.5</v>
      </c>
      <c r="E5" s="11" t="str">
        <f>IFERROR(__xludf.DUMMYFUNCTION("""COMPUTED_VALUE"""),"JAUH")</f>
        <v>JAUH</v>
      </c>
      <c r="F5" s="11">
        <f>IFERROR(__xludf.DUMMYFUNCTION("""COMPUTED_VALUE"""),3.0)</f>
        <v>3</v>
      </c>
      <c r="G5" s="11">
        <f>IFERROR(__xludf.DUMMYFUNCTION("""COMPUTED_VALUE"""),4.0)</f>
        <v>4</v>
      </c>
      <c r="H5" s="11">
        <f>IFERROR(__xludf.DUMMYFUNCTION("""COMPUTED_VALUE"""),4.0)</f>
        <v>4</v>
      </c>
      <c r="I5" s="11">
        <v>4.0</v>
      </c>
      <c r="J5" s="11">
        <f>IFERROR(__xludf.DUMMYFUNCTION("""COMPUTED_VALUE"""),4.0)</f>
        <v>4</v>
      </c>
      <c r="K5" s="11" t="str">
        <f>IFERROR(__xludf.DUMMYFUNCTION("""COMPUTED_VALUE"""),"N 9287 UN")</f>
        <v>N 9287 UN</v>
      </c>
      <c r="L5" s="11" t="str">
        <f>IFERROR(__xludf.DUMMYFUNCTION("""COMPUTED_VALUE"""),"TLPG TJ WANGI")</f>
        <v>TLPG TJ WANGI</v>
      </c>
      <c r="M5" s="11">
        <f>IFERROR(__xludf.DUMMYFUNCTION("""COMPUTED_VALUE"""),1.0)</f>
        <v>1</v>
      </c>
      <c r="N5" s="11" t="str">
        <f>IFERROR(__xludf.DUMMYFUNCTION("""COMPUTED_VALUE"""),"PT HAKAMINDO PETROCHEM")</f>
        <v>PT HAKAMINDO PETROCHEM</v>
      </c>
      <c r="O5" s="11" t="str">
        <f>IFERROR(__xludf.DUMMYFUNCTION("""COMPUTED_VALUE"""),"")</f>
        <v/>
      </c>
      <c r="P5" s="20">
        <f>IFERROR(__xludf.DUMMYFUNCTION("""COMPUTED_VALUE"""),4.0)</f>
        <v>4</v>
      </c>
      <c r="Q5" s="20" t="str">
        <f>IFERROR(__xludf.DUMMYFUNCTION("""COMPUTED_VALUE"""),"N 8435 UZ")</f>
        <v>N 8435 UZ</v>
      </c>
      <c r="R5" s="20" t="str">
        <f>IFERROR(__xludf.DUMMYFUNCTION("""COMPUTED_VALUE"""),"TLPG MEM GRESIK")</f>
        <v>TLPG MEM GRESIK</v>
      </c>
      <c r="S5" s="20">
        <f>IFERROR(__xludf.DUMMYFUNCTION("""COMPUTED_VALUE"""),2.0)</f>
        <v>2</v>
      </c>
      <c r="T5" s="20" t="str">
        <f>IFERROR(__xludf.DUMMYFUNCTION("""COMPUTED_VALUE"""),"PT SENTOSA GASINDO RAYA")</f>
        <v>PT SENTOSA GASINDO RAYA</v>
      </c>
      <c r="U5" s="11" t="str">
        <f>IFERROR(__xludf.DUMMYFUNCTION("""COMPUTED_VALUE"""),"")</f>
        <v/>
      </c>
      <c r="V5" s="11">
        <f>IFERROR(__xludf.DUMMYFUNCTION("""COMPUTED_VALUE"""),4.0)</f>
        <v>4</v>
      </c>
      <c r="W5" s="11" t="str">
        <f>IFERROR(__xludf.DUMMYFUNCTION("""COMPUTED_VALUE"""),"L 9155 UB")</f>
        <v>L 9155 UB</v>
      </c>
      <c r="X5" s="11" t="str">
        <f>IFERROR(__xludf.DUMMYFUNCTION("""COMPUTED_VALUE"""),"TLPG TJ PERAK")</f>
        <v>TLPG TJ PERAK</v>
      </c>
      <c r="Y5" s="11">
        <f>IFERROR(__xludf.DUMMYFUNCTION("""COMPUTED_VALUE"""),3.0)</f>
        <v>3</v>
      </c>
      <c r="Z5" s="11" t="str">
        <f>IFERROR(__xludf.DUMMYFUNCTION("""COMPUTED_VALUE"""),"PT AGUNG CATUR UTAMA GROUP")</f>
        <v>PT AGUNG CATUR UTAMA GROUP</v>
      </c>
      <c r="AA5" s="11" t="str">
        <f>IFERROR(__xludf.DUMMYFUNCTION("""COMPUTED_VALUE"""),"")</f>
        <v/>
      </c>
      <c r="AB5" s="20">
        <f>IFERROR(__xludf.DUMMYFUNCTION("""COMPUTED_VALUE"""),4.0)</f>
        <v>4</v>
      </c>
      <c r="AC5" s="20" t="str">
        <f>IFERROR(__xludf.DUMMYFUNCTION("""COMPUTED_VALUE"""),"AE 8018 UG")</f>
        <v>AE 8018 UG</v>
      </c>
      <c r="AD5" s="20" t="str">
        <f>IFERROR(__xludf.DUMMYFUNCTION("""COMPUTED_VALUE"""),"TLPG TJ PERAK")</f>
        <v>TLPG TJ PERAK</v>
      </c>
      <c r="AE5" s="20">
        <f>IFERROR(__xludf.DUMMYFUNCTION("""COMPUTED_VALUE"""),4.0)</f>
        <v>4</v>
      </c>
      <c r="AF5" s="20" t="str">
        <f>IFERROR(__xludf.DUMMYFUNCTION("""COMPUTED_VALUE"""),"PT MADIUNI ELPIJI")</f>
        <v>PT MADIUNI ELPIJI</v>
      </c>
      <c r="AI5" s="7" t="s">
        <v>58</v>
      </c>
      <c r="AJ5" s="7" t="s">
        <v>25</v>
      </c>
      <c r="AK5" s="7" t="s">
        <v>83</v>
      </c>
      <c r="AM5" s="23">
        <v>4.0</v>
      </c>
      <c r="AN5" s="23" t="s">
        <v>63</v>
      </c>
      <c r="AO5" s="23" t="s">
        <v>25</v>
      </c>
    </row>
    <row r="6">
      <c r="A6" s="9" t="str">
        <f>IFERROR(__xludf.DUMMYFUNCTION("""COMPUTED_VALUE"""),"P 8208 UG")</f>
        <v>P 8208 UG</v>
      </c>
      <c r="B6" s="9" t="str">
        <f>IFERROR(__xludf.DUMMYFUNCTION("""COMPUTED_VALUE"""),"TLPG MEM GRESIK")</f>
        <v>TLPG MEM GRESIK</v>
      </c>
      <c r="C6" s="9" t="str">
        <f>IFERROR(__xludf.DUMMYFUNCTION("""COMPUTED_VALUE"""),"PT TRI TUNGGAL ARGOPURO MANDIRI")</f>
        <v>PT TRI TUNGGAL ARGOPURO MANDIRI</v>
      </c>
      <c r="D6" s="11">
        <f>IFERROR(__xludf.DUMMYFUNCTION("""COMPUTED_VALUE"""),202.3)</f>
        <v>202.3</v>
      </c>
      <c r="E6" s="11" t="str">
        <f>IFERROR(__xludf.DUMMYFUNCTION("""COMPUTED_VALUE"""),"JAUH")</f>
        <v>JAUH</v>
      </c>
      <c r="F6" s="11">
        <f>IFERROR(__xludf.DUMMYFUNCTION("""COMPUTED_VALUE"""),3.0)</f>
        <v>3</v>
      </c>
      <c r="G6" s="11">
        <f>IFERROR(__xludf.DUMMYFUNCTION("""COMPUTED_VALUE"""),10.0)</f>
        <v>10</v>
      </c>
      <c r="H6" s="11">
        <f>IFERROR(__xludf.DUMMYFUNCTION("""COMPUTED_VALUE"""),5.0)</f>
        <v>5</v>
      </c>
      <c r="I6" s="11">
        <v>5.0</v>
      </c>
      <c r="J6" s="11">
        <f>IFERROR(__xludf.DUMMYFUNCTION("""COMPUTED_VALUE"""),5.0)</f>
        <v>5</v>
      </c>
      <c r="K6" s="11" t="str">
        <f>IFERROR(__xludf.DUMMYFUNCTION("""COMPUTED_VALUE"""),"AG 8818 UT")</f>
        <v>AG 8818 UT</v>
      </c>
      <c r="L6" s="11" t="str">
        <f>IFERROR(__xludf.DUMMYFUNCTION("""COMPUTED_VALUE"""),"TLPG TJ PERAK")</f>
        <v>TLPG TJ PERAK</v>
      </c>
      <c r="M6" s="11">
        <f>IFERROR(__xludf.DUMMYFUNCTION("""COMPUTED_VALUE"""),1.0)</f>
        <v>1</v>
      </c>
      <c r="N6" s="11" t="str">
        <f>IFERROR(__xludf.DUMMYFUNCTION("""COMPUTED_VALUE"""),"PT GANGSAR SENTOSA PETROLIUM")</f>
        <v>PT GANGSAR SENTOSA PETROLIUM</v>
      </c>
      <c r="O6" s="11" t="str">
        <f>IFERROR(__xludf.DUMMYFUNCTION("""COMPUTED_VALUE"""),"")</f>
        <v/>
      </c>
      <c r="P6" s="20">
        <f>IFERROR(__xludf.DUMMYFUNCTION("""COMPUTED_VALUE"""),5.0)</f>
        <v>5</v>
      </c>
      <c r="Q6" s="20" t="str">
        <f>IFERROR(__xludf.DUMMYFUNCTION("""COMPUTED_VALUE"""),"AE 8858 UT")</f>
        <v>AE 8858 UT</v>
      </c>
      <c r="R6" s="20" t="str">
        <f>IFERROR(__xludf.DUMMYFUNCTION("""COMPUTED_VALUE"""),"TLPG TJ PERAK")</f>
        <v>TLPG TJ PERAK</v>
      </c>
      <c r="S6" s="20">
        <f>IFERROR(__xludf.DUMMYFUNCTION("""COMPUTED_VALUE"""),2.0)</f>
        <v>2</v>
      </c>
      <c r="T6" s="20" t="str">
        <f>IFERROR(__xludf.DUMMYFUNCTION("""COMPUTED_VALUE"""),"PT GANGSAR SENTOSA PETROLIUM")</f>
        <v>PT GANGSAR SENTOSA PETROLIUM</v>
      </c>
      <c r="U6" s="11" t="str">
        <f>IFERROR(__xludf.DUMMYFUNCTION("""COMPUTED_VALUE"""),"")</f>
        <v/>
      </c>
      <c r="V6" s="11">
        <f>IFERROR(__xludf.DUMMYFUNCTION("""COMPUTED_VALUE"""),5.0)</f>
        <v>5</v>
      </c>
      <c r="W6" s="11" t="str">
        <f>IFERROR(__xludf.DUMMYFUNCTION("""COMPUTED_VALUE"""),"AG 9153 UR")</f>
        <v>AG 9153 UR</v>
      </c>
      <c r="X6" s="11" t="str">
        <f>IFERROR(__xludf.DUMMYFUNCTION("""COMPUTED_VALUE"""),"TLPG TJ PERAK")</f>
        <v>TLPG TJ PERAK</v>
      </c>
      <c r="Y6" s="11">
        <f>IFERROR(__xludf.DUMMYFUNCTION("""COMPUTED_VALUE"""),3.0)</f>
        <v>3</v>
      </c>
      <c r="Z6" s="11" t="str">
        <f>IFERROR(__xludf.DUMMYFUNCTION("""COMPUTED_VALUE"""),"PT GANGSAR SENTOSA PETROLIUM")</f>
        <v>PT GANGSAR SENTOSA PETROLIUM</v>
      </c>
      <c r="AA6" s="11" t="str">
        <f>IFERROR(__xludf.DUMMYFUNCTION("""COMPUTED_VALUE"""),"")</f>
        <v/>
      </c>
      <c r="AB6" s="20">
        <f>IFERROR(__xludf.DUMMYFUNCTION("""COMPUTED_VALUE"""),5.0)</f>
        <v>5</v>
      </c>
      <c r="AC6" s="20" t="str">
        <f>IFERROR(__xludf.DUMMYFUNCTION("""COMPUTED_VALUE"""),"L 9521 UL")</f>
        <v>L 9521 UL</v>
      </c>
      <c r="AD6" s="20" t="str">
        <f>IFERROR(__xludf.DUMMYFUNCTION("""COMPUTED_VALUE"""),"TLPG TJ PERAK")</f>
        <v>TLPG TJ PERAK</v>
      </c>
      <c r="AE6" s="20">
        <f>IFERROR(__xludf.DUMMYFUNCTION("""COMPUTED_VALUE"""),4.0)</f>
        <v>4</v>
      </c>
      <c r="AF6" s="20" t="str">
        <f>IFERROR(__xludf.DUMMYFUNCTION("""COMPUTED_VALUE"""),"PT HELA CITRA AGUNG")</f>
        <v>PT HELA CITRA AGUNG</v>
      </c>
      <c r="AI6" s="7" t="s">
        <v>59</v>
      </c>
      <c r="AJ6" s="7" t="s">
        <v>25</v>
      </c>
      <c r="AK6" s="7" t="s">
        <v>83</v>
      </c>
      <c r="AM6" s="23">
        <v>5.0</v>
      </c>
      <c r="AN6" s="23" t="s">
        <v>73</v>
      </c>
      <c r="AO6" s="23" t="s">
        <v>7</v>
      </c>
    </row>
    <row r="7">
      <c r="A7" s="9" t="str">
        <f>IFERROR(__xludf.DUMMYFUNCTION("""COMPUTED_VALUE"""),"P 9114 UG")</f>
        <v>P 9114 UG</v>
      </c>
      <c r="B7" s="9" t="str">
        <f>IFERROR(__xludf.DUMMYFUNCTION("""COMPUTED_VALUE"""),"TLPG MEM GRESIK")</f>
        <v>TLPG MEM GRESIK</v>
      </c>
      <c r="C7" s="9" t="str">
        <f>IFERROR(__xludf.DUMMYFUNCTION("""COMPUTED_VALUE"""),"PT TRI TUNGGAL ARGOPURO MANDIRI")</f>
        <v>PT TRI TUNGGAL ARGOPURO MANDIRI</v>
      </c>
      <c r="D7" s="11">
        <f>IFERROR(__xludf.DUMMYFUNCTION("""COMPUTED_VALUE"""),202.3)</f>
        <v>202.3</v>
      </c>
      <c r="E7" s="11" t="str">
        <f>IFERROR(__xludf.DUMMYFUNCTION("""COMPUTED_VALUE"""),"JAUH")</f>
        <v>JAUH</v>
      </c>
      <c r="F7" s="11">
        <f>IFERROR(__xludf.DUMMYFUNCTION("""COMPUTED_VALUE"""),3.0)</f>
        <v>3</v>
      </c>
      <c r="G7" s="11">
        <f>IFERROR(__xludf.DUMMYFUNCTION("""COMPUTED_VALUE"""),11.0)</f>
        <v>11</v>
      </c>
      <c r="H7" s="11">
        <f>IFERROR(__xludf.DUMMYFUNCTION("""COMPUTED_VALUE"""),6.0)</f>
        <v>6</v>
      </c>
      <c r="I7" s="11">
        <v>6.0</v>
      </c>
      <c r="J7" s="11">
        <f>IFERROR(__xludf.DUMMYFUNCTION("""COMPUTED_VALUE"""),6.0)</f>
        <v>6</v>
      </c>
      <c r="K7" s="11" t="str">
        <f>IFERROR(__xludf.DUMMYFUNCTION("""COMPUTED_VALUE"""),"L 9476 UL")</f>
        <v>L 9476 UL</v>
      </c>
      <c r="L7" s="11" t="str">
        <f>IFERROR(__xludf.DUMMYFUNCTION("""COMPUTED_VALUE"""),"TLPG TJ PERAK")</f>
        <v>TLPG TJ PERAK</v>
      </c>
      <c r="M7" s="11">
        <f>IFERROR(__xludf.DUMMYFUNCTION("""COMPUTED_VALUE"""),1.0)</f>
        <v>1</v>
      </c>
      <c r="N7" s="11" t="str">
        <f>IFERROR(__xludf.DUMMYFUNCTION("""COMPUTED_VALUE"""),"PT HELA CITRA AGUNG")</f>
        <v>PT HELA CITRA AGUNG</v>
      </c>
      <c r="O7" s="11" t="str">
        <f>IFERROR(__xludf.DUMMYFUNCTION("""COMPUTED_VALUE"""),"")</f>
        <v/>
      </c>
      <c r="P7" s="20">
        <f>IFERROR(__xludf.DUMMYFUNCTION("""COMPUTED_VALUE"""),6.0)</f>
        <v>6</v>
      </c>
      <c r="Q7" s="20" t="str">
        <f>IFERROR(__xludf.DUMMYFUNCTION("""COMPUTED_VALUE"""),"L 9489 UL")</f>
        <v>L 9489 UL</v>
      </c>
      <c r="R7" s="20" t="str">
        <f>IFERROR(__xludf.DUMMYFUNCTION("""COMPUTED_VALUE"""),"TLPG TJ PERAK")</f>
        <v>TLPG TJ PERAK</v>
      </c>
      <c r="S7" s="20">
        <f>IFERROR(__xludf.DUMMYFUNCTION("""COMPUTED_VALUE"""),2.0)</f>
        <v>2</v>
      </c>
      <c r="T7" s="20" t="str">
        <f>IFERROR(__xludf.DUMMYFUNCTION("""COMPUTED_VALUE"""),"PT HELA CITRA AGUNG")</f>
        <v>PT HELA CITRA AGUNG</v>
      </c>
      <c r="U7" s="11" t="str">
        <f>IFERROR(__xludf.DUMMYFUNCTION("""COMPUTED_VALUE"""),"")</f>
        <v/>
      </c>
      <c r="V7" s="11">
        <f>IFERROR(__xludf.DUMMYFUNCTION("""COMPUTED_VALUE"""),6.0)</f>
        <v>6</v>
      </c>
      <c r="W7" s="11" t="str">
        <f>IFERROR(__xludf.DUMMYFUNCTION("""COMPUTED_VALUE"""),"L 9507 UL")</f>
        <v>L 9507 UL</v>
      </c>
      <c r="X7" s="11" t="str">
        <f>IFERROR(__xludf.DUMMYFUNCTION("""COMPUTED_VALUE"""),"TLPG TJ PERAK")</f>
        <v>TLPG TJ PERAK</v>
      </c>
      <c r="Y7" s="11">
        <f>IFERROR(__xludf.DUMMYFUNCTION("""COMPUTED_VALUE"""),3.0)</f>
        <v>3</v>
      </c>
      <c r="Z7" s="11" t="str">
        <f>IFERROR(__xludf.DUMMYFUNCTION("""COMPUTED_VALUE"""),"PT HELA CITRA AGUNG")</f>
        <v>PT HELA CITRA AGUNG</v>
      </c>
      <c r="AA7" s="11" t="str">
        <f>IFERROR(__xludf.DUMMYFUNCTION("""COMPUTED_VALUE"""),"")</f>
        <v/>
      </c>
      <c r="AB7" s="20">
        <f>IFERROR(__xludf.DUMMYFUNCTION("""COMPUTED_VALUE"""),6.0)</f>
        <v>6</v>
      </c>
      <c r="AC7" s="20" t="str">
        <f>IFERROR(__xludf.DUMMYFUNCTION("""COMPUTED_VALUE"""),"AG 8126 UF")</f>
        <v>AG 8126 UF</v>
      </c>
      <c r="AD7" s="20" t="str">
        <f>IFERROR(__xludf.DUMMYFUNCTION("""COMPUTED_VALUE"""),"TLPG TJ PERAK")</f>
        <v>TLPG TJ PERAK</v>
      </c>
      <c r="AE7" s="20">
        <f>IFERROR(__xludf.DUMMYFUNCTION("""COMPUTED_VALUE"""),4.0)</f>
        <v>4</v>
      </c>
      <c r="AF7" s="20" t="str">
        <f>IFERROR(__xludf.DUMMYFUNCTION("""COMPUTED_VALUE"""),"PT NARA RIZKA MANUNGGAL")</f>
        <v>PT NARA RIZKA MANUNGGAL</v>
      </c>
      <c r="AI7" s="7" t="s">
        <v>70</v>
      </c>
      <c r="AJ7" s="7" t="s">
        <v>25</v>
      </c>
      <c r="AK7" s="7" t="s">
        <v>83</v>
      </c>
      <c r="AM7" s="23">
        <v>6.0</v>
      </c>
      <c r="AN7" s="23" t="s">
        <v>92</v>
      </c>
      <c r="AO7" s="23" t="s">
        <v>25</v>
      </c>
    </row>
    <row r="8">
      <c r="A8" s="9" t="str">
        <f>IFERROR(__xludf.DUMMYFUNCTION("""COMPUTED_VALUE"""),"AE 8845 UT")</f>
        <v>AE 8845 UT</v>
      </c>
      <c r="B8" s="9" t="str">
        <f>IFERROR(__xludf.DUMMYFUNCTION("""COMPUTED_VALUE"""),"TLPG TJ PERAK")</f>
        <v>TLPG TJ PERAK</v>
      </c>
      <c r="C8" s="9" t="str">
        <f>IFERROR(__xludf.DUMMYFUNCTION("""COMPUTED_VALUE"""),"PT BUANA KARYA SURYA PRATAMA")</f>
        <v>PT BUANA KARYA SURYA PRATAMA</v>
      </c>
      <c r="D8" s="11">
        <f>IFERROR(__xludf.DUMMYFUNCTION("""COMPUTED_VALUE"""),201.0)</f>
        <v>201</v>
      </c>
      <c r="E8" s="11" t="str">
        <f>IFERROR(__xludf.DUMMYFUNCTION("""COMPUTED_VALUE"""),"JAUH")</f>
        <v>JAUH</v>
      </c>
      <c r="F8" s="11">
        <f>IFERROR(__xludf.DUMMYFUNCTION("""COMPUTED_VALUE"""),3.0)</f>
        <v>3</v>
      </c>
      <c r="G8" s="11">
        <f>IFERROR(__xludf.DUMMYFUNCTION("""COMPUTED_VALUE"""),2.0)</f>
        <v>2</v>
      </c>
      <c r="H8" s="11">
        <f>IFERROR(__xludf.DUMMYFUNCTION("""COMPUTED_VALUE"""),7.0)</f>
        <v>7</v>
      </c>
      <c r="I8" s="11">
        <v>7.0</v>
      </c>
      <c r="J8" s="11">
        <f>IFERROR(__xludf.DUMMYFUNCTION("""COMPUTED_VALUE"""),7.0)</f>
        <v>7</v>
      </c>
      <c r="K8" s="11" t="str">
        <f>IFERROR(__xludf.DUMMYFUNCTION("""COMPUTED_VALUE"""),"N 9659 UG")</f>
        <v>N 9659 UG</v>
      </c>
      <c r="L8" s="11" t="str">
        <f>IFERROR(__xludf.DUMMYFUNCTION("""COMPUTED_VALUE"""),"TLPG MEM GRESIK")</f>
        <v>TLPG MEM GRESIK</v>
      </c>
      <c r="M8" s="11">
        <f>IFERROR(__xludf.DUMMYFUNCTION("""COMPUTED_VALUE"""),1.0)</f>
        <v>1</v>
      </c>
      <c r="N8" s="11" t="str">
        <f>IFERROR(__xludf.DUMMYFUNCTION("""COMPUTED_VALUE"""),"PT SINAR WAHANA SURYA")</f>
        <v>PT SINAR WAHANA SURYA</v>
      </c>
      <c r="O8" s="11" t="str">
        <f>IFERROR(__xludf.DUMMYFUNCTION("""COMPUTED_VALUE"""),"")</f>
        <v/>
      </c>
      <c r="P8" s="20">
        <f>IFERROR(__xludf.DUMMYFUNCTION("""COMPUTED_VALUE"""),7.0)</f>
        <v>7</v>
      </c>
      <c r="Q8" s="20" t="str">
        <f>IFERROR(__xludf.DUMMYFUNCTION("""COMPUTED_VALUE"""),"N 9661 UG")</f>
        <v>N 9661 UG</v>
      </c>
      <c r="R8" s="20" t="str">
        <f>IFERROR(__xludf.DUMMYFUNCTION("""COMPUTED_VALUE"""),"TLPG MEM GRESIK")</f>
        <v>TLPG MEM GRESIK</v>
      </c>
      <c r="S8" s="20">
        <f>IFERROR(__xludf.DUMMYFUNCTION("""COMPUTED_VALUE"""),2.0)</f>
        <v>2</v>
      </c>
      <c r="T8" s="20" t="str">
        <f>IFERROR(__xludf.DUMMYFUNCTION("""COMPUTED_VALUE"""),"PT SINAR WAHANA SURYA")</f>
        <v>PT SINAR WAHANA SURYA</v>
      </c>
      <c r="U8" s="11" t="str">
        <f>IFERROR(__xludf.DUMMYFUNCTION("""COMPUTED_VALUE"""),"")</f>
        <v/>
      </c>
      <c r="V8" s="11">
        <f>IFERROR(__xludf.DUMMYFUNCTION("""COMPUTED_VALUE"""),7.0)</f>
        <v>7</v>
      </c>
      <c r="W8" s="11" t="str">
        <f>IFERROR(__xludf.DUMMYFUNCTION("""COMPUTED_VALUE"""),"S 8560 UC")</f>
        <v>S 8560 UC</v>
      </c>
      <c r="X8" s="11" t="str">
        <f>IFERROR(__xludf.DUMMYFUNCTION("""COMPUTED_VALUE"""),"TLPG TJ PERAK")</f>
        <v>TLPG TJ PERAK</v>
      </c>
      <c r="Y8" s="11">
        <f>IFERROR(__xludf.DUMMYFUNCTION("""COMPUTED_VALUE"""),3.0)</f>
        <v>3</v>
      </c>
      <c r="Z8" s="11" t="str">
        <f>IFERROR(__xludf.DUMMYFUNCTION("""COMPUTED_VALUE"""),"PT KURNIAWAN MEKAR AGUNG ABADI")</f>
        <v>PT KURNIAWAN MEKAR AGUNG ABADI</v>
      </c>
      <c r="AA8" s="11" t="str">
        <f>IFERROR(__xludf.DUMMYFUNCTION("""COMPUTED_VALUE"""),"")</f>
        <v/>
      </c>
      <c r="AB8" s="20">
        <f>IFERROR(__xludf.DUMMYFUNCTION("""COMPUTED_VALUE"""),7.0)</f>
        <v>7</v>
      </c>
      <c r="AC8" s="20" t="str">
        <f>IFERROR(__xludf.DUMMYFUNCTION("""COMPUTED_VALUE"""),"P 9115 UG")</f>
        <v>P 9115 UG</v>
      </c>
      <c r="AD8" s="20" t="str">
        <f>IFERROR(__xludf.DUMMYFUNCTION("""COMPUTED_VALUE"""),"TLPG TJ WANGI")</f>
        <v>TLPG TJ WANGI</v>
      </c>
      <c r="AE8" s="20">
        <f>IFERROR(__xludf.DUMMYFUNCTION("""COMPUTED_VALUE"""),4.0)</f>
        <v>4</v>
      </c>
      <c r="AF8" s="20" t="str">
        <f>IFERROR(__xludf.DUMMYFUNCTION("""COMPUTED_VALUE"""),"PT TRI TUNGGAL ARGOPURO MANDIRI")</f>
        <v>PT TRI TUNGGAL ARGOPURO MANDIRI</v>
      </c>
      <c r="AI8" s="7" t="s">
        <v>63</v>
      </c>
      <c r="AJ8" s="7" t="s">
        <v>25</v>
      </c>
      <c r="AK8" s="7" t="s">
        <v>83</v>
      </c>
      <c r="AM8" s="23">
        <v>7.0</v>
      </c>
      <c r="AN8" s="23" t="s">
        <v>129</v>
      </c>
      <c r="AO8" s="23" t="s">
        <v>25</v>
      </c>
    </row>
    <row r="9">
      <c r="A9" s="9" t="str">
        <f>IFERROR(__xludf.DUMMYFUNCTION("""COMPUTED_VALUE"""),"AE 8846 UT")</f>
        <v>AE 8846 UT</v>
      </c>
      <c r="B9" s="9" t="str">
        <f>IFERROR(__xludf.DUMMYFUNCTION("""COMPUTED_VALUE"""),"TLPG TJ PERAK")</f>
        <v>TLPG TJ PERAK</v>
      </c>
      <c r="C9" s="9" t="str">
        <f>IFERROR(__xludf.DUMMYFUNCTION("""COMPUTED_VALUE"""),"PT BUANA KARYA SURYA PRATAMA")</f>
        <v>PT BUANA KARYA SURYA PRATAMA</v>
      </c>
      <c r="D9" s="11">
        <f>IFERROR(__xludf.DUMMYFUNCTION("""COMPUTED_VALUE"""),201.0)</f>
        <v>201</v>
      </c>
      <c r="E9" s="11" t="str">
        <f>IFERROR(__xludf.DUMMYFUNCTION("""COMPUTED_VALUE"""),"JAUH")</f>
        <v>JAUH</v>
      </c>
      <c r="F9" s="11">
        <f>IFERROR(__xludf.DUMMYFUNCTION("""COMPUTED_VALUE"""),3.0)</f>
        <v>3</v>
      </c>
      <c r="G9" s="11">
        <f>IFERROR(__xludf.DUMMYFUNCTION("""COMPUTED_VALUE"""),2.0)</f>
        <v>2</v>
      </c>
      <c r="H9" s="11">
        <f>IFERROR(__xludf.DUMMYFUNCTION("""COMPUTED_VALUE"""),8.0)</f>
        <v>8</v>
      </c>
      <c r="I9" s="11">
        <v>8.0</v>
      </c>
      <c r="J9" s="11">
        <f>IFERROR(__xludf.DUMMYFUNCTION("""COMPUTED_VALUE"""),8.0)</f>
        <v>8</v>
      </c>
      <c r="K9" s="11" t="str">
        <f>IFERROR(__xludf.DUMMYFUNCTION("""COMPUTED_VALUE"""),"AG 8384 UE")</f>
        <v>AG 8384 UE</v>
      </c>
      <c r="L9" s="11" t="str">
        <f>IFERROR(__xludf.DUMMYFUNCTION("""COMPUTED_VALUE"""),"TLPG TJ PERAK")</f>
        <v>TLPG TJ PERAK</v>
      </c>
      <c r="M9" s="11">
        <f>IFERROR(__xludf.DUMMYFUNCTION("""COMPUTED_VALUE"""),1.0)</f>
        <v>1</v>
      </c>
      <c r="N9" s="11" t="str">
        <f>IFERROR(__xludf.DUMMYFUNCTION("""COMPUTED_VALUE"""),"PT SURYA ADHILESTARI")</f>
        <v>PT SURYA ADHILESTARI</v>
      </c>
      <c r="O9" s="11" t="str">
        <f>IFERROR(__xludf.DUMMYFUNCTION("""COMPUTED_VALUE"""),"")</f>
        <v/>
      </c>
      <c r="P9" s="20">
        <f>IFERROR(__xludf.DUMMYFUNCTION("""COMPUTED_VALUE"""),8.0)</f>
        <v>8</v>
      </c>
      <c r="Q9" s="20" t="str">
        <f>IFERROR(__xludf.DUMMYFUNCTION("""COMPUTED_VALUE"""),"AG 8115 UC")</f>
        <v>AG 8115 UC</v>
      </c>
      <c r="R9" s="20" t="str">
        <f>IFERROR(__xludf.DUMMYFUNCTION("""COMPUTED_VALUE"""),"TLPG TJ PERAK")</f>
        <v>TLPG TJ PERAK</v>
      </c>
      <c r="S9" s="20">
        <f>IFERROR(__xludf.DUMMYFUNCTION("""COMPUTED_VALUE"""),2.0)</f>
        <v>2</v>
      </c>
      <c r="T9" s="20" t="str">
        <f>IFERROR(__xludf.DUMMYFUNCTION("""COMPUTED_VALUE"""),"PT SURYA ADI LESTARI")</f>
        <v>PT SURYA ADI LESTARI</v>
      </c>
      <c r="U9" s="11" t="str">
        <f>IFERROR(__xludf.DUMMYFUNCTION("""COMPUTED_VALUE"""),"")</f>
        <v/>
      </c>
      <c r="V9" s="11">
        <f>IFERROR(__xludf.DUMMYFUNCTION("""COMPUTED_VALUE"""),8.0)</f>
        <v>8</v>
      </c>
      <c r="W9" s="11" t="str">
        <f>IFERROR(__xludf.DUMMYFUNCTION("""COMPUTED_VALUE"""),"AG 9753 UB")</f>
        <v>AG 9753 UB</v>
      </c>
      <c r="X9" s="11" t="str">
        <f>IFERROR(__xludf.DUMMYFUNCTION("""COMPUTED_VALUE"""),"TLPG TJ PERAK")</f>
        <v>TLPG TJ PERAK</v>
      </c>
      <c r="Y9" s="11">
        <f>IFERROR(__xludf.DUMMYFUNCTION("""COMPUTED_VALUE"""),3.0)</f>
        <v>3</v>
      </c>
      <c r="Z9" s="11" t="str">
        <f>IFERROR(__xludf.DUMMYFUNCTION("""COMPUTED_VALUE"""),"PT SURYA ADHILESTARI")</f>
        <v>PT SURYA ADHILESTARI</v>
      </c>
      <c r="AA9" s="11" t="str">
        <f>IFERROR(__xludf.DUMMYFUNCTION("""COMPUTED_VALUE"""),"")</f>
        <v/>
      </c>
      <c r="AB9" s="20">
        <f>IFERROR(__xludf.DUMMYFUNCTION("""COMPUTED_VALUE"""),8.0)</f>
        <v>8</v>
      </c>
      <c r="AC9" s="20" t="str">
        <f>IFERROR(__xludf.DUMMYFUNCTION("""COMPUTED_VALUE"""),"N 9422 UU")</f>
        <v>N 9422 UU</v>
      </c>
      <c r="AD9" s="20" t="str">
        <f>IFERROR(__xludf.DUMMYFUNCTION("""COMPUTED_VALUE"""),"TLPG TJ PERAK")</f>
        <v>TLPG TJ PERAK</v>
      </c>
      <c r="AE9" s="20">
        <f>IFERROR(__xludf.DUMMYFUNCTION("""COMPUTED_VALUE"""),4.0)</f>
        <v>4</v>
      </c>
      <c r="AF9" s="20" t="str">
        <f>IFERROR(__xludf.DUMMYFUNCTION("""COMPUTED_VALUE"""),"PT BERINGIN GAS LESTARI")</f>
        <v>PT BERINGIN GAS LESTARI</v>
      </c>
      <c r="AI9" s="7" t="s">
        <v>62</v>
      </c>
      <c r="AJ9" s="7" t="s">
        <v>25</v>
      </c>
      <c r="AK9" s="7" t="s">
        <v>121</v>
      </c>
      <c r="AM9" s="23">
        <v>8.0</v>
      </c>
      <c r="AN9" s="23" t="s">
        <v>130</v>
      </c>
      <c r="AO9" s="23" t="s">
        <v>25</v>
      </c>
    </row>
    <row r="10">
      <c r="A10" s="9" t="str">
        <f>IFERROR(__xludf.DUMMYFUNCTION("""COMPUTED_VALUE"""),"AE 8857 UT")</f>
        <v>AE 8857 UT</v>
      </c>
      <c r="B10" s="9" t="str">
        <f>IFERROR(__xludf.DUMMYFUNCTION("""COMPUTED_VALUE"""),"TLPG TJ PERAK")</f>
        <v>TLPG TJ PERAK</v>
      </c>
      <c r="C10" s="9" t="str">
        <f>IFERROR(__xludf.DUMMYFUNCTION("""COMPUTED_VALUE"""),"PT BUANA KARYA SURYA PRATAMA")</f>
        <v>PT BUANA KARYA SURYA PRATAMA</v>
      </c>
      <c r="D10" s="11">
        <f>IFERROR(__xludf.DUMMYFUNCTION("""COMPUTED_VALUE"""),201.0)</f>
        <v>201</v>
      </c>
      <c r="E10" s="11" t="str">
        <f>IFERROR(__xludf.DUMMYFUNCTION("""COMPUTED_VALUE"""),"JAUH")</f>
        <v>JAUH</v>
      </c>
      <c r="F10" s="11">
        <f>IFERROR(__xludf.DUMMYFUNCTION("""COMPUTED_VALUE"""),3.0)</f>
        <v>3</v>
      </c>
      <c r="G10" s="11">
        <f>IFERROR(__xludf.DUMMYFUNCTION("""COMPUTED_VALUE"""),2.0)</f>
        <v>2</v>
      </c>
      <c r="H10" s="11">
        <f>IFERROR(__xludf.DUMMYFUNCTION("""COMPUTED_VALUE"""),9.0)</f>
        <v>9</v>
      </c>
      <c r="I10" s="11">
        <v>9.0</v>
      </c>
      <c r="J10" s="11">
        <f>IFERROR(__xludf.DUMMYFUNCTION("""COMPUTED_VALUE"""),9.0)</f>
        <v>9</v>
      </c>
      <c r="K10" s="11" t="str">
        <f>IFERROR(__xludf.DUMMYFUNCTION("""COMPUTED_VALUE"""),"P 8087 GG")</f>
        <v>P 8087 GG</v>
      </c>
      <c r="L10" s="11" t="str">
        <f>IFERROR(__xludf.DUMMYFUNCTION("""COMPUTED_VALUE"""),"TLPG TJ WANGI")</f>
        <v>TLPG TJ WANGI</v>
      </c>
      <c r="M10" s="11">
        <f>IFERROR(__xludf.DUMMYFUNCTION("""COMPUTED_VALUE"""),1.0)</f>
        <v>1</v>
      </c>
      <c r="N10" s="11" t="str">
        <f>IFERROR(__xludf.DUMMYFUNCTION("""COMPUTED_VALUE"""),"PT BUMI GASINDO RAYA")</f>
        <v>PT BUMI GASINDO RAYA</v>
      </c>
      <c r="O10" s="11" t="str">
        <f>IFERROR(__xludf.DUMMYFUNCTION("""COMPUTED_VALUE"""),"")</f>
        <v/>
      </c>
      <c r="P10" s="20">
        <f>IFERROR(__xludf.DUMMYFUNCTION("""COMPUTED_VALUE"""),9.0)</f>
        <v>9</v>
      </c>
      <c r="Q10" s="20" t="str">
        <f>IFERROR(__xludf.DUMMYFUNCTION("""COMPUTED_VALUE"""),"P 8427 UG")</f>
        <v>P 8427 UG</v>
      </c>
      <c r="R10" s="20" t="str">
        <f>IFERROR(__xludf.DUMMYFUNCTION("""COMPUTED_VALUE"""),"TLPG TJ WANGI")</f>
        <v>TLPG TJ WANGI</v>
      </c>
      <c r="S10" s="20">
        <f>IFERROR(__xludf.DUMMYFUNCTION("""COMPUTED_VALUE"""),2.0)</f>
        <v>2</v>
      </c>
      <c r="T10" s="20" t="str">
        <f>IFERROR(__xludf.DUMMYFUNCTION("""COMPUTED_VALUE"""),"PT BUMI GASINDO RAYA")</f>
        <v>PT BUMI GASINDO RAYA</v>
      </c>
      <c r="U10" s="11" t="str">
        <f>IFERROR(__xludf.DUMMYFUNCTION("""COMPUTED_VALUE"""),"")</f>
        <v/>
      </c>
      <c r="V10" s="11">
        <f>IFERROR(__xludf.DUMMYFUNCTION("""COMPUTED_VALUE"""),9.0)</f>
        <v>9</v>
      </c>
      <c r="W10" s="11" t="str">
        <f>IFERROR(__xludf.DUMMYFUNCTION("""COMPUTED_VALUE"""),"N 8776 UT")</f>
        <v>N 8776 UT</v>
      </c>
      <c r="X10" s="11" t="str">
        <f>IFERROR(__xludf.DUMMYFUNCTION("""COMPUTED_VALUE"""),"TLPG TJ PERAK")</f>
        <v>TLPG TJ PERAK</v>
      </c>
      <c r="Y10" s="11">
        <f>IFERROR(__xludf.DUMMYFUNCTION("""COMPUTED_VALUE"""),3.0)</f>
        <v>3</v>
      </c>
      <c r="Z10" s="11" t="str">
        <f>IFERROR(__xludf.DUMMYFUNCTION("""COMPUTED_VALUE"""),"PT BERINGIN GAS LESTARI")</f>
        <v>PT BERINGIN GAS LESTARI</v>
      </c>
      <c r="AA10" s="11" t="str">
        <f>IFERROR(__xludf.DUMMYFUNCTION("""COMPUTED_VALUE"""),"")</f>
        <v/>
      </c>
      <c r="AB10" s="20">
        <f>IFERROR(__xludf.DUMMYFUNCTION("""COMPUTED_VALUE"""),9.0)</f>
        <v>9</v>
      </c>
      <c r="AC10" s="20" t="str">
        <f>IFERROR(__xludf.DUMMYFUNCTION("""COMPUTED_VALUE"""),"S 8672 UC")</f>
        <v>S 8672 UC</v>
      </c>
      <c r="AD10" s="20" t="str">
        <f>IFERROR(__xludf.DUMMYFUNCTION("""COMPUTED_VALUE"""),"TLPG TJ PERAK")</f>
        <v>TLPG TJ PERAK</v>
      </c>
      <c r="AE10" s="20">
        <f>IFERROR(__xludf.DUMMYFUNCTION("""COMPUTED_VALUE"""),4.0)</f>
        <v>4</v>
      </c>
      <c r="AF10" s="20" t="str">
        <f>IFERROR(__xludf.DUMMYFUNCTION("""COMPUTED_VALUE"""),"PT CAHAYA NEGERI")</f>
        <v>PT CAHAYA NEGERI</v>
      </c>
      <c r="AI10" s="7" t="s">
        <v>90</v>
      </c>
      <c r="AJ10" s="7" t="s">
        <v>25</v>
      </c>
      <c r="AK10" s="7" t="s">
        <v>83</v>
      </c>
      <c r="AM10" s="23">
        <v>9.0</v>
      </c>
      <c r="AN10" s="23" t="s">
        <v>146</v>
      </c>
      <c r="AO10" s="23" t="s">
        <v>25</v>
      </c>
    </row>
    <row r="11">
      <c r="A11" s="9" t="str">
        <f>IFERROR(__xludf.DUMMYFUNCTION("""COMPUTED_VALUE"""),"AE 8086 UT")</f>
        <v>AE 8086 UT</v>
      </c>
      <c r="B11" s="9" t="str">
        <f>IFERROR(__xludf.DUMMYFUNCTION("""COMPUTED_VALUE"""),"TLPG TJ PERAK")</f>
        <v>TLPG TJ PERAK</v>
      </c>
      <c r="C11" s="9" t="str">
        <f>IFERROR(__xludf.DUMMYFUNCTION("""COMPUTED_VALUE"""),"PT BUANA KARYA SURYA PRATAMA")</f>
        <v>PT BUANA KARYA SURYA PRATAMA</v>
      </c>
      <c r="D11" s="11">
        <f>IFERROR(__xludf.DUMMYFUNCTION("""COMPUTED_VALUE"""),201.0)</f>
        <v>201</v>
      </c>
      <c r="E11" s="11" t="str">
        <f>IFERROR(__xludf.DUMMYFUNCTION("""COMPUTED_VALUE"""),"JAUH")</f>
        <v>JAUH</v>
      </c>
      <c r="F11" s="11">
        <f>IFERROR(__xludf.DUMMYFUNCTION("""COMPUTED_VALUE"""),3.0)</f>
        <v>3</v>
      </c>
      <c r="G11" s="11">
        <f>IFERROR(__xludf.DUMMYFUNCTION("""COMPUTED_VALUE"""),7.0)</f>
        <v>7</v>
      </c>
      <c r="H11" s="11">
        <f>IFERROR(__xludf.DUMMYFUNCTION("""COMPUTED_VALUE"""),10.0)</f>
        <v>10</v>
      </c>
      <c r="I11" s="11">
        <v>10.0</v>
      </c>
      <c r="J11" s="11">
        <f>IFERROR(__xludf.DUMMYFUNCTION("""COMPUTED_VALUE"""),10.0)</f>
        <v>10</v>
      </c>
      <c r="K11" s="11" t="str">
        <f>IFERROR(__xludf.DUMMYFUNCTION("""COMPUTED_VALUE"""),"N 9424 UU")</f>
        <v>N 9424 UU</v>
      </c>
      <c r="L11" s="11" t="str">
        <f>IFERROR(__xludf.DUMMYFUNCTION("""COMPUTED_VALUE"""),"TLPG TJ PERAK")</f>
        <v>TLPG TJ PERAK</v>
      </c>
      <c r="M11" s="11">
        <f>IFERROR(__xludf.DUMMYFUNCTION("""COMPUTED_VALUE"""),1.0)</f>
        <v>1</v>
      </c>
      <c r="N11" s="11" t="str">
        <f>IFERROR(__xludf.DUMMYFUNCTION("""COMPUTED_VALUE"""),"PT ANUGRAH SURYA MANDALA")</f>
        <v>PT ANUGRAH SURYA MANDALA</v>
      </c>
      <c r="O11" s="11" t="str">
        <f>IFERROR(__xludf.DUMMYFUNCTION("""COMPUTED_VALUE"""),"")</f>
        <v/>
      </c>
      <c r="P11" s="20">
        <f>IFERROR(__xludf.DUMMYFUNCTION("""COMPUTED_VALUE"""),10.0)</f>
        <v>10</v>
      </c>
      <c r="Q11" s="20" t="str">
        <f>IFERROR(__xludf.DUMMYFUNCTION("""COMPUTED_VALUE"""),"W 9205 NY")</f>
        <v>W 9205 NY</v>
      </c>
      <c r="R11" s="20" t="str">
        <f>IFERROR(__xludf.DUMMYFUNCTION("""COMPUTED_VALUE"""),"TLPG TJ PERAK")</f>
        <v>TLPG TJ PERAK</v>
      </c>
      <c r="S11" s="20">
        <f>IFERROR(__xludf.DUMMYFUNCTION("""COMPUTED_VALUE"""),2.0)</f>
        <v>2</v>
      </c>
      <c r="T11" s="20" t="str">
        <f>IFERROR(__xludf.DUMMYFUNCTION("""COMPUTED_VALUE"""),"PT ANUGRAH SURYA MANDALA")</f>
        <v>PT ANUGRAH SURYA MANDALA</v>
      </c>
      <c r="U11" s="11" t="str">
        <f>IFERROR(__xludf.DUMMYFUNCTION("""COMPUTED_VALUE"""),"")</f>
        <v/>
      </c>
      <c r="V11" s="11">
        <f>IFERROR(__xludf.DUMMYFUNCTION("""COMPUTED_VALUE"""),10.0)</f>
        <v>10</v>
      </c>
      <c r="W11" s="11" t="str">
        <f>IFERROR(__xludf.DUMMYFUNCTION("""COMPUTED_VALUE"""),"AG 8056 OA")</f>
        <v>AG 8056 OA</v>
      </c>
      <c r="X11" s="11" t="str">
        <f>IFERROR(__xludf.DUMMYFUNCTION("""COMPUTED_VALUE"""),"TLPG TJ PERAK")</f>
        <v>TLPG TJ PERAK</v>
      </c>
      <c r="Y11" s="11">
        <f>IFERROR(__xludf.DUMMYFUNCTION("""COMPUTED_VALUE"""),3.0)</f>
        <v>3</v>
      </c>
      <c r="Z11" s="11" t="str">
        <f>IFERROR(__xludf.DUMMYFUNCTION("""COMPUTED_VALUE"""),"PT ANUGRAH SURYA MANDALA")</f>
        <v>PT ANUGRAH SURYA MANDALA</v>
      </c>
      <c r="AA11" s="11" t="str">
        <f>IFERROR(__xludf.DUMMYFUNCTION("""COMPUTED_VALUE"""),"")</f>
        <v/>
      </c>
      <c r="AB11" s="20">
        <f>IFERROR(__xludf.DUMMYFUNCTION("""COMPUTED_VALUE"""),10.0)</f>
        <v>10</v>
      </c>
      <c r="AC11" s="20" t="str">
        <f>IFERROR(__xludf.DUMMYFUNCTION("""COMPUTED_VALUE"""),"N 8083 UQ")</f>
        <v>N 8083 UQ</v>
      </c>
      <c r="AD11" s="20" t="str">
        <f>IFERROR(__xludf.DUMMYFUNCTION("""COMPUTED_VALUE"""),"TLPG TJ PERAK")</f>
        <v>TLPG TJ PERAK</v>
      </c>
      <c r="AE11" s="20">
        <f>IFERROR(__xludf.DUMMYFUNCTION("""COMPUTED_VALUE"""),4.0)</f>
        <v>4</v>
      </c>
      <c r="AF11" s="20" t="str">
        <f>IFERROR(__xludf.DUMMYFUNCTION("""COMPUTED_VALUE"""),"PT BHUMI PERMATA INDAH")</f>
        <v>PT BHUMI PERMATA INDAH</v>
      </c>
      <c r="AI11" s="7" t="s">
        <v>92</v>
      </c>
      <c r="AJ11" s="7" t="s">
        <v>25</v>
      </c>
      <c r="AK11" s="7" t="s">
        <v>83</v>
      </c>
      <c r="AM11" s="23">
        <v>10.0</v>
      </c>
      <c r="AN11" s="23" t="s">
        <v>147</v>
      </c>
      <c r="AO11" s="23" t="s">
        <v>25</v>
      </c>
    </row>
    <row r="12">
      <c r="A12" s="9" t="str">
        <f>IFERROR(__xludf.DUMMYFUNCTION("""COMPUTED_VALUE"""),"AE 8099 UT")</f>
        <v>AE 8099 UT</v>
      </c>
      <c r="B12" s="9" t="str">
        <f>IFERROR(__xludf.DUMMYFUNCTION("""COMPUTED_VALUE"""),"TLPG TJ PERAK")</f>
        <v>TLPG TJ PERAK</v>
      </c>
      <c r="C12" s="9" t="str">
        <f>IFERROR(__xludf.DUMMYFUNCTION("""COMPUTED_VALUE"""),"PT GAS ALAM BUMI REOG")</f>
        <v>PT GAS ALAM BUMI REOG</v>
      </c>
      <c r="D12" s="11">
        <f>IFERROR(__xludf.DUMMYFUNCTION("""COMPUTED_VALUE"""),195.7)</f>
        <v>195.7</v>
      </c>
      <c r="E12" s="11" t="str">
        <f>IFERROR(__xludf.DUMMYFUNCTION("""COMPUTED_VALUE"""),"JAUH")</f>
        <v>JAUH</v>
      </c>
      <c r="F12" s="11">
        <f>IFERROR(__xludf.DUMMYFUNCTION("""COMPUTED_VALUE"""),3.0)</f>
        <v>3</v>
      </c>
      <c r="G12" s="11">
        <f>IFERROR(__xludf.DUMMYFUNCTION("""COMPUTED_VALUE"""),1.0)</f>
        <v>1</v>
      </c>
      <c r="H12" s="11">
        <f>IFERROR(__xludf.DUMMYFUNCTION("""COMPUTED_VALUE"""),11.0)</f>
        <v>11</v>
      </c>
      <c r="I12" s="11">
        <v>11.0</v>
      </c>
      <c r="J12" s="11">
        <f>IFERROR(__xludf.DUMMYFUNCTION("""COMPUTED_VALUE"""),11.0)</f>
        <v>11</v>
      </c>
      <c r="K12" s="11" t="str">
        <f>IFERROR(__xludf.DUMMYFUNCTION("""COMPUTED_VALUE"""),"L 9822 UE")</f>
        <v>L 9822 UE</v>
      </c>
      <c r="L12" s="11" t="str">
        <f>IFERROR(__xludf.DUMMYFUNCTION("""COMPUTED_VALUE"""),"TLPG TJ PERAK")</f>
        <v>TLPG TJ PERAK</v>
      </c>
      <c r="M12" s="11">
        <f>IFERROR(__xludf.DUMMYFUNCTION("""COMPUTED_VALUE"""),1.0)</f>
        <v>1</v>
      </c>
      <c r="N12" s="11" t="str">
        <f>IFERROR(__xludf.DUMMYFUNCTION("""COMPUTED_VALUE"""),"PT DHARMA TECH INFOMEDIA")</f>
        <v>PT DHARMA TECH INFOMEDIA</v>
      </c>
      <c r="O12" s="11" t="str">
        <f>IFERROR(__xludf.DUMMYFUNCTION("""COMPUTED_VALUE"""),"")</f>
        <v/>
      </c>
      <c r="P12" s="20">
        <f>IFERROR(__xludf.DUMMYFUNCTION("""COMPUTED_VALUE"""),11.0)</f>
        <v>11</v>
      </c>
      <c r="Q12" s="20" t="str">
        <f>IFERROR(__xludf.DUMMYFUNCTION("""COMPUTED_VALUE"""),"N 8756 UB")</f>
        <v>N 8756 UB</v>
      </c>
      <c r="R12" s="20" t="str">
        <f>IFERROR(__xludf.DUMMYFUNCTION("""COMPUTED_VALUE"""),"TLPG TJ PERAK")</f>
        <v>TLPG TJ PERAK</v>
      </c>
      <c r="S12" s="20">
        <f>IFERROR(__xludf.DUMMYFUNCTION("""COMPUTED_VALUE"""),2.0)</f>
        <v>2</v>
      </c>
      <c r="T12" s="20" t="str">
        <f>IFERROR(__xludf.DUMMYFUNCTION("""COMPUTED_VALUE"""),"PT ZATALINI CIPTA PERSADA")</f>
        <v>PT ZATALINI CIPTA PERSADA</v>
      </c>
      <c r="U12" s="11" t="str">
        <f>IFERROR(__xludf.DUMMYFUNCTION("""COMPUTED_VALUE"""),"")</f>
        <v/>
      </c>
      <c r="V12" s="11">
        <f>IFERROR(__xludf.DUMMYFUNCTION("""COMPUTED_VALUE"""),11.0)</f>
        <v>11</v>
      </c>
      <c r="W12" s="11" t="str">
        <f>IFERROR(__xludf.DUMMYFUNCTION("""COMPUTED_VALUE"""),"N 8757 UB")</f>
        <v>N 8757 UB</v>
      </c>
      <c r="X12" s="11" t="str">
        <f>IFERROR(__xludf.DUMMYFUNCTION("""COMPUTED_VALUE"""),"TLPG TJ PERAK")</f>
        <v>TLPG TJ PERAK</v>
      </c>
      <c r="Y12" s="11">
        <f>IFERROR(__xludf.DUMMYFUNCTION("""COMPUTED_VALUE"""),3.0)</f>
        <v>3</v>
      </c>
      <c r="Z12" s="11" t="str">
        <f>IFERROR(__xludf.DUMMYFUNCTION("""COMPUTED_VALUE"""),"PT ZATALINI CIPTA PERSADA")</f>
        <v>PT ZATALINI CIPTA PERSADA</v>
      </c>
      <c r="AA12" s="11" t="str">
        <f>IFERROR(__xludf.DUMMYFUNCTION("""COMPUTED_VALUE"""),"")</f>
        <v/>
      </c>
      <c r="AB12" s="20">
        <f>IFERROR(__xludf.DUMMYFUNCTION("""COMPUTED_VALUE"""),11.0)</f>
        <v>11</v>
      </c>
      <c r="AC12" s="20" t="str">
        <f>IFERROR(__xludf.DUMMYFUNCTION("""COMPUTED_VALUE"""),"M 8010 UB")</f>
        <v>M 8010 UB</v>
      </c>
      <c r="AD12" s="20" t="str">
        <f>IFERROR(__xludf.DUMMYFUNCTION("""COMPUTED_VALUE"""),"TLPG TJ PERAK")</f>
        <v>TLPG TJ PERAK</v>
      </c>
      <c r="AE12" s="20">
        <f>IFERROR(__xludf.DUMMYFUNCTION("""COMPUTED_VALUE"""),4.0)</f>
        <v>4</v>
      </c>
      <c r="AF12" s="20" t="str">
        <f>IFERROR(__xludf.DUMMYFUNCTION("""COMPUTED_VALUE"""),"PT GAS MADURA PRATAMA")</f>
        <v>PT GAS MADURA PRATAMA</v>
      </c>
      <c r="AI12" s="7" t="s">
        <v>93</v>
      </c>
      <c r="AJ12" s="7" t="s">
        <v>25</v>
      </c>
      <c r="AK12" s="7" t="s">
        <v>83</v>
      </c>
      <c r="AM12" s="23">
        <v>11.0</v>
      </c>
      <c r="AN12" s="23" t="s">
        <v>172</v>
      </c>
      <c r="AO12" s="23" t="s">
        <v>7</v>
      </c>
    </row>
    <row r="13">
      <c r="A13" s="9" t="str">
        <f>IFERROR(__xludf.DUMMYFUNCTION("""COMPUTED_VALUE"""),"N 9910 UN")</f>
        <v>N 9910 UN</v>
      </c>
      <c r="B13" s="9" t="str">
        <f>IFERROR(__xludf.DUMMYFUNCTION("""COMPUTED_VALUE"""),"TLPG TJ WANGI")</f>
        <v>TLPG TJ WANGI</v>
      </c>
      <c r="C13" s="9" t="str">
        <f>IFERROR(__xludf.DUMMYFUNCTION("""COMPUTED_VALUE"""),"PT MAHKOTA MIGAS PERKASA")</f>
        <v>PT MAHKOTA MIGAS PERKASA</v>
      </c>
      <c r="D13" s="11">
        <f>IFERROR(__xludf.DUMMYFUNCTION("""COMPUTED_VALUE"""),189.8)</f>
        <v>189.8</v>
      </c>
      <c r="E13" s="11" t="str">
        <f>IFERROR(__xludf.DUMMYFUNCTION("""COMPUTED_VALUE"""),"JAUH")</f>
        <v>JAUH</v>
      </c>
      <c r="F13" s="11">
        <f>IFERROR(__xludf.DUMMYFUNCTION("""COMPUTED_VALUE"""),3.0)</f>
        <v>3</v>
      </c>
      <c r="G13" s="11">
        <f>IFERROR(__xludf.DUMMYFUNCTION("""COMPUTED_VALUE"""),5.0)</f>
        <v>5</v>
      </c>
      <c r="H13" s="11">
        <f>IFERROR(__xludf.DUMMYFUNCTION("""COMPUTED_VALUE"""),12.0)</f>
        <v>12</v>
      </c>
      <c r="I13" s="11">
        <v>12.0</v>
      </c>
      <c r="J13" s="11">
        <f>IFERROR(__xludf.DUMMYFUNCTION("""COMPUTED_VALUE"""),12.0)</f>
        <v>12</v>
      </c>
      <c r="K13" s="11" t="str">
        <f>IFERROR(__xludf.DUMMYFUNCTION("""COMPUTED_VALUE"""),"N 8661 UR")</f>
        <v>N 8661 UR</v>
      </c>
      <c r="L13" s="11" t="str">
        <f>IFERROR(__xludf.DUMMYFUNCTION("""COMPUTED_VALUE"""),"TLPG TJ PERAK")</f>
        <v>TLPG TJ PERAK</v>
      </c>
      <c r="M13" s="11">
        <f>IFERROR(__xludf.DUMMYFUNCTION("""COMPUTED_VALUE"""),1.0)</f>
        <v>1</v>
      </c>
      <c r="N13" s="11" t="str">
        <f>IFERROR(__xludf.DUMMYFUNCTION("""COMPUTED_VALUE"""),"PT SUMBER GAS INTI UTAMA")</f>
        <v>PT SUMBER GAS INTI UTAMA</v>
      </c>
      <c r="O13" s="11" t="str">
        <f>IFERROR(__xludf.DUMMYFUNCTION("""COMPUTED_VALUE"""),"")</f>
        <v/>
      </c>
      <c r="P13" s="20">
        <f>IFERROR(__xludf.DUMMYFUNCTION("""COMPUTED_VALUE"""),12.0)</f>
        <v>12</v>
      </c>
      <c r="Q13" s="20" t="str">
        <f>IFERROR(__xludf.DUMMYFUNCTION("""COMPUTED_VALUE"""),"DK 8018 UF")</f>
        <v>DK 8018 UF</v>
      </c>
      <c r="R13" s="20" t="str">
        <f>IFERROR(__xludf.DUMMYFUNCTION("""COMPUTED_VALUE"""),"TLPG MANGGIS")</f>
        <v>TLPG MANGGIS</v>
      </c>
      <c r="S13" s="20">
        <f>IFERROR(__xludf.DUMMYFUNCTION("""COMPUTED_VALUE"""),2.0)</f>
        <v>2</v>
      </c>
      <c r="T13" s="20" t="str">
        <f>IFERROR(__xludf.DUMMYFUNCTION("""COMPUTED_VALUE"""),"SPPBE-PT. Gaya Investama")</f>
        <v>SPPBE-PT. Gaya Investama</v>
      </c>
      <c r="U13" s="11" t="str">
        <f>IFERROR(__xludf.DUMMYFUNCTION("""COMPUTED_VALUE"""),"")</f>
        <v/>
      </c>
      <c r="V13" s="11">
        <f>IFERROR(__xludf.DUMMYFUNCTION("""COMPUTED_VALUE"""),12.0)</f>
        <v>12</v>
      </c>
      <c r="W13" s="11" t="str">
        <f>IFERROR(__xludf.DUMMYFUNCTION("""COMPUTED_VALUE"""),"DK 8023 UK")</f>
        <v>DK 8023 UK</v>
      </c>
      <c r="X13" s="11" t="str">
        <f>IFERROR(__xludf.DUMMYFUNCTION("""COMPUTED_VALUE"""),"TLPG MANGGIS")</f>
        <v>TLPG MANGGIS</v>
      </c>
      <c r="Y13" s="11">
        <f>IFERROR(__xludf.DUMMYFUNCTION("""COMPUTED_VALUE"""),3.0)</f>
        <v>3</v>
      </c>
      <c r="Z13" s="11" t="str">
        <f>IFERROR(__xludf.DUMMYFUNCTION("""COMPUTED_VALUE"""),"SPPBE-PT. Gaya Investama")</f>
        <v>SPPBE-PT. Gaya Investama</v>
      </c>
      <c r="AA13" s="11" t="str">
        <f>IFERROR(__xludf.DUMMYFUNCTION("""COMPUTED_VALUE"""),"")</f>
        <v/>
      </c>
      <c r="AB13" s="20">
        <f>IFERROR(__xludf.DUMMYFUNCTION("""COMPUTED_VALUE"""),12.0)</f>
        <v>12</v>
      </c>
      <c r="AC13" s="20" t="str">
        <f>IFERROR(__xludf.DUMMYFUNCTION("""COMPUTED_VALUE"""),"DK 8035 UI")</f>
        <v>DK 8035 UI</v>
      </c>
      <c r="AD13" s="20" t="str">
        <f>IFERROR(__xludf.DUMMYFUNCTION("""COMPUTED_VALUE"""),"TLPG MANGGIS")</f>
        <v>TLPG MANGGIS</v>
      </c>
      <c r="AE13" s="20">
        <f>IFERROR(__xludf.DUMMYFUNCTION("""COMPUTED_VALUE"""),4.0)</f>
        <v>4</v>
      </c>
      <c r="AF13" s="20" t="str">
        <f>IFERROR(__xludf.DUMMYFUNCTION("""COMPUTED_VALUE"""),"SPPBE-PT. Gaya Investama")</f>
        <v>SPPBE-PT. Gaya Investama</v>
      </c>
      <c r="AI13" s="7" t="s">
        <v>100</v>
      </c>
      <c r="AJ13" s="7" t="s">
        <v>25</v>
      </c>
      <c r="AK13" s="7" t="s">
        <v>83</v>
      </c>
      <c r="AM13" s="23">
        <v>12.0</v>
      </c>
      <c r="AN13" s="23" t="s">
        <v>211</v>
      </c>
      <c r="AO13" s="23" t="s">
        <v>25</v>
      </c>
    </row>
    <row r="14">
      <c r="A14" s="9" t="str">
        <f>IFERROR(__xludf.DUMMYFUNCTION("""COMPUTED_VALUE"""),"AE 9401 UJ")</f>
        <v>AE 9401 UJ</v>
      </c>
      <c r="B14" s="9" t="str">
        <f>IFERROR(__xludf.DUMMYFUNCTION("""COMPUTED_VALUE"""),"TLPG TJ PERAK")</f>
        <v>TLPG TJ PERAK</v>
      </c>
      <c r="C14" s="9" t="str">
        <f>IFERROR(__xludf.DUMMYFUNCTION("""COMPUTED_VALUE"""),"PT SUMINAR MITRAGAS SELARAS")</f>
        <v>PT SUMINAR MITRAGAS SELARAS</v>
      </c>
      <c r="D14" s="11">
        <f>IFERROR(__xludf.DUMMYFUNCTION("""COMPUTED_VALUE"""),189.0)</f>
        <v>189</v>
      </c>
      <c r="E14" s="11" t="str">
        <f>IFERROR(__xludf.DUMMYFUNCTION("""COMPUTED_VALUE"""),"JAUH")</f>
        <v>JAUH</v>
      </c>
      <c r="F14" s="11">
        <f>IFERROR(__xludf.DUMMYFUNCTION("""COMPUTED_VALUE"""),3.0)</f>
        <v>3</v>
      </c>
      <c r="G14" s="11">
        <f>IFERROR(__xludf.DUMMYFUNCTION("""COMPUTED_VALUE"""),2.0)</f>
        <v>2</v>
      </c>
      <c r="H14" s="11">
        <f>IFERROR(__xludf.DUMMYFUNCTION("""COMPUTED_VALUE"""),1.0)</f>
        <v>1</v>
      </c>
      <c r="I14" s="11">
        <v>1.0</v>
      </c>
      <c r="J14" s="11">
        <f>IFERROR(__xludf.DUMMYFUNCTION("""COMPUTED_VALUE"""),13.0)</f>
        <v>13</v>
      </c>
      <c r="K14" s="11" t="str">
        <f>IFERROR(__xludf.DUMMYFUNCTION("""COMPUTED_VALUE"""),"L 8333 UCA")</f>
        <v>L 8333 UCA</v>
      </c>
      <c r="L14" s="11" t="str">
        <f>IFERROR(__xludf.DUMMYFUNCTION("""COMPUTED_VALUE"""),"TLPG TJ PERAK")</f>
        <v>TLPG TJ PERAK</v>
      </c>
      <c r="M14" s="11">
        <f>IFERROR(__xludf.DUMMYFUNCTION("""COMPUTED_VALUE"""),1.0)</f>
        <v>1</v>
      </c>
      <c r="N14" s="11" t="str">
        <f>IFERROR(__xludf.DUMMYFUNCTION("""COMPUTED_VALUE"""),"PT GEHA INTI CITRA")</f>
        <v>PT GEHA INTI CITRA</v>
      </c>
      <c r="O14" s="11" t="str">
        <f>IFERROR(__xludf.DUMMYFUNCTION("""COMPUTED_VALUE"""),"")</f>
        <v/>
      </c>
      <c r="P14" s="20">
        <f>IFERROR(__xludf.DUMMYFUNCTION("""COMPUTED_VALUE"""),13.0)</f>
        <v>13</v>
      </c>
      <c r="Q14" s="20" t="str">
        <f>IFERROR(__xludf.DUMMYFUNCTION("""COMPUTED_VALUE"""),"DR 8653 AG")</f>
        <v>DR 8653 AG</v>
      </c>
      <c r="R14" s="20" t="str">
        <f>IFERROR(__xludf.DUMMYFUNCTION("""COMPUTED_VALUE"""),"TLPG LOMBOK")</f>
        <v>TLPG LOMBOK</v>
      </c>
      <c r="S14" s="20">
        <f>IFERROR(__xludf.DUMMYFUNCTION("""COMPUTED_VALUE"""),2.0)</f>
        <v>2</v>
      </c>
      <c r="T14" s="20" t="str">
        <f>IFERROR(__xludf.DUMMYFUNCTION("""COMPUTED_VALUE"""),"SPPBE-PT. Dinamika Utama Karya")</f>
        <v>SPPBE-PT. Dinamika Utama Karya</v>
      </c>
      <c r="U14" s="11" t="str">
        <f>IFERROR(__xludf.DUMMYFUNCTION("""COMPUTED_VALUE"""),"")</f>
        <v/>
      </c>
      <c r="V14" s="11">
        <f>IFERROR(__xludf.DUMMYFUNCTION("""COMPUTED_VALUE"""),13.0)</f>
        <v>13</v>
      </c>
      <c r="W14" s="11" t="str">
        <f>IFERROR(__xludf.DUMMYFUNCTION("""COMPUTED_VALUE"""),"DR 8751 AF")</f>
        <v>DR 8751 AF</v>
      </c>
      <c r="X14" s="11" t="str">
        <f>IFERROR(__xludf.DUMMYFUNCTION("""COMPUTED_VALUE"""),"TLPG LOMBOK")</f>
        <v>TLPG LOMBOK</v>
      </c>
      <c r="Y14" s="11">
        <f>IFERROR(__xludf.DUMMYFUNCTION("""COMPUTED_VALUE"""),3.0)</f>
        <v>3</v>
      </c>
      <c r="Z14" s="11" t="str">
        <f>IFERROR(__xludf.DUMMYFUNCTION("""COMPUTED_VALUE"""),"SPPBE-PT. Dinamika Utama Karya")</f>
        <v>SPPBE-PT. Dinamika Utama Karya</v>
      </c>
      <c r="AA14" s="11" t="str">
        <f>IFERROR(__xludf.DUMMYFUNCTION("""COMPUTED_VALUE"""),"")</f>
        <v/>
      </c>
      <c r="AB14" s="20">
        <f>IFERROR(__xludf.DUMMYFUNCTION("""COMPUTED_VALUE"""),13.0)</f>
        <v>13</v>
      </c>
      <c r="AC14" s="20" t="str">
        <f>IFERROR(__xludf.DUMMYFUNCTION("""COMPUTED_VALUE"""),"S 8236 UZ")</f>
        <v>S 8236 UZ</v>
      </c>
      <c r="AD14" s="20" t="str">
        <f>IFERROR(__xludf.DUMMYFUNCTION("""COMPUTED_VALUE"""),"TLPG TJ PERAK")</f>
        <v>TLPG TJ PERAK</v>
      </c>
      <c r="AE14" s="20">
        <f>IFERROR(__xludf.DUMMYFUNCTION("""COMPUTED_VALUE"""),4.0)</f>
        <v>4</v>
      </c>
      <c r="AF14" s="20" t="str">
        <f>IFERROR(__xludf.DUMMYFUNCTION("""COMPUTED_VALUE"""),"PT GAS BUMI NUSANTARA JAYA")</f>
        <v>PT GAS BUMI NUSANTARA JAYA</v>
      </c>
      <c r="AI14" s="7" t="s">
        <v>116</v>
      </c>
      <c r="AJ14" s="7" t="s">
        <v>25</v>
      </c>
      <c r="AK14" s="7" t="s">
        <v>83</v>
      </c>
      <c r="AM14" s="23">
        <v>13.0</v>
      </c>
      <c r="AN14" s="23" t="s">
        <v>221</v>
      </c>
      <c r="AO14" s="23" t="s">
        <v>7</v>
      </c>
    </row>
    <row r="15">
      <c r="A15" s="9" t="str">
        <f>IFERROR(__xludf.DUMMYFUNCTION("""COMPUTED_VALUE"""),"AG 9151 UL")</f>
        <v>AG 9151 UL</v>
      </c>
      <c r="B15" s="9" t="str">
        <f>IFERROR(__xludf.DUMMYFUNCTION("""COMPUTED_VALUE"""),"TLPG TJ PERAK")</f>
        <v>TLPG TJ PERAK</v>
      </c>
      <c r="C15" s="9" t="str">
        <f>IFERROR(__xludf.DUMMYFUNCTION("""COMPUTED_VALUE"""),"PT SUMINAR MITRAGAS SELARAS")</f>
        <v>PT SUMINAR MITRAGAS SELARAS</v>
      </c>
      <c r="D15" s="11">
        <f>IFERROR(__xludf.DUMMYFUNCTION("""COMPUTED_VALUE"""),189.0)</f>
        <v>189</v>
      </c>
      <c r="E15" s="11" t="str">
        <f>IFERROR(__xludf.DUMMYFUNCTION("""COMPUTED_VALUE"""),"JAUH")</f>
        <v>JAUH</v>
      </c>
      <c r="F15" s="11">
        <f>IFERROR(__xludf.DUMMYFUNCTION("""COMPUTED_VALUE"""),3.0)</f>
        <v>3</v>
      </c>
      <c r="G15" s="11">
        <f>IFERROR(__xludf.DUMMYFUNCTION("""COMPUTED_VALUE"""),5.0)</f>
        <v>5</v>
      </c>
      <c r="H15" s="11">
        <f>IFERROR(__xludf.DUMMYFUNCTION("""COMPUTED_VALUE"""),2.0)</f>
        <v>2</v>
      </c>
      <c r="I15" s="11">
        <v>2.0</v>
      </c>
      <c r="J15" s="11">
        <f>IFERROR(__xludf.DUMMYFUNCTION("""COMPUTED_VALUE"""),14.0)</f>
        <v>14</v>
      </c>
      <c r="K15" s="11" t="str">
        <f>IFERROR(__xludf.DUMMYFUNCTION("""COMPUTED_VALUE"""),"N 8660 UH")</f>
        <v>N 8660 UH</v>
      </c>
      <c r="L15" s="11" t="str">
        <f>IFERROR(__xludf.DUMMYFUNCTION("""COMPUTED_VALUE"""),"TLPG TJ PERAK")</f>
        <v>TLPG TJ PERAK</v>
      </c>
      <c r="M15" s="11">
        <f>IFERROR(__xludf.DUMMYFUNCTION("""COMPUTED_VALUE"""),1.0)</f>
        <v>1</v>
      </c>
      <c r="N15" s="11" t="str">
        <f>IFERROR(__xludf.DUMMYFUNCTION("""COMPUTED_VALUE"""),"PT TRIEN GASMIKU")</f>
        <v>PT TRIEN GASMIKU</v>
      </c>
      <c r="O15" s="11" t="str">
        <f>IFERROR(__xludf.DUMMYFUNCTION("""COMPUTED_VALUE"""),"")</f>
        <v/>
      </c>
      <c r="P15" s="20">
        <f>IFERROR(__xludf.DUMMYFUNCTION("""COMPUTED_VALUE"""),14.0)</f>
        <v>14</v>
      </c>
      <c r="Q15" s="20" t="str">
        <f>IFERROR(__xludf.DUMMYFUNCTION("""COMPUTED_VALUE"""),"L 8063 UUA")</f>
        <v>L 8063 UUA</v>
      </c>
      <c r="R15" s="20" t="str">
        <f>IFERROR(__xludf.DUMMYFUNCTION("""COMPUTED_VALUE"""),"TLPG TJ PERAK")</f>
        <v>TLPG TJ PERAK</v>
      </c>
      <c r="S15" s="20">
        <f>IFERROR(__xludf.DUMMYFUNCTION("""COMPUTED_VALUE"""),2.0)</f>
        <v>2</v>
      </c>
      <c r="T15" s="20" t="str">
        <f>IFERROR(__xludf.DUMMYFUNCTION("""COMPUTED_VALUE"""),"PT TRIEN GASMIKU")</f>
        <v>PT TRIEN GASMIKU</v>
      </c>
      <c r="U15" s="11" t="str">
        <f>IFERROR(__xludf.DUMMYFUNCTION("""COMPUTED_VALUE"""),"")</f>
        <v/>
      </c>
      <c r="V15" s="11">
        <f>IFERROR(__xludf.DUMMYFUNCTION("""COMPUTED_VALUE"""),14.0)</f>
        <v>14</v>
      </c>
      <c r="W15" s="11" t="str">
        <f>IFERROR(__xludf.DUMMYFUNCTION("""COMPUTED_VALUE"""),"N 8469 US")</f>
        <v>N 8469 US</v>
      </c>
      <c r="X15" s="11" t="str">
        <f>IFERROR(__xludf.DUMMYFUNCTION("""COMPUTED_VALUE"""),"TLPG TJ PERAK")</f>
        <v>TLPG TJ PERAK</v>
      </c>
      <c r="Y15" s="11">
        <f>IFERROR(__xludf.DUMMYFUNCTION("""COMPUTED_VALUE"""),3.0)</f>
        <v>3</v>
      </c>
      <c r="Z15" s="11" t="str">
        <f>IFERROR(__xludf.DUMMYFUNCTION("""COMPUTED_VALUE"""),"PT TRIEN GASMIKU")</f>
        <v>PT TRIEN GASMIKU</v>
      </c>
      <c r="AA15" s="11" t="str">
        <f>IFERROR(__xludf.DUMMYFUNCTION("""COMPUTED_VALUE"""),"")</f>
        <v/>
      </c>
      <c r="AB15" s="20">
        <f>IFERROR(__xludf.DUMMYFUNCTION("""COMPUTED_VALUE"""),14.0)</f>
        <v>14</v>
      </c>
      <c r="AC15" s="20" t="str">
        <f>IFERROR(__xludf.DUMMYFUNCTION("""COMPUTED_VALUE"""),"S 8104 UH")</f>
        <v>S 8104 UH</v>
      </c>
      <c r="AD15" s="20" t="str">
        <f>IFERROR(__xludf.DUMMYFUNCTION("""COMPUTED_VALUE"""),"TLPG TJ PERAK")</f>
        <v>TLPG TJ PERAK</v>
      </c>
      <c r="AE15" s="20">
        <f>IFERROR(__xludf.DUMMYFUNCTION("""COMPUTED_VALUE"""),4.0)</f>
        <v>4</v>
      </c>
      <c r="AF15" s="20" t="str">
        <f>IFERROR(__xludf.DUMMYFUNCTION("""COMPUTED_VALUE"""),"PT SEMBILAN SEMBILAN TUBAN PERDANA")</f>
        <v>PT SEMBILAN SEMBILAN TUBAN PERDANA</v>
      </c>
      <c r="AI15" s="7" t="s">
        <v>117</v>
      </c>
      <c r="AJ15" s="7" t="s">
        <v>25</v>
      </c>
      <c r="AK15" s="7" t="s">
        <v>83</v>
      </c>
      <c r="AM15" s="23">
        <v>14.0</v>
      </c>
      <c r="AN15" s="23" t="s">
        <v>253</v>
      </c>
      <c r="AO15" s="23" t="s">
        <v>25</v>
      </c>
    </row>
    <row r="16">
      <c r="A16" s="9" t="str">
        <f>IFERROR(__xludf.DUMMYFUNCTION("""COMPUTED_VALUE"""),"N 8857 UR")</f>
        <v>N 8857 UR</v>
      </c>
      <c r="B16" s="9" t="str">
        <f>IFERROR(__xludf.DUMMYFUNCTION("""COMPUTED_VALUE"""),"TLPG TJ WANGI")</f>
        <v>TLPG TJ WANGI</v>
      </c>
      <c r="C16" s="9" t="str">
        <f>IFERROR(__xludf.DUMMYFUNCTION("""COMPUTED_VALUE"""),"PT BHUMI PERMATA INDAH")</f>
        <v>PT BHUMI PERMATA INDAH</v>
      </c>
      <c r="D16" s="11">
        <f>IFERROR(__xludf.DUMMYFUNCTION("""COMPUTED_VALUE"""),188.6)</f>
        <v>188.6</v>
      </c>
      <c r="E16" s="11" t="str">
        <f>IFERROR(__xludf.DUMMYFUNCTION("""COMPUTED_VALUE"""),"JAUH")</f>
        <v>JAUH</v>
      </c>
      <c r="F16" s="11">
        <f>IFERROR(__xludf.DUMMYFUNCTION("""COMPUTED_VALUE"""),3.0)</f>
        <v>3</v>
      </c>
      <c r="G16" s="11">
        <f>IFERROR(__xludf.DUMMYFUNCTION("""COMPUTED_VALUE"""),2.0)</f>
        <v>2</v>
      </c>
      <c r="H16" s="11">
        <f>IFERROR(__xludf.DUMMYFUNCTION("""COMPUTED_VALUE"""),3.0)</f>
        <v>3</v>
      </c>
      <c r="I16" s="11">
        <v>3.0</v>
      </c>
      <c r="J16" s="11">
        <f>IFERROR(__xludf.DUMMYFUNCTION("""COMPUTED_VALUE"""),15.0)</f>
        <v>15</v>
      </c>
      <c r="K16" s="11" t="str">
        <f>IFERROR(__xludf.DUMMYFUNCTION("""COMPUTED_VALUE"""),"DR 8309 LH")</f>
        <v>DR 8309 LH</v>
      </c>
      <c r="L16" s="11" t="str">
        <f>IFERROR(__xludf.DUMMYFUNCTION("""COMPUTED_VALUE"""),"TLPG LOMBOK")</f>
        <v>TLPG LOMBOK</v>
      </c>
      <c r="M16" s="11">
        <f>IFERROR(__xludf.DUMMYFUNCTION("""COMPUTED_VALUE"""),1.0)</f>
        <v>1</v>
      </c>
      <c r="N16" s="11" t="str">
        <f>IFERROR(__xludf.DUMMYFUNCTION("""COMPUTED_VALUE"""),"SPPBE-PT. Bintang Energi Abadi")</f>
        <v>SPPBE-PT. Bintang Energi Abadi</v>
      </c>
      <c r="O16" s="11" t="str">
        <f>IFERROR(__xludf.DUMMYFUNCTION("""COMPUTED_VALUE"""),"")</f>
        <v/>
      </c>
      <c r="P16" s="20">
        <f>IFERROR(__xludf.DUMMYFUNCTION("""COMPUTED_VALUE"""),15.0)</f>
        <v>15</v>
      </c>
      <c r="Q16" s="20" t="str">
        <f>IFERROR(__xludf.DUMMYFUNCTION("""COMPUTED_VALUE"""),"DR 8527 KC")</f>
        <v>DR 8527 KC</v>
      </c>
      <c r="R16" s="20" t="str">
        <f>IFERROR(__xludf.DUMMYFUNCTION("""COMPUTED_VALUE"""),"TLPG LOMBOK")</f>
        <v>TLPG LOMBOK</v>
      </c>
      <c r="S16" s="20">
        <f>IFERROR(__xludf.DUMMYFUNCTION("""COMPUTED_VALUE"""),2.0)</f>
        <v>2</v>
      </c>
      <c r="T16" s="20" t="str">
        <f>IFERROR(__xludf.DUMMYFUNCTION("""COMPUTED_VALUE"""),"SPPBE-PT. Bintang Energi Abadi")</f>
        <v>SPPBE-PT. Bintang Energi Abadi</v>
      </c>
      <c r="U16" s="11" t="str">
        <f>IFERROR(__xludf.DUMMYFUNCTION("""COMPUTED_VALUE"""),"")</f>
        <v/>
      </c>
      <c r="V16" s="11">
        <f>IFERROR(__xludf.DUMMYFUNCTION("""COMPUTED_VALUE"""),15.0)</f>
        <v>15</v>
      </c>
      <c r="W16" s="11" t="str">
        <f>IFERROR(__xludf.DUMMYFUNCTION("""COMPUTED_VALUE"""),"DR 8528 KC")</f>
        <v>DR 8528 KC</v>
      </c>
      <c r="X16" s="11" t="str">
        <f>IFERROR(__xludf.DUMMYFUNCTION("""COMPUTED_VALUE"""),"TLPG LOMBOK")</f>
        <v>TLPG LOMBOK</v>
      </c>
      <c r="Y16" s="11">
        <f>IFERROR(__xludf.DUMMYFUNCTION("""COMPUTED_VALUE"""),3.0)</f>
        <v>3</v>
      </c>
      <c r="Z16" s="11" t="str">
        <f>IFERROR(__xludf.DUMMYFUNCTION("""COMPUTED_VALUE"""),"SPPBE-PT. Bintang Energi Abadi")</f>
        <v>SPPBE-PT. Bintang Energi Abadi</v>
      </c>
      <c r="AA16" s="11" t="str">
        <f>IFERROR(__xludf.DUMMYFUNCTION("""COMPUTED_VALUE"""),"")</f>
        <v/>
      </c>
      <c r="AB16" s="20">
        <f>IFERROR(__xludf.DUMMYFUNCTION("""COMPUTED_VALUE"""),15.0)</f>
        <v>15</v>
      </c>
      <c r="AC16" s="20" t="str">
        <f>IFERROR(__xludf.DUMMYFUNCTION("""COMPUTED_VALUE"""),"L 8107 UUA")</f>
        <v>L 8107 UUA</v>
      </c>
      <c r="AD16" s="20" t="str">
        <f>IFERROR(__xludf.DUMMYFUNCTION("""COMPUTED_VALUE"""),"TLPG TJ PERAK")</f>
        <v>TLPG TJ PERAK</v>
      </c>
      <c r="AE16" s="20">
        <f>IFERROR(__xludf.DUMMYFUNCTION("""COMPUTED_VALUE"""),4.0)</f>
        <v>4</v>
      </c>
      <c r="AF16" s="20" t="str">
        <f>IFERROR(__xludf.DUMMYFUNCTION("""COMPUTED_VALUE"""),"PT GELORA MERATUS MANDIRI")</f>
        <v>PT GELORA MERATUS MANDIRI</v>
      </c>
      <c r="AI16" s="7" t="s">
        <v>115</v>
      </c>
      <c r="AJ16" s="7" t="s">
        <v>25</v>
      </c>
      <c r="AK16" s="7" t="s">
        <v>83</v>
      </c>
      <c r="AM16" s="23">
        <v>15.0</v>
      </c>
      <c r="AN16" s="23" t="s">
        <v>325</v>
      </c>
      <c r="AO16" s="23" t="s">
        <v>7</v>
      </c>
    </row>
    <row r="17">
      <c r="A17" s="9" t="str">
        <f>IFERROR(__xludf.DUMMYFUNCTION("""COMPUTED_VALUE"""),"AE 8835 UQ")</f>
        <v>AE 8835 UQ</v>
      </c>
      <c r="B17" s="9" t="str">
        <f>IFERROR(__xludf.DUMMYFUNCTION("""COMPUTED_VALUE"""),"TLPG TJ PERAK")</f>
        <v>TLPG TJ PERAK</v>
      </c>
      <c r="C17" s="9" t="str">
        <f>IFERROR(__xludf.DUMMYFUNCTION("""COMPUTED_VALUE"""),"PT SEKAWAN GAS NUSA")</f>
        <v>PT SEKAWAN GAS NUSA</v>
      </c>
      <c r="D17" s="11">
        <f>IFERROR(__xludf.DUMMYFUNCTION("""COMPUTED_VALUE"""),188.4)</f>
        <v>188.4</v>
      </c>
      <c r="E17" s="11" t="str">
        <f>IFERROR(__xludf.DUMMYFUNCTION("""COMPUTED_VALUE"""),"JAUH")</f>
        <v>JAUH</v>
      </c>
      <c r="F17" s="11">
        <f>IFERROR(__xludf.DUMMYFUNCTION("""COMPUTED_VALUE"""),3.0)</f>
        <v>3</v>
      </c>
      <c r="G17" s="11">
        <f>IFERROR(__xludf.DUMMYFUNCTION("""COMPUTED_VALUE"""),1.0)</f>
        <v>1</v>
      </c>
      <c r="H17" s="11">
        <f>IFERROR(__xludf.DUMMYFUNCTION("""COMPUTED_VALUE"""),4.0)</f>
        <v>4</v>
      </c>
      <c r="I17" s="11">
        <v>4.0</v>
      </c>
      <c r="J17" s="11">
        <f>IFERROR(__xludf.DUMMYFUNCTION("""COMPUTED_VALUE"""),16.0)</f>
        <v>16</v>
      </c>
      <c r="K17" s="11" t="str">
        <f>IFERROR(__xludf.DUMMYFUNCTION("""COMPUTED_VALUE"""),"S 8548 UN")</f>
        <v>S 8548 UN</v>
      </c>
      <c r="L17" s="11" t="str">
        <f>IFERROR(__xludf.DUMMYFUNCTION("""COMPUTED_VALUE"""),"TLPG TJ PERAK")</f>
        <v>TLPG TJ PERAK</v>
      </c>
      <c r="M17" s="11">
        <f>IFERROR(__xludf.DUMMYFUNCTION("""COMPUTED_VALUE"""),1.0)</f>
        <v>1</v>
      </c>
      <c r="N17" s="11" t="str">
        <f>IFERROR(__xludf.DUMMYFUNCTION("""COMPUTED_VALUE"""),"PT AMANATUL UMMAH GAS")</f>
        <v>PT AMANATUL UMMAH GAS</v>
      </c>
      <c r="O17" s="11" t="str">
        <f>IFERROR(__xludf.DUMMYFUNCTION("""COMPUTED_VALUE"""),"")</f>
        <v/>
      </c>
      <c r="P17" s="20">
        <f>IFERROR(__xludf.DUMMYFUNCTION("""COMPUTED_VALUE"""),16.0)</f>
        <v>16</v>
      </c>
      <c r="Q17" s="20" t="str">
        <f>IFERROR(__xludf.DUMMYFUNCTION("""COMPUTED_VALUE"""),"S 7850 UN")</f>
        <v>S 7850 UN</v>
      </c>
      <c r="R17" s="20" t="str">
        <f>IFERROR(__xludf.DUMMYFUNCTION("""COMPUTED_VALUE"""),"TLPG TJ PERAK")</f>
        <v>TLPG TJ PERAK</v>
      </c>
      <c r="S17" s="20">
        <f>IFERROR(__xludf.DUMMYFUNCTION("""COMPUTED_VALUE"""),2.0)</f>
        <v>2</v>
      </c>
      <c r="T17" s="20" t="str">
        <f>IFERROR(__xludf.DUMMYFUNCTION("""COMPUTED_VALUE"""),"PT TRIMEGAH FARGASINDO")</f>
        <v>PT TRIMEGAH FARGASINDO</v>
      </c>
      <c r="U17" s="11" t="str">
        <f>IFERROR(__xludf.DUMMYFUNCTION("""COMPUTED_VALUE"""),"")</f>
        <v/>
      </c>
      <c r="V17" s="11">
        <f>IFERROR(__xludf.DUMMYFUNCTION("""COMPUTED_VALUE"""),16.0)</f>
        <v>16</v>
      </c>
      <c r="W17" s="11" t="str">
        <f>IFERROR(__xludf.DUMMYFUNCTION("""COMPUTED_VALUE"""),"S 8943 UU")</f>
        <v>S 8943 UU</v>
      </c>
      <c r="X17" s="11" t="str">
        <f>IFERROR(__xludf.DUMMYFUNCTION("""COMPUTED_VALUE"""),"TLPG TJ PERAK")</f>
        <v>TLPG TJ PERAK</v>
      </c>
      <c r="Y17" s="11">
        <f>IFERROR(__xludf.DUMMYFUNCTION("""COMPUTED_VALUE"""),3.0)</f>
        <v>3</v>
      </c>
      <c r="Z17" s="11" t="str">
        <f>IFERROR(__xludf.DUMMYFUNCTION("""COMPUTED_VALUE"""),"PT TRIMEGAH FARGASINDO")</f>
        <v>PT TRIMEGAH FARGASINDO</v>
      </c>
      <c r="AA17" s="11" t="str">
        <f>IFERROR(__xludf.DUMMYFUNCTION("""COMPUTED_VALUE"""),"")</f>
        <v/>
      </c>
      <c r="AB17" s="20">
        <f>IFERROR(__xludf.DUMMYFUNCTION("""COMPUTED_VALUE"""),16.0)</f>
        <v>16</v>
      </c>
      <c r="AC17" s="20" t="str">
        <f>IFERROR(__xludf.DUMMYFUNCTION("""COMPUTED_VALUE"""),"N 9344 EE")</f>
        <v>N 9344 EE</v>
      </c>
      <c r="AD17" s="20" t="str">
        <f>IFERROR(__xludf.DUMMYFUNCTION("""COMPUTED_VALUE"""),"TLPG TJ PERAK")</f>
        <v>TLPG TJ PERAK</v>
      </c>
      <c r="AE17" s="20">
        <f>IFERROR(__xludf.DUMMYFUNCTION("""COMPUTED_VALUE"""),4.0)</f>
        <v>4</v>
      </c>
      <c r="AF17" s="20" t="str">
        <f>IFERROR(__xludf.DUMMYFUNCTION("""COMPUTED_VALUE"""),"PT TATA BERSAMA")</f>
        <v>PT TATA BERSAMA</v>
      </c>
      <c r="AI17" s="7" t="s">
        <v>162</v>
      </c>
      <c r="AJ17" s="7" t="s">
        <v>25</v>
      </c>
      <c r="AK17" s="7" t="s">
        <v>83</v>
      </c>
    </row>
    <row r="18">
      <c r="A18" s="9" t="str">
        <f>IFERROR(__xludf.DUMMYFUNCTION("""COMPUTED_VALUE"""),"AE 8828 UQ")</f>
        <v>AE 8828 UQ</v>
      </c>
      <c r="B18" s="9" t="str">
        <f>IFERROR(__xludf.DUMMYFUNCTION("""COMPUTED_VALUE"""),"TLPG TJ PERAK")</f>
        <v>TLPG TJ PERAK</v>
      </c>
      <c r="C18" s="9" t="str">
        <f>IFERROR(__xludf.DUMMYFUNCTION("""COMPUTED_VALUE"""),"PT SEKAWAN GAS NUSA")</f>
        <v>PT SEKAWAN GAS NUSA</v>
      </c>
      <c r="D18" s="11">
        <f>IFERROR(__xludf.DUMMYFUNCTION("""COMPUTED_VALUE"""),188.4)</f>
        <v>188.4</v>
      </c>
      <c r="E18" s="11" t="str">
        <f>IFERROR(__xludf.DUMMYFUNCTION("""COMPUTED_VALUE"""),"JAUH")</f>
        <v>JAUH</v>
      </c>
      <c r="F18" s="11">
        <f>IFERROR(__xludf.DUMMYFUNCTION("""COMPUTED_VALUE"""),3.0)</f>
        <v>3</v>
      </c>
      <c r="G18" s="11">
        <f>IFERROR(__xludf.DUMMYFUNCTION("""COMPUTED_VALUE"""),2.0)</f>
        <v>2</v>
      </c>
      <c r="H18" s="11">
        <f>IFERROR(__xludf.DUMMYFUNCTION("""COMPUTED_VALUE"""),5.0)</f>
        <v>5</v>
      </c>
      <c r="I18" s="11">
        <v>5.0</v>
      </c>
      <c r="J18" s="11">
        <f>IFERROR(__xludf.DUMMYFUNCTION("""COMPUTED_VALUE"""),17.0)</f>
        <v>17</v>
      </c>
      <c r="K18" s="11" t="str">
        <f>IFERROR(__xludf.DUMMYFUNCTION("""COMPUTED_VALUE"""),"N 8714 US")</f>
        <v>N 8714 US</v>
      </c>
      <c r="L18" s="11" t="str">
        <f>IFERROR(__xludf.DUMMYFUNCTION("""COMPUTED_VALUE"""),"TLPG TJ PERAK")</f>
        <v>TLPG TJ PERAK</v>
      </c>
      <c r="M18" s="11">
        <f>IFERROR(__xludf.DUMMYFUNCTION("""COMPUTED_VALUE"""),1.0)</f>
        <v>1</v>
      </c>
      <c r="N18" s="11" t="str">
        <f>IFERROR(__xludf.DUMMYFUNCTION("""COMPUTED_VALUE"""),"PT ANUGERAH JATI UTAMA")</f>
        <v>PT ANUGERAH JATI UTAMA</v>
      </c>
      <c r="O18" s="11" t="str">
        <f>IFERROR(__xludf.DUMMYFUNCTION("""COMPUTED_VALUE"""),"")</f>
        <v/>
      </c>
      <c r="P18" s="20">
        <f>IFERROR(__xludf.DUMMYFUNCTION("""COMPUTED_VALUE"""),17.0)</f>
        <v>17</v>
      </c>
      <c r="Q18" s="20" t="str">
        <f>IFERROR(__xludf.DUMMYFUNCTION("""COMPUTED_VALUE"""),"AD 9780 AB")</f>
        <v>AD 9780 AB</v>
      </c>
      <c r="R18" s="20" t="str">
        <f>IFERROR(__xludf.DUMMYFUNCTION("""COMPUTED_VALUE"""),"TLPG LOMBOK")</f>
        <v>TLPG LOMBOK</v>
      </c>
      <c r="S18" s="20">
        <f>IFERROR(__xludf.DUMMYFUNCTION("""COMPUTED_VALUE"""),2.0)</f>
        <v>2</v>
      </c>
      <c r="T18" s="20" t="str">
        <f>IFERROR(__xludf.DUMMYFUNCTION("""COMPUTED_VALUE"""),"SPPBE-PT. Lombok Putra Gas")</f>
        <v>SPPBE-PT. Lombok Putra Gas</v>
      </c>
      <c r="U18" s="11" t="str">
        <f>IFERROR(__xludf.DUMMYFUNCTION("""COMPUTED_VALUE"""),"")</f>
        <v/>
      </c>
      <c r="V18" s="11">
        <f>IFERROR(__xludf.DUMMYFUNCTION("""COMPUTED_VALUE"""),17.0)</f>
        <v>17</v>
      </c>
      <c r="W18" s="11" t="str">
        <f>IFERROR(__xludf.DUMMYFUNCTION("""COMPUTED_VALUE"""),"AD 9838 AB")</f>
        <v>AD 9838 AB</v>
      </c>
      <c r="X18" s="11" t="str">
        <f>IFERROR(__xludf.DUMMYFUNCTION("""COMPUTED_VALUE"""),"TLPG LOMBOK")</f>
        <v>TLPG LOMBOK</v>
      </c>
      <c r="Y18" s="11">
        <f>IFERROR(__xludf.DUMMYFUNCTION("""COMPUTED_VALUE"""),3.0)</f>
        <v>3</v>
      </c>
      <c r="Z18" s="11" t="str">
        <f>IFERROR(__xludf.DUMMYFUNCTION("""COMPUTED_VALUE"""),"SPPBE-PT. Lombok Putra Gas")</f>
        <v>SPPBE-PT. Lombok Putra Gas</v>
      </c>
      <c r="AA18" s="11" t="str">
        <f>IFERROR(__xludf.DUMMYFUNCTION("""COMPUTED_VALUE"""),"")</f>
        <v/>
      </c>
      <c r="AB18" s="20">
        <f>IFERROR(__xludf.DUMMYFUNCTION("""COMPUTED_VALUE"""),17.0)</f>
        <v>17</v>
      </c>
      <c r="AC18" s="20" t="str">
        <f>IFERROR(__xludf.DUMMYFUNCTION("""COMPUTED_VALUE"""),"AD 9877 AB")</f>
        <v>AD 9877 AB</v>
      </c>
      <c r="AD18" s="20" t="str">
        <f>IFERROR(__xludf.DUMMYFUNCTION("""COMPUTED_VALUE"""),"TLPG LOMBOK")</f>
        <v>TLPG LOMBOK</v>
      </c>
      <c r="AE18" s="20">
        <f>IFERROR(__xludf.DUMMYFUNCTION("""COMPUTED_VALUE"""),4.0)</f>
        <v>4</v>
      </c>
      <c r="AF18" s="20" t="str">
        <f>IFERROR(__xludf.DUMMYFUNCTION("""COMPUTED_VALUE"""),"SPPBE-PT. Lombok Putra Gas")</f>
        <v>SPPBE-PT. Lombok Putra Gas</v>
      </c>
      <c r="AI18" s="7" t="s">
        <v>163</v>
      </c>
      <c r="AJ18" s="7" t="s">
        <v>25</v>
      </c>
      <c r="AK18" s="7" t="s">
        <v>83</v>
      </c>
    </row>
    <row r="19">
      <c r="A19" s="9" t="str">
        <f>IFERROR(__xludf.DUMMYFUNCTION("""COMPUTED_VALUE"""),"AG 8032 YQ")</f>
        <v>AG 8032 YQ</v>
      </c>
      <c r="B19" s="9" t="str">
        <f>IFERROR(__xludf.DUMMYFUNCTION("""COMPUTED_VALUE"""),"TLPG TJ PERAK")</f>
        <v>TLPG TJ PERAK</v>
      </c>
      <c r="C19" s="9" t="str">
        <f>IFERROR(__xludf.DUMMYFUNCTION("""COMPUTED_VALUE"""),"PT BINTANG CIPTA PERSADA")</f>
        <v>PT BINTANG CIPTA PERSADA</v>
      </c>
      <c r="D19" s="11">
        <f>IFERROR(__xludf.DUMMYFUNCTION("""COMPUTED_VALUE"""),181.0)</f>
        <v>181</v>
      </c>
      <c r="E19" s="11" t="str">
        <f>IFERROR(__xludf.DUMMYFUNCTION("""COMPUTED_VALUE"""),"JAUH")</f>
        <v>JAUH</v>
      </c>
      <c r="F19" s="11">
        <f>IFERROR(__xludf.DUMMYFUNCTION("""COMPUTED_VALUE"""),3.0)</f>
        <v>3</v>
      </c>
      <c r="G19" s="11">
        <f>IFERROR(__xludf.DUMMYFUNCTION("""COMPUTED_VALUE"""),2.0)</f>
        <v>2</v>
      </c>
      <c r="H19" s="11">
        <f>IFERROR(__xludf.DUMMYFUNCTION("""COMPUTED_VALUE"""),6.0)</f>
        <v>6</v>
      </c>
      <c r="I19" s="11">
        <v>6.0</v>
      </c>
      <c r="J19" s="11">
        <f>IFERROR(__xludf.DUMMYFUNCTION("""COMPUTED_VALUE"""),18.0)</f>
        <v>18</v>
      </c>
      <c r="K19" s="11" t="str">
        <f>IFERROR(__xludf.DUMMYFUNCTION("""COMPUTED_VALUE"""),"DK 8394 CP")</f>
        <v>DK 8394 CP</v>
      </c>
      <c r="L19" s="11" t="str">
        <f>IFERROR(__xludf.DUMMYFUNCTION("""COMPUTED_VALUE"""),"TLPG MANGGIS")</f>
        <v>TLPG MANGGIS</v>
      </c>
      <c r="M19" s="11">
        <f>IFERROR(__xludf.DUMMYFUNCTION("""COMPUTED_VALUE"""),1.0)</f>
        <v>1</v>
      </c>
      <c r="N19" s="11" t="str">
        <f>IFERROR(__xludf.DUMMYFUNCTION("""COMPUTED_VALUE"""),"SPPBE-PT. Sadikun LPG 3Kg")</f>
        <v>SPPBE-PT. Sadikun LPG 3Kg</v>
      </c>
      <c r="O19" s="11" t="str">
        <f>IFERROR(__xludf.DUMMYFUNCTION("""COMPUTED_VALUE"""),"")</f>
        <v/>
      </c>
      <c r="P19" s="20">
        <f>IFERROR(__xludf.DUMMYFUNCTION("""COMPUTED_VALUE"""),18.0)</f>
        <v>18</v>
      </c>
      <c r="Q19" s="20" t="str">
        <f>IFERROR(__xludf.DUMMYFUNCTION("""COMPUTED_VALUE"""),"DK 8100 CL")</f>
        <v>DK 8100 CL</v>
      </c>
      <c r="R19" s="20" t="str">
        <f>IFERROR(__xludf.DUMMYFUNCTION("""COMPUTED_VALUE"""),"TLPG MANGGIS")</f>
        <v>TLPG MANGGIS</v>
      </c>
      <c r="S19" s="20">
        <f>IFERROR(__xludf.DUMMYFUNCTION("""COMPUTED_VALUE"""),2.0)</f>
        <v>2</v>
      </c>
      <c r="T19" s="20" t="str">
        <f>IFERROR(__xludf.DUMMYFUNCTION("""COMPUTED_VALUE"""),"SPPBE-PT. Sadikun LPG 3Kg")</f>
        <v>SPPBE-PT. Sadikun LPG 3Kg</v>
      </c>
      <c r="U19" s="11" t="str">
        <f>IFERROR(__xludf.DUMMYFUNCTION("""COMPUTED_VALUE"""),"")</f>
        <v/>
      </c>
      <c r="V19" s="11">
        <f>IFERROR(__xludf.DUMMYFUNCTION("""COMPUTED_VALUE"""),18.0)</f>
        <v>18</v>
      </c>
      <c r="W19" s="11" t="str">
        <f>IFERROR(__xludf.DUMMYFUNCTION("""COMPUTED_VALUE"""),"DK 8547 CV")</f>
        <v>DK 8547 CV</v>
      </c>
      <c r="X19" s="11" t="str">
        <f>IFERROR(__xludf.DUMMYFUNCTION("""COMPUTED_VALUE"""),"TLPG MANGGIS")</f>
        <v>TLPG MANGGIS</v>
      </c>
      <c r="Y19" s="11">
        <f>IFERROR(__xludf.DUMMYFUNCTION("""COMPUTED_VALUE"""),3.0)</f>
        <v>3</v>
      </c>
      <c r="Z19" s="11" t="str">
        <f>IFERROR(__xludf.DUMMYFUNCTION("""COMPUTED_VALUE"""),"SPPBE-PT. Sadikun LPG 3Kg")</f>
        <v>SPPBE-PT. Sadikun LPG 3Kg</v>
      </c>
      <c r="AA19" s="11" t="str">
        <f>IFERROR(__xludf.DUMMYFUNCTION("""COMPUTED_VALUE"""),"")</f>
        <v/>
      </c>
      <c r="AB19" s="20">
        <f>IFERROR(__xludf.DUMMYFUNCTION("""COMPUTED_VALUE"""),18.0)</f>
        <v>18</v>
      </c>
      <c r="AC19" s="20" t="str">
        <f>IFERROR(__xludf.DUMMYFUNCTION("""COMPUTED_VALUE"""),"S 8347 UQ")</f>
        <v>S 8347 UQ</v>
      </c>
      <c r="AD19" s="20" t="str">
        <f>IFERROR(__xludf.DUMMYFUNCTION("""COMPUTED_VALUE"""),"TLPG TJ PERAK")</f>
        <v>TLPG TJ PERAK</v>
      </c>
      <c r="AE19" s="20">
        <f>IFERROR(__xludf.DUMMYFUNCTION("""COMPUTED_VALUE"""),4.0)</f>
        <v>4</v>
      </c>
      <c r="AF19" s="20" t="str">
        <f>IFERROR(__xludf.DUMMYFUNCTION("""COMPUTED_VALUE"""),"PT ANTARES JAYA SAKTI")</f>
        <v>PT ANTARES JAYA SAKTI</v>
      </c>
      <c r="AI19" s="7" t="s">
        <v>147</v>
      </c>
      <c r="AJ19" s="7" t="s">
        <v>25</v>
      </c>
      <c r="AK19" s="7" t="s">
        <v>83</v>
      </c>
    </row>
    <row r="20">
      <c r="A20" s="9" t="str">
        <f>IFERROR(__xludf.DUMMYFUNCTION("""COMPUTED_VALUE"""),"AG 9312 UW")</f>
        <v>AG 9312 UW</v>
      </c>
      <c r="B20" s="9" t="str">
        <f>IFERROR(__xludf.DUMMYFUNCTION("""COMPUTED_VALUE"""),"TLPG TJ PERAK")</f>
        <v>TLPG TJ PERAK</v>
      </c>
      <c r="C20" s="9" t="str">
        <f>IFERROR(__xludf.DUMMYFUNCTION("""COMPUTED_VALUE"""),"PT LAJU")</f>
        <v>PT LAJU</v>
      </c>
      <c r="D20" s="11">
        <f>IFERROR(__xludf.DUMMYFUNCTION("""COMPUTED_VALUE"""),181.0)</f>
        <v>181</v>
      </c>
      <c r="E20" s="11" t="str">
        <f>IFERROR(__xludf.DUMMYFUNCTION("""COMPUTED_VALUE"""),"JAUH")</f>
        <v>JAUH</v>
      </c>
      <c r="F20" s="11">
        <f>IFERROR(__xludf.DUMMYFUNCTION("""COMPUTED_VALUE"""),3.0)</f>
        <v>3</v>
      </c>
      <c r="G20" s="11">
        <f>IFERROR(__xludf.DUMMYFUNCTION("""COMPUTED_VALUE"""),2.0)</f>
        <v>2</v>
      </c>
      <c r="H20" s="11">
        <f>IFERROR(__xludf.DUMMYFUNCTION("""COMPUTED_VALUE"""),7.0)</f>
        <v>7</v>
      </c>
      <c r="I20" s="11">
        <v>7.0</v>
      </c>
      <c r="J20" s="11">
        <f>IFERROR(__xludf.DUMMYFUNCTION("""COMPUTED_VALUE"""),19.0)</f>
        <v>19</v>
      </c>
      <c r="K20" s="11" t="str">
        <f>IFERROR(__xludf.DUMMYFUNCTION("""COMPUTED_VALUE"""),"W 8303 PG")</f>
        <v>W 8303 PG</v>
      </c>
      <c r="L20" s="11" t="str">
        <f>IFERROR(__xludf.DUMMYFUNCTION("""COMPUTED_VALUE"""),"TLPG TJ PERAK")</f>
        <v>TLPG TJ PERAK</v>
      </c>
      <c r="M20" s="11">
        <f>IFERROR(__xludf.DUMMYFUNCTION("""COMPUTED_VALUE"""),1.0)</f>
        <v>1</v>
      </c>
      <c r="N20" s="11" t="str">
        <f>IFERROR(__xludf.DUMMYFUNCTION("""COMPUTED_VALUE"""),"PT KARYA MEGA GAS MANDIRI")</f>
        <v>PT KARYA MEGA GAS MANDIRI</v>
      </c>
      <c r="O20" s="11" t="str">
        <f>IFERROR(__xludf.DUMMYFUNCTION("""COMPUTED_VALUE"""),"")</f>
        <v/>
      </c>
      <c r="P20" s="20">
        <f>IFERROR(__xludf.DUMMYFUNCTION("""COMPUTED_VALUE"""),19.0)</f>
        <v>19</v>
      </c>
      <c r="Q20" s="20" t="str">
        <f>IFERROR(__xludf.DUMMYFUNCTION("""COMPUTED_VALUE"""),"DK 8596 AO")</f>
        <v>DK 8596 AO</v>
      </c>
      <c r="R20" s="20" t="str">
        <f>IFERROR(__xludf.DUMMYFUNCTION("""COMPUTED_VALUE"""),"TLPG LOMBOK")</f>
        <v>TLPG LOMBOK</v>
      </c>
      <c r="S20" s="20">
        <f>IFERROR(__xludf.DUMMYFUNCTION("""COMPUTED_VALUE"""),2.0)</f>
        <v>2</v>
      </c>
      <c r="T20" s="20" t="str">
        <f>IFERROR(__xludf.DUMMYFUNCTION("""COMPUTED_VALUE"""),"SPPBE-PT. Permata Indah Dewata")</f>
        <v>SPPBE-PT. Permata Indah Dewata</v>
      </c>
      <c r="U20" s="11" t="str">
        <f>IFERROR(__xludf.DUMMYFUNCTION("""COMPUTED_VALUE"""),"")</f>
        <v/>
      </c>
      <c r="V20" s="11">
        <f>IFERROR(__xludf.DUMMYFUNCTION("""COMPUTED_VALUE"""),19.0)</f>
        <v>19</v>
      </c>
      <c r="W20" s="11" t="str">
        <f>IFERROR(__xludf.DUMMYFUNCTION("""COMPUTED_VALUE"""),"DK 8611 AO")</f>
        <v>DK 8611 AO</v>
      </c>
      <c r="X20" s="11" t="str">
        <f>IFERROR(__xludf.DUMMYFUNCTION("""COMPUTED_VALUE"""),"TLPG LOMBOK")</f>
        <v>TLPG LOMBOK</v>
      </c>
      <c r="Y20" s="11">
        <f>IFERROR(__xludf.DUMMYFUNCTION("""COMPUTED_VALUE"""),3.0)</f>
        <v>3</v>
      </c>
      <c r="Z20" s="11" t="str">
        <f>IFERROR(__xludf.DUMMYFUNCTION("""COMPUTED_VALUE"""),"SPPBE-PT. Permata Indah Dewata")</f>
        <v>SPPBE-PT. Permata Indah Dewata</v>
      </c>
      <c r="AA20" s="11" t="str">
        <f>IFERROR(__xludf.DUMMYFUNCTION("""COMPUTED_VALUE"""),"")</f>
        <v/>
      </c>
      <c r="AB20" s="20">
        <f>IFERROR(__xludf.DUMMYFUNCTION("""COMPUTED_VALUE"""),19.0)</f>
        <v>19</v>
      </c>
      <c r="AC20" s="20" t="str">
        <f>IFERROR(__xludf.DUMMYFUNCTION("""COMPUTED_VALUE"""),"DK 8197 BK")</f>
        <v>DK 8197 BK</v>
      </c>
      <c r="AD20" s="20" t="str">
        <f>IFERROR(__xludf.DUMMYFUNCTION("""COMPUTED_VALUE"""),"TLPG MANGGIS")</f>
        <v>TLPG MANGGIS</v>
      </c>
      <c r="AE20" s="20">
        <f>IFERROR(__xludf.DUMMYFUNCTION("""COMPUTED_VALUE"""),4.0)</f>
        <v>4</v>
      </c>
      <c r="AF20" s="20" t="str">
        <f>IFERROR(__xludf.DUMMYFUNCTION("""COMPUTED_VALUE"""),"SPPBE-PT. Sari Dharma Mandiri")</f>
        <v>SPPBE-PT. Sari Dharma Mandiri</v>
      </c>
      <c r="AI20" s="7" t="s">
        <v>146</v>
      </c>
      <c r="AJ20" s="7" t="s">
        <v>25</v>
      </c>
      <c r="AK20" s="7" t="s">
        <v>83</v>
      </c>
    </row>
    <row r="21">
      <c r="A21" s="9" t="str">
        <f>IFERROR(__xludf.DUMMYFUNCTION("""COMPUTED_VALUE"""),"L 8537 UD")</f>
        <v>L 8537 UD</v>
      </c>
      <c r="B21" s="9" t="str">
        <f>IFERROR(__xludf.DUMMYFUNCTION("""COMPUTED_VALUE"""),"TLPG TJ PERAK")</f>
        <v>TLPG TJ PERAK</v>
      </c>
      <c r="C21" s="9" t="str">
        <f>IFERROR(__xludf.DUMMYFUNCTION("""COMPUTED_VALUE"""),"PT GOENADI GASINDO PRATAMA")</f>
        <v>PT GOENADI GASINDO PRATAMA</v>
      </c>
      <c r="D21" s="11">
        <f>IFERROR(__xludf.DUMMYFUNCTION("""COMPUTED_VALUE"""),181.0)</f>
        <v>181</v>
      </c>
      <c r="E21" s="11" t="str">
        <f>IFERROR(__xludf.DUMMYFUNCTION("""COMPUTED_VALUE"""),"JAUH")</f>
        <v>JAUH</v>
      </c>
      <c r="F21" s="11">
        <f>IFERROR(__xludf.DUMMYFUNCTION("""COMPUTED_VALUE"""),3.0)</f>
        <v>3</v>
      </c>
      <c r="G21" s="11">
        <f>IFERROR(__xludf.DUMMYFUNCTION("""COMPUTED_VALUE"""),4.0)</f>
        <v>4</v>
      </c>
      <c r="H21" s="11">
        <f>IFERROR(__xludf.DUMMYFUNCTION("""COMPUTED_VALUE"""),8.0)</f>
        <v>8</v>
      </c>
      <c r="I21" s="11">
        <v>8.0</v>
      </c>
      <c r="J21" s="11">
        <f>IFERROR(__xludf.DUMMYFUNCTION("""COMPUTED_VALUE"""),20.0)</f>
        <v>20</v>
      </c>
      <c r="K21" s="11" t="str">
        <f>IFERROR(__xludf.DUMMYFUNCTION("""COMPUTED_VALUE"""),"DR 8543 AG")</f>
        <v>DR 8543 AG</v>
      </c>
      <c r="L21" s="11" t="str">
        <f>IFERROR(__xludf.DUMMYFUNCTION("""COMPUTED_VALUE"""),"TLPG LOMBOK")</f>
        <v>TLPG LOMBOK</v>
      </c>
      <c r="M21" s="11">
        <f>IFERROR(__xludf.DUMMYFUNCTION("""COMPUTED_VALUE"""),1.0)</f>
        <v>1</v>
      </c>
      <c r="N21" s="11" t="str">
        <f>IFERROR(__xludf.DUMMYFUNCTION("""COMPUTED_VALUE"""),"SPPBE-PT. Lombok Menara Energigas")</f>
        <v>SPPBE-PT. Lombok Menara Energigas</v>
      </c>
      <c r="O21" s="11" t="str">
        <f>IFERROR(__xludf.DUMMYFUNCTION("""COMPUTED_VALUE"""),"")</f>
        <v/>
      </c>
      <c r="P21" s="20">
        <f>IFERROR(__xludf.DUMMYFUNCTION("""COMPUTED_VALUE"""),20.0)</f>
        <v>20</v>
      </c>
      <c r="Q21" s="20" t="str">
        <f>IFERROR(__xludf.DUMMYFUNCTION("""COMPUTED_VALUE"""),"W 8637 DV")</f>
        <v>W 8637 DV</v>
      </c>
      <c r="R21" s="20" t="str">
        <f>IFERROR(__xludf.DUMMYFUNCTION("""COMPUTED_VALUE"""),"TLPG TJ PERAK")</f>
        <v>TLPG TJ PERAK</v>
      </c>
      <c r="S21" s="20">
        <f>IFERROR(__xludf.DUMMYFUNCTION("""COMPUTED_VALUE"""),2.0)</f>
        <v>2</v>
      </c>
      <c r="T21" s="20" t="str">
        <f>IFERROR(__xludf.DUMMYFUNCTION("""COMPUTED_VALUE"""),"PT SUGIHARTO BERJAYA")</f>
        <v>PT SUGIHARTO BERJAYA</v>
      </c>
      <c r="U21" s="11" t="str">
        <f>IFERROR(__xludf.DUMMYFUNCTION("""COMPUTED_VALUE"""),"")</f>
        <v/>
      </c>
      <c r="V21" s="11">
        <f>IFERROR(__xludf.DUMMYFUNCTION("""COMPUTED_VALUE"""),20.0)</f>
        <v>20</v>
      </c>
      <c r="W21" s="11" t="str">
        <f>IFERROR(__xludf.DUMMYFUNCTION("""COMPUTED_VALUE"""),"M 8068 UH")</f>
        <v>M 8068 UH</v>
      </c>
      <c r="X21" s="11" t="str">
        <f>IFERROR(__xludf.DUMMYFUNCTION("""COMPUTED_VALUE"""),"TLPG TJ PERAK")</f>
        <v>TLPG TJ PERAK</v>
      </c>
      <c r="Y21" s="11">
        <f>IFERROR(__xludf.DUMMYFUNCTION("""COMPUTED_VALUE"""),3.0)</f>
        <v>3</v>
      </c>
      <c r="Z21" s="11" t="str">
        <f>IFERROR(__xludf.DUMMYFUNCTION("""COMPUTED_VALUE"""),"PT TRIJAYA ADYMIX BANGKALAN")</f>
        <v>PT TRIJAYA ADYMIX BANGKALAN</v>
      </c>
      <c r="AA21" s="11" t="str">
        <f>IFERROR(__xludf.DUMMYFUNCTION("""COMPUTED_VALUE"""),"")</f>
        <v/>
      </c>
      <c r="AB21" s="20">
        <f>IFERROR(__xludf.DUMMYFUNCTION("""COMPUTED_VALUE"""),20.0)</f>
        <v>20</v>
      </c>
      <c r="AC21" s="20" t="str">
        <f>IFERROR(__xludf.DUMMYFUNCTION("""COMPUTED_VALUE"""),"B 9914 PEI")</f>
        <v>B 9914 PEI</v>
      </c>
      <c r="AD21" s="20" t="str">
        <f>IFERROR(__xludf.DUMMYFUNCTION("""COMPUTED_VALUE"""),"TLPG MANGGIS")</f>
        <v>TLPG MANGGIS</v>
      </c>
      <c r="AE21" s="20">
        <f>IFERROR(__xludf.DUMMYFUNCTION("""COMPUTED_VALUE"""),4.0)</f>
        <v>4</v>
      </c>
      <c r="AF21" s="20" t="str">
        <f>IFERROR(__xludf.DUMMYFUNCTION("""COMPUTED_VALUE"""),"SPPBE-PT. Pancadarma Puspawira Putra")</f>
        <v>SPPBE-PT. Pancadarma Puspawira Putra</v>
      </c>
      <c r="AI21" s="7" t="s">
        <v>183</v>
      </c>
      <c r="AJ21" s="7" t="s">
        <v>25</v>
      </c>
      <c r="AK21" s="7" t="s">
        <v>83</v>
      </c>
    </row>
    <row r="22">
      <c r="A22" s="9" t="str">
        <f>IFERROR(__xludf.DUMMYFUNCTION("""COMPUTED_VALUE"""),"AE 9634 UJ")</f>
        <v>AE 9634 UJ</v>
      </c>
      <c r="B22" s="9" t="str">
        <f>IFERROR(__xludf.DUMMYFUNCTION("""COMPUTED_VALUE"""),"TLPG TJ PERAK")</f>
        <v>TLPG TJ PERAK</v>
      </c>
      <c r="C22" s="9" t="str">
        <f>IFERROR(__xludf.DUMMYFUNCTION("""COMPUTED_VALUE"""),"PT KARYA USAHA MANDIRI LESTARI")</f>
        <v>PT KARYA USAHA MANDIRI LESTARI</v>
      </c>
      <c r="D22" s="11">
        <f>IFERROR(__xludf.DUMMYFUNCTION("""COMPUTED_VALUE"""),180.4)</f>
        <v>180.4</v>
      </c>
      <c r="E22" s="11" t="str">
        <f>IFERROR(__xludf.DUMMYFUNCTION("""COMPUTED_VALUE"""),"JAUH")</f>
        <v>JAUH</v>
      </c>
      <c r="F22" s="11">
        <f>IFERROR(__xludf.DUMMYFUNCTION("""COMPUTED_VALUE"""),3.0)</f>
        <v>3</v>
      </c>
      <c r="G22" s="11">
        <f>IFERROR(__xludf.DUMMYFUNCTION("""COMPUTED_VALUE"""),2.0)</f>
        <v>2</v>
      </c>
      <c r="H22" s="11">
        <f>IFERROR(__xludf.DUMMYFUNCTION("""COMPUTED_VALUE"""),9.0)</f>
        <v>9</v>
      </c>
      <c r="I22" s="11">
        <v>9.0</v>
      </c>
      <c r="J22" s="11">
        <f>IFERROR(__xludf.DUMMYFUNCTION("""COMPUTED_VALUE"""),21.0)</f>
        <v>21</v>
      </c>
      <c r="K22" s="11" t="str">
        <f>IFERROR(__xludf.DUMMYFUNCTION("""COMPUTED_VALUE"""),"DR 8761 DC")</f>
        <v>DR 8761 DC</v>
      </c>
      <c r="L22" s="11" t="str">
        <f>IFERROR(__xludf.DUMMYFUNCTION("""COMPUTED_VALUE"""),"TLPG LOMBOK")</f>
        <v>TLPG LOMBOK</v>
      </c>
      <c r="M22" s="11">
        <f>IFERROR(__xludf.DUMMYFUNCTION("""COMPUTED_VALUE"""),1.0)</f>
        <v>1</v>
      </c>
      <c r="N22" s="11" t="str">
        <f>IFERROR(__xludf.DUMMYFUNCTION("""COMPUTED_VALUE"""),"SPPBE-PT. Om Agus")</f>
        <v>SPPBE-PT. Om Agus</v>
      </c>
      <c r="O22" s="11" t="str">
        <f>IFERROR(__xludf.DUMMYFUNCTION("""COMPUTED_VALUE"""),"")</f>
        <v/>
      </c>
      <c r="P22" s="20">
        <f>IFERROR(__xludf.DUMMYFUNCTION("""COMPUTED_VALUE"""),21.0)</f>
        <v>21</v>
      </c>
      <c r="Q22" s="20" t="str">
        <f>IFERROR(__xludf.DUMMYFUNCTION("""COMPUTED_VALUE"""),"DR 8772 DC")</f>
        <v>DR 8772 DC</v>
      </c>
      <c r="R22" s="20" t="str">
        <f>IFERROR(__xludf.DUMMYFUNCTION("""COMPUTED_VALUE"""),"TLPG LOMBOK")</f>
        <v>TLPG LOMBOK</v>
      </c>
      <c r="S22" s="20">
        <f>IFERROR(__xludf.DUMMYFUNCTION("""COMPUTED_VALUE"""),2.0)</f>
        <v>2</v>
      </c>
      <c r="T22" s="20" t="str">
        <f>IFERROR(__xludf.DUMMYFUNCTION("""COMPUTED_VALUE"""),"PT OM AGUS")</f>
        <v>PT OM AGUS</v>
      </c>
      <c r="U22" s="11" t="str">
        <f>IFERROR(__xludf.DUMMYFUNCTION("""COMPUTED_VALUE"""),"")</f>
        <v/>
      </c>
      <c r="V22" s="11">
        <f>IFERROR(__xludf.DUMMYFUNCTION("""COMPUTED_VALUE"""),21.0)</f>
        <v>21</v>
      </c>
      <c r="W22" s="11" t="str">
        <f>IFERROR(__xludf.DUMMYFUNCTION("""COMPUTED_VALUE"""),"AE 8850 UT")</f>
        <v>AE 8850 UT</v>
      </c>
      <c r="X22" s="11" t="str">
        <f>IFERROR(__xludf.DUMMYFUNCTION("""COMPUTED_VALUE"""),"TLPG TJ PERAK")</f>
        <v>TLPG TJ PERAK</v>
      </c>
      <c r="Y22" s="11">
        <f>IFERROR(__xludf.DUMMYFUNCTION("""COMPUTED_VALUE"""),3.0)</f>
        <v>3</v>
      </c>
      <c r="Z22" s="11" t="str">
        <f>IFERROR(__xludf.DUMMYFUNCTION("""COMPUTED_VALUE"""),"PT GUBAH TIARA PERKASA")</f>
        <v>PT GUBAH TIARA PERKASA</v>
      </c>
      <c r="AA22" s="11" t="str">
        <f>IFERROR(__xludf.DUMMYFUNCTION("""COMPUTED_VALUE"""),"")</f>
        <v/>
      </c>
      <c r="AB22" s="20">
        <f>IFERROR(__xludf.DUMMYFUNCTION("""COMPUTED_VALUE"""),21.0)</f>
        <v>21</v>
      </c>
      <c r="AC22" s="20" t="str">
        <f>IFERROR(__xludf.DUMMYFUNCTION("""COMPUTED_VALUE"""),"L 8121 UUA")</f>
        <v>L 8121 UUA</v>
      </c>
      <c r="AD22" s="20" t="str">
        <f>IFERROR(__xludf.DUMMYFUNCTION("""COMPUTED_VALUE"""),"TLPG MEM GRESIK")</f>
        <v>TLPG MEM GRESIK</v>
      </c>
      <c r="AE22" s="20">
        <f>IFERROR(__xludf.DUMMYFUNCTION("""COMPUTED_VALUE"""),4.0)</f>
        <v>4</v>
      </c>
      <c r="AF22" s="20" t="str">
        <f>IFERROR(__xludf.DUMMYFUNCTION("""COMPUTED_VALUE"""),"PT UNIVERSAL ENERGY PRATAMA")</f>
        <v>PT UNIVERSAL ENERGY PRATAMA</v>
      </c>
      <c r="AI22" s="7" t="s">
        <v>185</v>
      </c>
      <c r="AJ22" s="7" t="s">
        <v>25</v>
      </c>
      <c r="AK22" s="7" t="s">
        <v>83</v>
      </c>
    </row>
    <row r="23">
      <c r="A23" s="9" t="str">
        <f>IFERROR(__xludf.DUMMYFUNCTION("""COMPUTED_VALUE"""),"AE 8639 UP")</f>
        <v>AE 8639 UP</v>
      </c>
      <c r="B23" s="9" t="str">
        <f>IFERROR(__xludf.DUMMYFUNCTION("""COMPUTED_VALUE"""),"TLPG TJ PERAK")</f>
        <v>TLPG TJ PERAK</v>
      </c>
      <c r="C23" s="9" t="str">
        <f>IFERROR(__xludf.DUMMYFUNCTION("""COMPUTED_VALUE"""),"PT TRISINDO ADIKAMULIA")</f>
        <v>PT TRISINDO ADIKAMULIA</v>
      </c>
      <c r="D23" s="11">
        <f>IFERROR(__xludf.DUMMYFUNCTION("""COMPUTED_VALUE"""),179.3)</f>
        <v>179.3</v>
      </c>
      <c r="E23" s="11" t="str">
        <f>IFERROR(__xludf.DUMMYFUNCTION("""COMPUTED_VALUE"""),"JAUH")</f>
        <v>JAUH</v>
      </c>
      <c r="F23" s="11">
        <f>IFERROR(__xludf.DUMMYFUNCTION("""COMPUTED_VALUE"""),3.0)</f>
        <v>3</v>
      </c>
      <c r="G23" s="11">
        <f>IFERROR(__xludf.DUMMYFUNCTION("""COMPUTED_VALUE"""),1.0)</f>
        <v>1</v>
      </c>
      <c r="H23" s="11">
        <f>IFERROR(__xludf.DUMMYFUNCTION("""COMPUTED_VALUE"""),10.0)</f>
        <v>10</v>
      </c>
      <c r="I23" s="11">
        <v>10.0</v>
      </c>
      <c r="J23" s="11">
        <f>IFERROR(__xludf.DUMMYFUNCTION("""COMPUTED_VALUE"""),22.0)</f>
        <v>22</v>
      </c>
      <c r="K23" s="11" t="str">
        <f>IFERROR(__xludf.DUMMYFUNCTION("""COMPUTED_VALUE"""),"L 8192 UX")</f>
        <v>L 8192 UX</v>
      </c>
      <c r="L23" s="11" t="str">
        <f>IFERROR(__xludf.DUMMYFUNCTION("""COMPUTED_VALUE"""),"TLPG MEM GRESIK")</f>
        <v>TLPG MEM GRESIK</v>
      </c>
      <c r="M23" s="11">
        <f>IFERROR(__xludf.DUMMYFUNCTION("""COMPUTED_VALUE"""),1.0)</f>
        <v>1</v>
      </c>
      <c r="N23" s="11" t="str">
        <f>IFERROR(__xludf.DUMMYFUNCTION("""COMPUTED_VALUE"""),"PT PERMATA ENERGI BUMI INDONESIA")</f>
        <v>PT PERMATA ENERGI BUMI INDONESIA</v>
      </c>
      <c r="O23" s="11" t="str">
        <f>IFERROR(__xludf.DUMMYFUNCTION("""COMPUTED_VALUE"""),"")</f>
        <v/>
      </c>
      <c r="P23" s="20">
        <f>IFERROR(__xludf.DUMMYFUNCTION("""COMPUTED_VALUE"""),22.0)</f>
        <v>22</v>
      </c>
      <c r="Q23" s="20" t="str">
        <f>IFERROR(__xludf.DUMMYFUNCTION("""COMPUTED_VALUE"""),"L 8035 BL")</f>
        <v>L 8035 BL</v>
      </c>
      <c r="R23" s="20" t="str">
        <f>IFERROR(__xludf.DUMMYFUNCTION("""COMPUTED_VALUE"""),"TLPG TJ PERAK")</f>
        <v>TLPG TJ PERAK</v>
      </c>
      <c r="S23" s="20">
        <f>IFERROR(__xludf.DUMMYFUNCTION("""COMPUTED_VALUE"""),2.0)</f>
        <v>2</v>
      </c>
      <c r="T23" s="20" t="str">
        <f>IFERROR(__xludf.DUMMYFUNCTION("""COMPUTED_VALUE"""),"PT CAHAYA ANUGERAH GASINDO")</f>
        <v>PT CAHAYA ANUGERAH GASINDO</v>
      </c>
      <c r="U23" s="11" t="str">
        <f>IFERROR(__xludf.DUMMYFUNCTION("""COMPUTED_VALUE"""),"")</f>
        <v/>
      </c>
      <c r="V23" s="11">
        <f>IFERROR(__xludf.DUMMYFUNCTION("""COMPUTED_VALUE"""),22.0)</f>
        <v>22</v>
      </c>
      <c r="W23" s="11" t="str">
        <f>IFERROR(__xludf.DUMMYFUNCTION("""COMPUTED_VALUE"""),"AG 8828 UW")</f>
        <v>AG 8828 UW</v>
      </c>
      <c r="X23" s="11" t="str">
        <f>IFERROR(__xludf.DUMMYFUNCTION("""COMPUTED_VALUE"""),"TLPG TJ PERAK")</f>
        <v>TLPG TJ PERAK</v>
      </c>
      <c r="Y23" s="11">
        <f>IFERROR(__xludf.DUMMYFUNCTION("""COMPUTED_VALUE"""),3.0)</f>
        <v>3</v>
      </c>
      <c r="Z23" s="11" t="str">
        <f>IFERROR(__xludf.DUMMYFUNCTION("""COMPUTED_VALUE"""),"PT GUBAH TIARA PERKASA")</f>
        <v>PT GUBAH TIARA PERKASA</v>
      </c>
      <c r="AA23" s="11" t="str">
        <f>IFERROR(__xludf.DUMMYFUNCTION("""COMPUTED_VALUE"""),"")</f>
        <v/>
      </c>
      <c r="AB23" s="20">
        <f>IFERROR(__xludf.DUMMYFUNCTION("""COMPUTED_VALUE"""),22.0)</f>
        <v>22</v>
      </c>
      <c r="AC23" s="20" t="str">
        <f>IFERROR(__xludf.DUMMYFUNCTION("""COMPUTED_VALUE"""),"N 9579 US")</f>
        <v>N 9579 US</v>
      </c>
      <c r="AD23" s="20" t="str">
        <f>IFERROR(__xludf.DUMMYFUNCTION("""COMPUTED_VALUE"""),"TLPG TJ PERAK")</f>
        <v>TLPG TJ PERAK</v>
      </c>
      <c r="AE23" s="20">
        <f>IFERROR(__xludf.DUMMYFUNCTION("""COMPUTED_VALUE"""),4.0)</f>
        <v>4</v>
      </c>
      <c r="AF23" s="20" t="str">
        <f>IFERROR(__xludf.DUMMYFUNCTION("""COMPUTED_VALUE"""),"PT BINA ANUGERAH INTI KIMIA")</f>
        <v>PT BINA ANUGERAH INTI KIMIA</v>
      </c>
      <c r="AI23" s="7" t="s">
        <v>182</v>
      </c>
      <c r="AJ23" s="7" t="s">
        <v>25</v>
      </c>
      <c r="AK23" s="7" t="s">
        <v>83</v>
      </c>
    </row>
    <row r="24">
      <c r="A24" s="9" t="str">
        <f>IFERROR(__xludf.DUMMYFUNCTION("""COMPUTED_VALUE"""),"AE 8641 UP")</f>
        <v>AE 8641 UP</v>
      </c>
      <c r="B24" s="9" t="str">
        <f>IFERROR(__xludf.DUMMYFUNCTION("""COMPUTED_VALUE"""),"TLPG TJ PERAK")</f>
        <v>TLPG TJ PERAK</v>
      </c>
      <c r="C24" s="9" t="str">
        <f>IFERROR(__xludf.DUMMYFUNCTION("""COMPUTED_VALUE"""),"PT TRISINDO ADIKAMULIA")</f>
        <v>PT TRISINDO ADIKAMULIA</v>
      </c>
      <c r="D24" s="11">
        <f>IFERROR(__xludf.DUMMYFUNCTION("""COMPUTED_VALUE"""),179.3)</f>
        <v>179.3</v>
      </c>
      <c r="E24" s="11" t="str">
        <f>IFERROR(__xludf.DUMMYFUNCTION("""COMPUTED_VALUE"""),"JAUH")</f>
        <v>JAUH</v>
      </c>
      <c r="F24" s="11">
        <f>IFERROR(__xludf.DUMMYFUNCTION("""COMPUTED_VALUE"""),3.0)</f>
        <v>3</v>
      </c>
      <c r="G24" s="11">
        <f>IFERROR(__xludf.DUMMYFUNCTION("""COMPUTED_VALUE"""),1.0)</f>
        <v>1</v>
      </c>
      <c r="H24" s="11">
        <f>IFERROR(__xludf.DUMMYFUNCTION("""COMPUTED_VALUE"""),11.0)</f>
        <v>11</v>
      </c>
      <c r="I24" s="11">
        <v>11.0</v>
      </c>
      <c r="J24" s="11">
        <f>IFERROR(__xludf.DUMMYFUNCTION("""COMPUTED_VALUE"""),23.0)</f>
        <v>23</v>
      </c>
      <c r="K24" s="11" t="str">
        <f>IFERROR(__xludf.DUMMYFUNCTION("""COMPUTED_VALUE"""),"N 9502 UG")</f>
        <v>N 9502 UG</v>
      </c>
      <c r="L24" s="11" t="str">
        <f>IFERROR(__xludf.DUMMYFUNCTION("""COMPUTED_VALUE"""),"TLPG TJ PERAK")</f>
        <v>TLPG TJ PERAK</v>
      </c>
      <c r="M24" s="11">
        <f>IFERROR(__xludf.DUMMYFUNCTION("""COMPUTED_VALUE"""),1.0)</f>
        <v>1</v>
      </c>
      <c r="N24" s="11" t="str">
        <f>IFERROR(__xludf.DUMMYFUNCTION("""COMPUTED_VALUE"""),"PT PETROGAS JATIM UTAMA")</f>
        <v>PT PETROGAS JATIM UTAMA</v>
      </c>
      <c r="O24" s="11" t="str">
        <f>IFERROR(__xludf.DUMMYFUNCTION("""COMPUTED_VALUE"""),"")</f>
        <v/>
      </c>
      <c r="P24" s="20">
        <f>IFERROR(__xludf.DUMMYFUNCTION("""COMPUTED_VALUE"""),23.0)</f>
        <v>23</v>
      </c>
      <c r="Q24" s="20" t="str">
        <f>IFERROR(__xludf.DUMMYFUNCTION("""COMPUTED_VALUE"""),"L 8418 AG")</f>
        <v>L 8418 AG</v>
      </c>
      <c r="R24" s="20" t="str">
        <f>IFERROR(__xludf.DUMMYFUNCTION("""COMPUTED_VALUE"""),"TLPG TJ PERAK")</f>
        <v>TLPG TJ PERAK</v>
      </c>
      <c r="S24" s="20">
        <f>IFERROR(__xludf.DUMMYFUNCTION("""COMPUTED_VALUE"""),2.0)</f>
        <v>2</v>
      </c>
      <c r="T24" s="20" t="str">
        <f>IFERROR(__xludf.DUMMYFUNCTION("""COMPUTED_VALUE"""),"PT PETROGAS JATIM UTAMA")</f>
        <v>PT PETROGAS JATIM UTAMA</v>
      </c>
      <c r="U24" s="11" t="str">
        <f>IFERROR(__xludf.DUMMYFUNCTION("""COMPUTED_VALUE"""),"")</f>
        <v/>
      </c>
      <c r="V24" s="11">
        <f>IFERROR(__xludf.DUMMYFUNCTION("""COMPUTED_VALUE"""),23.0)</f>
        <v>23</v>
      </c>
      <c r="W24" s="11" t="str">
        <f>IFERROR(__xludf.DUMMYFUNCTION("""COMPUTED_VALUE"""),"B 9080 SEI")</f>
        <v>B 9080 SEI</v>
      </c>
      <c r="X24" s="11" t="str">
        <f>IFERROR(__xludf.DUMMYFUNCTION("""COMPUTED_VALUE"""),"TLPG TJ WANGI")</f>
        <v>TLPG TJ WANGI</v>
      </c>
      <c r="Y24" s="11">
        <f>IFERROR(__xludf.DUMMYFUNCTION("""COMPUTED_VALUE"""),3.0)</f>
        <v>3</v>
      </c>
      <c r="Z24" s="11" t="str">
        <f>IFERROR(__xludf.DUMMYFUNCTION("""COMPUTED_VALUE"""),"PT PATRA NIAGA 1")</f>
        <v>PT PATRA NIAGA 1</v>
      </c>
      <c r="AA24" s="11" t="str">
        <f>IFERROR(__xludf.DUMMYFUNCTION("""COMPUTED_VALUE"""),"")</f>
        <v/>
      </c>
      <c r="AB24" s="20">
        <f>IFERROR(__xludf.DUMMYFUNCTION("""COMPUTED_VALUE"""),23.0)</f>
        <v>23</v>
      </c>
      <c r="AC24" s="20" t="str">
        <f>IFERROR(__xludf.DUMMYFUNCTION("""COMPUTED_VALUE"""),"B 9098 SEI")</f>
        <v>B 9098 SEI</v>
      </c>
      <c r="AD24" s="20" t="str">
        <f>IFERROR(__xludf.DUMMYFUNCTION("""COMPUTED_VALUE"""),"TLPG MEM GRESIK")</f>
        <v>TLPG MEM GRESIK</v>
      </c>
      <c r="AE24" s="20">
        <f>IFERROR(__xludf.DUMMYFUNCTION("""COMPUTED_VALUE"""),4.0)</f>
        <v>4</v>
      </c>
      <c r="AF24" s="20" t="str">
        <f>IFERROR(__xludf.DUMMYFUNCTION("""COMPUTED_VALUE"""),"PT PATRA NIAGA")</f>
        <v>PT PATRA NIAGA</v>
      </c>
      <c r="AI24" s="7" t="s">
        <v>174</v>
      </c>
      <c r="AJ24" s="7" t="s">
        <v>25</v>
      </c>
      <c r="AK24" s="7" t="s">
        <v>83</v>
      </c>
    </row>
    <row r="25">
      <c r="A25" s="9" t="str">
        <f>IFERROR(__xludf.DUMMYFUNCTION("""COMPUTED_VALUE"""),"AE 8642 UP")</f>
        <v>AE 8642 UP</v>
      </c>
      <c r="B25" s="9" t="str">
        <f>IFERROR(__xludf.DUMMYFUNCTION("""COMPUTED_VALUE"""),"TLPG TJ PERAK")</f>
        <v>TLPG TJ PERAK</v>
      </c>
      <c r="C25" s="9" t="str">
        <f>IFERROR(__xludf.DUMMYFUNCTION("""COMPUTED_VALUE"""),"PT TRISINDO ADIKAMULIA")</f>
        <v>PT TRISINDO ADIKAMULIA</v>
      </c>
      <c r="D25" s="11">
        <f>IFERROR(__xludf.DUMMYFUNCTION("""COMPUTED_VALUE"""),179.3)</f>
        <v>179.3</v>
      </c>
      <c r="E25" s="11" t="str">
        <f>IFERROR(__xludf.DUMMYFUNCTION("""COMPUTED_VALUE"""),"JAUH")</f>
        <v>JAUH</v>
      </c>
      <c r="F25" s="11">
        <f>IFERROR(__xludf.DUMMYFUNCTION("""COMPUTED_VALUE"""),3.0)</f>
        <v>3</v>
      </c>
      <c r="G25" s="11">
        <f>IFERROR(__xludf.DUMMYFUNCTION("""COMPUTED_VALUE"""),1.0)</f>
        <v>1</v>
      </c>
      <c r="H25" s="11">
        <f>IFERROR(__xludf.DUMMYFUNCTION("""COMPUTED_VALUE"""),12.0)</f>
        <v>12</v>
      </c>
      <c r="I25" s="11">
        <v>12.0</v>
      </c>
      <c r="J25" s="11">
        <f>IFERROR(__xludf.DUMMYFUNCTION("""COMPUTED_VALUE"""),24.0)</f>
        <v>24</v>
      </c>
      <c r="K25" s="11" t="str">
        <f>IFERROR(__xludf.DUMMYFUNCTION("""COMPUTED_VALUE"""),"B 9123 SEI")</f>
        <v>B 9123 SEI</v>
      </c>
      <c r="L25" s="11" t="str">
        <f>IFERROR(__xludf.DUMMYFUNCTION("""COMPUTED_VALUE"""),"TLPG MEM GRESIK")</f>
        <v>TLPG MEM GRESIK</v>
      </c>
      <c r="M25" s="11">
        <f>IFERROR(__xludf.DUMMYFUNCTION("""COMPUTED_VALUE"""),1.0)</f>
        <v>1</v>
      </c>
      <c r="N25" s="11" t="str">
        <f>IFERROR(__xludf.DUMMYFUNCTION("""COMPUTED_VALUE"""),"PT PATRA NIAGA")</f>
        <v>PT PATRA NIAGA</v>
      </c>
      <c r="O25" s="11" t="str">
        <f>IFERROR(__xludf.DUMMYFUNCTION("""COMPUTED_VALUE"""),"")</f>
        <v/>
      </c>
      <c r="P25" s="20">
        <f>IFERROR(__xludf.DUMMYFUNCTION("""COMPUTED_VALUE"""),24.0)</f>
        <v>24</v>
      </c>
      <c r="Q25" s="20" t="str">
        <f>IFERROR(__xludf.DUMMYFUNCTION("""COMPUTED_VALUE"""),"B 9158 SFW")</f>
        <v>B 9158 SFW</v>
      </c>
      <c r="R25" s="20" t="str">
        <f>IFERROR(__xludf.DUMMYFUNCTION("""COMPUTED_VALUE"""),"TLPG MEM GRESIK")</f>
        <v>TLPG MEM GRESIK</v>
      </c>
      <c r="S25" s="20">
        <f>IFERROR(__xludf.DUMMYFUNCTION("""COMPUTED_VALUE"""),2.0)</f>
        <v>2</v>
      </c>
      <c r="T25" s="20" t="str">
        <f>IFERROR(__xludf.DUMMYFUNCTION("""COMPUTED_VALUE"""),"PT PATRA LOGISTIK")</f>
        <v>PT PATRA LOGISTIK</v>
      </c>
      <c r="U25" s="11" t="str">
        <f>IFERROR(__xludf.DUMMYFUNCTION("""COMPUTED_VALUE"""),"")</f>
        <v/>
      </c>
      <c r="V25" s="11">
        <f>IFERROR(__xludf.DUMMYFUNCTION("""COMPUTED_VALUE"""),24.0)</f>
        <v>24</v>
      </c>
      <c r="W25" s="11" t="str">
        <f>IFERROR(__xludf.DUMMYFUNCTION("""COMPUTED_VALUE"""),"B 9089 SEI")</f>
        <v>B 9089 SEI</v>
      </c>
      <c r="X25" s="11" t="str">
        <f>IFERROR(__xludf.DUMMYFUNCTION("""COMPUTED_VALUE"""),"TLPG MEM GRESIK")</f>
        <v>TLPG MEM GRESIK</v>
      </c>
      <c r="Y25" s="11">
        <f>IFERROR(__xludf.DUMMYFUNCTION("""COMPUTED_VALUE"""),3.0)</f>
        <v>3</v>
      </c>
      <c r="Z25" s="11" t="str">
        <f>IFERROR(__xludf.DUMMYFUNCTION("""COMPUTED_VALUE"""),"PT PATRA NIAGA")</f>
        <v>PT PATRA NIAGA</v>
      </c>
      <c r="AA25" s="11" t="str">
        <f>IFERROR(__xludf.DUMMYFUNCTION("""COMPUTED_VALUE"""),"")</f>
        <v/>
      </c>
      <c r="AB25" s="20">
        <f>IFERROR(__xludf.DUMMYFUNCTION("""COMPUTED_VALUE"""),24.0)</f>
        <v>24</v>
      </c>
      <c r="AC25" s="20" t="str">
        <f>IFERROR(__xludf.DUMMYFUNCTION("""COMPUTED_VALUE"""),"B 9099 SEI")</f>
        <v>B 9099 SEI</v>
      </c>
      <c r="AD25" s="20" t="str">
        <f>IFERROR(__xludf.DUMMYFUNCTION("""COMPUTED_VALUE"""),"TLPG MEM GRESIK")</f>
        <v>TLPG MEM GRESIK</v>
      </c>
      <c r="AE25" s="20">
        <f>IFERROR(__xludf.DUMMYFUNCTION("""COMPUTED_VALUE"""),4.0)</f>
        <v>4</v>
      </c>
      <c r="AF25" s="20" t="str">
        <f>IFERROR(__xludf.DUMMYFUNCTION("""COMPUTED_VALUE"""),"PT PATRA NIAGA")</f>
        <v>PT PATRA NIAGA</v>
      </c>
      <c r="AI25" s="7" t="s">
        <v>248</v>
      </c>
      <c r="AJ25" s="7" t="s">
        <v>25</v>
      </c>
      <c r="AK25" s="7" t="s">
        <v>83</v>
      </c>
    </row>
    <row r="26">
      <c r="A26" s="9" t="str">
        <f>IFERROR(__xludf.DUMMYFUNCTION("""COMPUTED_VALUE"""),"AE 8518 UJ")</f>
        <v>AE 8518 UJ</v>
      </c>
      <c r="B26" s="9" t="str">
        <f>IFERROR(__xludf.DUMMYFUNCTION("""COMPUTED_VALUE"""),"TLPG TJ PERAK")</f>
        <v>TLPG TJ PERAK</v>
      </c>
      <c r="C26" s="9" t="str">
        <f>IFERROR(__xludf.DUMMYFUNCTION("""COMPUTED_VALUE"""),"PT NUR WISTARA ABADI")</f>
        <v>PT NUR WISTARA ABADI</v>
      </c>
      <c r="D26" s="11">
        <f>IFERROR(__xludf.DUMMYFUNCTION("""COMPUTED_VALUE"""),178.3)</f>
        <v>178.3</v>
      </c>
      <c r="E26" s="11" t="str">
        <f>IFERROR(__xludf.DUMMYFUNCTION("""COMPUTED_VALUE"""),"JAUH")</f>
        <v>JAUH</v>
      </c>
      <c r="F26" s="11">
        <f>IFERROR(__xludf.DUMMYFUNCTION("""COMPUTED_VALUE"""),3.0)</f>
        <v>3</v>
      </c>
      <c r="G26" s="11">
        <f>IFERROR(__xludf.DUMMYFUNCTION("""COMPUTED_VALUE"""),1.0)</f>
        <v>1</v>
      </c>
      <c r="H26" s="11">
        <f>IFERROR(__xludf.DUMMYFUNCTION("""COMPUTED_VALUE"""),1.0)</f>
        <v>1</v>
      </c>
      <c r="I26" s="11">
        <v>1.0</v>
      </c>
      <c r="J26" s="11">
        <f>IFERROR(__xludf.DUMMYFUNCTION("""COMPUTED_VALUE"""),25.0)</f>
        <v>25</v>
      </c>
      <c r="K26" s="11" t="str">
        <f>IFERROR(__xludf.DUMMYFUNCTION("""COMPUTED_VALUE"""),"B 9070 SEJ")</f>
        <v>B 9070 SEJ</v>
      </c>
      <c r="L26" s="11" t="str">
        <f>IFERROR(__xludf.DUMMYFUNCTION("""COMPUTED_VALUE"""),"TLPG TJ WANGI")</f>
        <v>TLPG TJ WANGI</v>
      </c>
      <c r="M26" s="11">
        <f>IFERROR(__xludf.DUMMYFUNCTION("""COMPUTED_VALUE"""),1.0)</f>
        <v>1</v>
      </c>
      <c r="N26" s="11" t="str">
        <f>IFERROR(__xludf.DUMMYFUNCTION("""COMPUTED_VALUE"""),"Data Company Belum Ada")</f>
        <v>Data Company Belum Ada</v>
      </c>
      <c r="O26" s="11" t="str">
        <f>IFERROR(__xludf.DUMMYFUNCTION("""COMPUTED_VALUE"""),"")</f>
        <v/>
      </c>
      <c r="P26" s="20">
        <f>IFERROR(__xludf.DUMMYFUNCTION("""COMPUTED_VALUE"""),25.0)</f>
        <v>25</v>
      </c>
      <c r="Q26" s="20" t="str">
        <f>IFERROR(__xludf.DUMMYFUNCTION("""COMPUTED_VALUE"""),"L 9819 UJ")</f>
        <v>L 9819 UJ</v>
      </c>
      <c r="R26" s="20" t="str">
        <f>IFERROR(__xludf.DUMMYFUNCTION("""COMPUTED_VALUE"""),"TLPG MEM GRESIK")</f>
        <v>TLPG MEM GRESIK</v>
      </c>
      <c r="S26" s="20">
        <f>IFERROR(__xludf.DUMMYFUNCTION("""COMPUTED_VALUE"""),2.0)</f>
        <v>2</v>
      </c>
      <c r="T26" s="20" t="str">
        <f>IFERROR(__xludf.DUMMYFUNCTION("""COMPUTED_VALUE"""),"PT PATRA NIAGA")</f>
        <v>PT PATRA NIAGA</v>
      </c>
      <c r="U26" s="11" t="str">
        <f>IFERROR(__xludf.DUMMYFUNCTION("""COMPUTED_VALUE"""),"")</f>
        <v/>
      </c>
      <c r="V26" s="11">
        <f>IFERROR(__xludf.DUMMYFUNCTION("""COMPUTED_VALUE"""),25.0)</f>
        <v>25</v>
      </c>
      <c r="W26" s="11" t="str">
        <f>IFERROR(__xludf.DUMMYFUNCTION("""COMPUTED_VALUE"""),"P 8256 UW")</f>
        <v>P 8256 UW</v>
      </c>
      <c r="X26" s="11" t="str">
        <f>IFERROR(__xludf.DUMMYFUNCTION("""COMPUTED_VALUE"""),"TLPG TJ WANGI")</f>
        <v>TLPG TJ WANGI</v>
      </c>
      <c r="Y26" s="11">
        <f>IFERROR(__xludf.DUMMYFUNCTION("""COMPUTED_VALUE"""),3.0)</f>
        <v>3</v>
      </c>
      <c r="Z26" s="11" t="str">
        <f>IFERROR(__xludf.DUMMYFUNCTION("""COMPUTED_VALUE"""),"Data Company Belum Ada")</f>
        <v>Data Company Belum Ada</v>
      </c>
      <c r="AA26" s="11" t="str">
        <f>IFERROR(__xludf.DUMMYFUNCTION("""COMPUTED_VALUE"""),"")</f>
        <v/>
      </c>
      <c r="AB26" s="20">
        <f>IFERROR(__xludf.DUMMYFUNCTION("""COMPUTED_VALUE"""),25.0)</f>
        <v>25</v>
      </c>
      <c r="AC26" s="20" t="str">
        <f>IFERROR(__xludf.DUMMYFUNCTION("""COMPUTED_VALUE"""),"B 9873 SFV")</f>
        <v>B 9873 SFV</v>
      </c>
      <c r="AD26" s="20" t="str">
        <f>IFERROR(__xludf.DUMMYFUNCTION("""COMPUTED_VALUE"""),"TLPG MEM GRESIK")</f>
        <v>TLPG MEM GRESIK</v>
      </c>
      <c r="AE26" s="20">
        <f>IFERROR(__xludf.DUMMYFUNCTION("""COMPUTED_VALUE"""),4.0)</f>
        <v>4</v>
      </c>
      <c r="AF26" s="20" t="str">
        <f>IFERROR(__xludf.DUMMYFUNCTION("""COMPUTED_VALUE"""),"PT PATRA LOGISTIK")</f>
        <v>PT PATRA LOGISTIK</v>
      </c>
      <c r="AI26" s="7" t="s">
        <v>249</v>
      </c>
      <c r="AJ26" s="7" t="s">
        <v>25</v>
      </c>
      <c r="AK26" s="7" t="s">
        <v>83</v>
      </c>
    </row>
    <row r="27">
      <c r="A27" s="9" t="str">
        <f>IFERROR(__xludf.DUMMYFUNCTION("""COMPUTED_VALUE"""),"AE 8546 UJ")</f>
        <v>AE 8546 UJ</v>
      </c>
      <c r="B27" s="9" t="str">
        <f>IFERROR(__xludf.DUMMYFUNCTION("""COMPUTED_VALUE"""),"TLPG TJ PERAK")</f>
        <v>TLPG TJ PERAK</v>
      </c>
      <c r="C27" s="9" t="str">
        <f>IFERROR(__xludf.DUMMYFUNCTION("""COMPUTED_VALUE"""),"PT NUR WISTARA ABADI")</f>
        <v>PT NUR WISTARA ABADI</v>
      </c>
      <c r="D27" s="11">
        <f>IFERROR(__xludf.DUMMYFUNCTION("""COMPUTED_VALUE"""),178.3)</f>
        <v>178.3</v>
      </c>
      <c r="E27" s="11" t="str">
        <f>IFERROR(__xludf.DUMMYFUNCTION("""COMPUTED_VALUE"""),"JAUH")</f>
        <v>JAUH</v>
      </c>
      <c r="F27" s="11">
        <f>IFERROR(__xludf.DUMMYFUNCTION("""COMPUTED_VALUE"""),3.0)</f>
        <v>3</v>
      </c>
      <c r="G27" s="11">
        <f>IFERROR(__xludf.DUMMYFUNCTION("""COMPUTED_VALUE"""),1.0)</f>
        <v>1</v>
      </c>
      <c r="H27" s="11">
        <f>IFERROR(__xludf.DUMMYFUNCTION("""COMPUTED_VALUE"""),2.0)</f>
        <v>2</v>
      </c>
      <c r="I27" s="11">
        <v>2.0</v>
      </c>
      <c r="J27" s="11">
        <f>IFERROR(__xludf.DUMMYFUNCTION("""COMPUTED_VALUE"""),26.0)</f>
        <v>26</v>
      </c>
      <c r="K27" s="11" t="str">
        <f>IFERROR(__xludf.DUMMYFUNCTION("""COMPUTED_VALUE"""),"B 9874 SFV")</f>
        <v>B 9874 SFV</v>
      </c>
      <c r="L27" s="11" t="str">
        <f>IFERROR(__xludf.DUMMYFUNCTION("""COMPUTED_VALUE"""),"TLPG MEM GRESIK")</f>
        <v>TLPG MEM GRESIK</v>
      </c>
      <c r="M27" s="11">
        <f>IFERROR(__xludf.DUMMYFUNCTION("""COMPUTED_VALUE"""),1.0)</f>
        <v>1</v>
      </c>
      <c r="N27" s="11" t="str">
        <f>IFERROR(__xludf.DUMMYFUNCTION("""COMPUTED_VALUE"""),"PT PATRA LOGISTIK")</f>
        <v>PT PATRA LOGISTIK</v>
      </c>
      <c r="O27" s="11" t="str">
        <f>IFERROR(__xludf.DUMMYFUNCTION("""COMPUTED_VALUE"""),"")</f>
        <v/>
      </c>
      <c r="P27" s="20">
        <f>IFERROR(__xludf.DUMMYFUNCTION("""COMPUTED_VALUE"""),26.0)</f>
        <v>26</v>
      </c>
      <c r="Q27" s="20" t="str">
        <f>IFERROR(__xludf.DUMMYFUNCTION("""COMPUTED_VALUE"""),"L 9820 UJ")</f>
        <v>L 9820 UJ</v>
      </c>
      <c r="R27" s="20" t="str">
        <f>IFERROR(__xludf.DUMMYFUNCTION("""COMPUTED_VALUE"""),"TLPG MEM GRESIK")</f>
        <v>TLPG MEM GRESIK</v>
      </c>
      <c r="S27" s="20">
        <f>IFERROR(__xludf.DUMMYFUNCTION("""COMPUTED_VALUE"""),2.0)</f>
        <v>2</v>
      </c>
      <c r="T27" s="20" t="str">
        <f>IFERROR(__xludf.DUMMYFUNCTION("""COMPUTED_VALUE"""),"PT PATRA NIAGA")</f>
        <v>PT PATRA NIAGA</v>
      </c>
      <c r="U27" s="11" t="str">
        <f>IFERROR(__xludf.DUMMYFUNCTION("""COMPUTED_VALUE"""),"")</f>
        <v/>
      </c>
      <c r="V27" s="11">
        <f>IFERROR(__xludf.DUMMYFUNCTION("""COMPUTED_VALUE"""),26.0)</f>
        <v>26</v>
      </c>
      <c r="W27" s="11" t="str">
        <f>IFERROR(__xludf.DUMMYFUNCTION("""COMPUTED_VALUE"""),"EA 8681 SC")</f>
        <v>EA 8681 SC</v>
      </c>
      <c r="X27" s="11" t="str">
        <f>IFERROR(__xludf.DUMMYFUNCTION("""COMPUTED_VALUE"""),"TLPG BIMA")</f>
        <v>TLPG BIMA</v>
      </c>
      <c r="Y27" s="11">
        <f>IFERROR(__xludf.DUMMYFUNCTION("""COMPUTED_VALUE"""),3.0)</f>
        <v>3</v>
      </c>
      <c r="Z27" s="11" t="str">
        <f>IFERROR(__xludf.DUMMYFUNCTION("""COMPUTED_VALUE"""),"Data Company Belum Ada")</f>
        <v>Data Company Belum Ada</v>
      </c>
      <c r="AA27" s="11" t="str">
        <f>IFERROR(__xludf.DUMMYFUNCTION("""COMPUTED_VALUE"""),"")</f>
        <v/>
      </c>
      <c r="AB27" s="20">
        <f>IFERROR(__xludf.DUMMYFUNCTION("""COMPUTED_VALUE"""),26.0)</f>
        <v>26</v>
      </c>
      <c r="AC27" s="20" t="str">
        <f>IFERROR(__xludf.DUMMYFUNCTION("""COMPUTED_VALUE"""),"DR 8116 WZ")</f>
        <v>DR 8116 WZ</v>
      </c>
      <c r="AD27" s="20" t="str">
        <f>IFERROR(__xludf.DUMMYFUNCTION("""COMPUTED_VALUE"""),"TLPG BIMA")</f>
        <v>TLPG BIMA</v>
      </c>
      <c r="AE27" s="20">
        <f>IFERROR(__xludf.DUMMYFUNCTION("""COMPUTED_VALUE"""),4.0)</f>
        <v>4</v>
      </c>
      <c r="AF27" s="20" t="str">
        <f>IFERROR(__xludf.DUMMYFUNCTION("""COMPUTED_VALUE"""),"Data Company Belum Ada")</f>
        <v>Data Company Belum Ada</v>
      </c>
      <c r="AI27" s="7" t="s">
        <v>274</v>
      </c>
      <c r="AJ27" s="7" t="s">
        <v>25</v>
      </c>
      <c r="AK27" s="7" t="s">
        <v>121</v>
      </c>
    </row>
    <row r="28">
      <c r="A28" s="9" t="str">
        <f>IFERROR(__xludf.DUMMYFUNCTION("""COMPUTED_VALUE"""),"AE 9061 UJ")</f>
        <v>AE 9061 UJ</v>
      </c>
      <c r="B28" s="9" t="str">
        <f>IFERROR(__xludf.DUMMYFUNCTION("""COMPUTED_VALUE"""),"TLPG TJ PERAK")</f>
        <v>TLPG TJ PERAK</v>
      </c>
      <c r="C28" s="9" t="str">
        <f>IFERROR(__xludf.DUMMYFUNCTION("""COMPUTED_VALUE"""),"PT NUR WISTARA ABADI")</f>
        <v>PT NUR WISTARA ABADI</v>
      </c>
      <c r="D28" s="11">
        <f>IFERROR(__xludf.DUMMYFUNCTION("""COMPUTED_VALUE"""),178.3)</f>
        <v>178.3</v>
      </c>
      <c r="E28" s="11" t="str">
        <f>IFERROR(__xludf.DUMMYFUNCTION("""COMPUTED_VALUE"""),"JAUH")</f>
        <v>JAUH</v>
      </c>
      <c r="F28" s="11">
        <f>IFERROR(__xludf.DUMMYFUNCTION("""COMPUTED_VALUE"""),3.0)</f>
        <v>3</v>
      </c>
      <c r="G28" s="11">
        <f>IFERROR(__xludf.DUMMYFUNCTION("""COMPUTED_VALUE"""),1.0)</f>
        <v>1</v>
      </c>
      <c r="H28" s="11">
        <f>IFERROR(__xludf.DUMMYFUNCTION("""COMPUTED_VALUE"""),3.0)</f>
        <v>3</v>
      </c>
      <c r="I28" s="11">
        <v>3.0</v>
      </c>
      <c r="J28" s="11">
        <f>IFERROR(__xludf.DUMMYFUNCTION("""COMPUTED_VALUE"""),27.0)</f>
        <v>27</v>
      </c>
      <c r="K28" s="11" t="str">
        <f>IFERROR(__xludf.DUMMYFUNCTION("""COMPUTED_VALUE"""),"P 8821 UW")</f>
        <v>P 8821 UW</v>
      </c>
      <c r="L28" s="11" t="str">
        <f>IFERROR(__xludf.DUMMYFUNCTION("""COMPUTED_VALUE"""),"TLPG TJ WANGI")</f>
        <v>TLPG TJ WANGI</v>
      </c>
      <c r="M28" s="11">
        <f>IFERROR(__xludf.DUMMYFUNCTION("""COMPUTED_VALUE"""),1.0)</f>
        <v>1</v>
      </c>
      <c r="N28" s="11" t="str">
        <f>IFERROR(__xludf.DUMMYFUNCTION("""COMPUTED_VALUE"""),"Data Company Belum Ada")</f>
        <v>Data Company Belum Ada</v>
      </c>
      <c r="O28" s="11" t="str">
        <f>IFERROR(__xludf.DUMMYFUNCTION("""COMPUTED_VALUE"""),"")</f>
        <v/>
      </c>
      <c r="P28" s="20">
        <f>IFERROR(__xludf.DUMMYFUNCTION("""COMPUTED_VALUE"""),27.0)</f>
        <v>27</v>
      </c>
      <c r="Q28" s="20" t="str">
        <f>IFERROR(__xludf.DUMMYFUNCTION("""COMPUTED_VALUE"""),"B 9113 SEI")</f>
        <v>B 9113 SEI</v>
      </c>
      <c r="R28" s="20" t="str">
        <f>IFERROR(__xludf.DUMMYFUNCTION("""COMPUTED_VALUE"""),"TLPG MEM GRESIK")</f>
        <v>TLPG MEM GRESIK</v>
      </c>
      <c r="S28" s="20">
        <f>IFERROR(__xludf.DUMMYFUNCTION("""COMPUTED_VALUE"""),2.0)</f>
        <v>2</v>
      </c>
      <c r="T28" s="20" t="str">
        <f>IFERROR(__xludf.DUMMYFUNCTION("""COMPUTED_VALUE"""),"PT PATRA NIAGA")</f>
        <v>PT PATRA NIAGA</v>
      </c>
      <c r="U28" s="11" t="str">
        <f>IFERROR(__xludf.DUMMYFUNCTION("""COMPUTED_VALUE"""),"")</f>
        <v/>
      </c>
      <c r="V28" s="11">
        <f>IFERROR(__xludf.DUMMYFUNCTION("""COMPUTED_VALUE"""),27.0)</f>
        <v>27</v>
      </c>
      <c r="W28" s="11" t="str">
        <f>IFERROR(__xludf.DUMMYFUNCTION("""COMPUTED_VALUE"""),"B 9872 SFV")</f>
        <v>B 9872 SFV</v>
      </c>
      <c r="X28" s="11" t="str">
        <f>IFERROR(__xludf.DUMMYFUNCTION("""COMPUTED_VALUE"""),"TLPG MEM GRESIK")</f>
        <v>TLPG MEM GRESIK</v>
      </c>
      <c r="Y28" s="11">
        <f>IFERROR(__xludf.DUMMYFUNCTION("""COMPUTED_VALUE"""),3.0)</f>
        <v>3</v>
      </c>
      <c r="Z28" s="11" t="str">
        <f>IFERROR(__xludf.DUMMYFUNCTION("""COMPUTED_VALUE"""),"PT PATRA LOGISTIK")</f>
        <v>PT PATRA LOGISTIK</v>
      </c>
      <c r="AA28" s="11" t="str">
        <f>IFERROR(__xludf.DUMMYFUNCTION("""COMPUTED_VALUE"""),"")</f>
        <v/>
      </c>
      <c r="AB28" s="20">
        <f>IFERROR(__xludf.DUMMYFUNCTION("""COMPUTED_VALUE"""),27.0)</f>
        <v>27</v>
      </c>
      <c r="AC28" s="45" t="str">
        <f>IFERROR(__xludf.DUMMYFUNCTION("""COMPUTED_VALUE"""),"DK 8781 HB")</f>
        <v>DK 8781 HB</v>
      </c>
      <c r="AD28" s="20" t="str">
        <f>IFERROR(__xludf.DUMMYFUNCTION("""COMPUTED_VALUE"""),"TLPG MANGGIS")</f>
        <v>TLPG MANGGIS</v>
      </c>
      <c r="AE28" s="20">
        <f>IFERROR(__xludf.DUMMYFUNCTION("""COMPUTED_VALUE"""),4.0)</f>
        <v>4</v>
      </c>
      <c r="AF28" s="20" t="str">
        <f>IFERROR(__xludf.DUMMYFUNCTION("""COMPUTED_VALUE"""),"Data Company Belum Ada")</f>
        <v>Data Company Belum Ada</v>
      </c>
      <c r="AI28" s="7" t="s">
        <v>275</v>
      </c>
      <c r="AJ28" s="7" t="s">
        <v>25</v>
      </c>
      <c r="AK28" s="7" t="s">
        <v>121</v>
      </c>
    </row>
    <row r="29">
      <c r="A29" s="9" t="str">
        <f>IFERROR(__xludf.DUMMYFUNCTION("""COMPUTED_VALUE"""),"AG 9876 RK")</f>
        <v>AG 9876 RK</v>
      </c>
      <c r="B29" s="9" t="str">
        <f>IFERROR(__xludf.DUMMYFUNCTION("""COMPUTED_VALUE"""),"TLPG MEM GRESIK")</f>
        <v>TLPG MEM GRESIK</v>
      </c>
      <c r="C29" s="9" t="str">
        <f>IFERROR(__xludf.DUMMYFUNCTION("""COMPUTED_VALUE"""),"PT BINTANG CIPTA PERSADA")</f>
        <v>PT BINTANG CIPTA PERSADA</v>
      </c>
      <c r="D29" s="11">
        <f>IFERROR(__xludf.DUMMYFUNCTION("""COMPUTED_VALUE"""),176.1)</f>
        <v>176.1</v>
      </c>
      <c r="E29" s="11" t="str">
        <f>IFERROR(__xludf.DUMMYFUNCTION("""COMPUTED_VALUE"""),"JAUH")</f>
        <v>JAUH</v>
      </c>
      <c r="F29" s="11">
        <f>IFERROR(__xludf.DUMMYFUNCTION("""COMPUTED_VALUE"""),3.0)</f>
        <v>3</v>
      </c>
      <c r="G29" s="11">
        <f>IFERROR(__xludf.DUMMYFUNCTION("""COMPUTED_VALUE"""),1.0)</f>
        <v>1</v>
      </c>
      <c r="H29" s="11">
        <f>IFERROR(__xludf.DUMMYFUNCTION("""COMPUTED_VALUE"""),4.0)</f>
        <v>4</v>
      </c>
      <c r="I29" s="12">
        <v>5.0</v>
      </c>
      <c r="J29" s="11">
        <f>IFERROR(__xludf.DUMMYFUNCTION("""COMPUTED_VALUE"""),28.0)</f>
        <v>28</v>
      </c>
      <c r="K29" s="11" t="str">
        <f>IFERROR(__xludf.DUMMYFUNCTION("""COMPUTED_VALUE"""),"B 9144 SEJ")</f>
        <v>B 9144 SEJ</v>
      </c>
      <c r="L29" s="11" t="str">
        <f>IFERROR(__xludf.DUMMYFUNCTION("""COMPUTED_VALUE"""),"TLPG TJ WANGI")</f>
        <v>TLPG TJ WANGI</v>
      </c>
      <c r="M29" s="11">
        <f>IFERROR(__xludf.DUMMYFUNCTION("""COMPUTED_VALUE"""),1.0)</f>
        <v>1</v>
      </c>
      <c r="N29" s="11" t="str">
        <f>IFERROR(__xludf.DUMMYFUNCTION("""COMPUTED_VALUE"""),"Data Company Belum Ada")</f>
        <v>Data Company Belum Ada</v>
      </c>
      <c r="O29" s="11" t="str">
        <f>IFERROR(__xludf.DUMMYFUNCTION("""COMPUTED_VALUE"""),"")</f>
        <v/>
      </c>
      <c r="P29" s="11" t="str">
        <f>IFERROR(__xludf.DUMMYFUNCTION("""COMPUTED_VALUE"""),"")</f>
        <v/>
      </c>
      <c r="Q29" s="11" t="str">
        <f>IFERROR(__xludf.DUMMYFUNCTION("""COMPUTED_VALUE"""),"")</f>
        <v/>
      </c>
      <c r="R29" s="11" t="str">
        <f>IFERROR(__xludf.DUMMYFUNCTION("""COMPUTED_VALUE"""),"")</f>
        <v/>
      </c>
      <c r="S29" s="11" t="str">
        <f>IFERROR(__xludf.DUMMYFUNCTION("""COMPUTED_VALUE"""),"")</f>
        <v/>
      </c>
      <c r="T29" s="11" t="str">
        <f>IFERROR(__xludf.DUMMYFUNCTION("""COMPUTED_VALUE"""),"")</f>
        <v/>
      </c>
      <c r="U29" s="11" t="str">
        <f>IFERROR(__xludf.DUMMYFUNCTION("""COMPUTED_VALUE"""),"")</f>
        <v/>
      </c>
      <c r="V29" s="11" t="str">
        <f>IFERROR(__xludf.DUMMYFUNCTION("""COMPUTED_VALUE"""),"")</f>
        <v/>
      </c>
      <c r="W29" s="11" t="str">
        <f>IFERROR(__xludf.DUMMYFUNCTION("""COMPUTED_VALUE"""),"")</f>
        <v/>
      </c>
      <c r="X29" s="11" t="str">
        <f>IFERROR(__xludf.DUMMYFUNCTION("""COMPUTED_VALUE"""),"")</f>
        <v/>
      </c>
      <c r="Y29" s="11" t="str">
        <f>IFERROR(__xludf.DUMMYFUNCTION("""COMPUTED_VALUE"""),"")</f>
        <v/>
      </c>
      <c r="Z29" s="11" t="str">
        <f>IFERROR(__xludf.DUMMYFUNCTION("""COMPUTED_VALUE"""),"")</f>
        <v/>
      </c>
      <c r="AA29" s="11" t="str">
        <f>IFERROR(__xludf.DUMMYFUNCTION("""COMPUTED_VALUE"""),"")</f>
        <v/>
      </c>
      <c r="AB29" s="11" t="str">
        <f>IFERROR(__xludf.DUMMYFUNCTION("""COMPUTED_VALUE"""),"")</f>
        <v/>
      </c>
      <c r="AC29" s="11" t="str">
        <f>IFERROR(__xludf.DUMMYFUNCTION("""COMPUTED_VALUE"""),"")</f>
        <v/>
      </c>
      <c r="AD29" s="11" t="str">
        <f>IFERROR(__xludf.DUMMYFUNCTION("""COMPUTED_VALUE"""),"")</f>
        <v/>
      </c>
      <c r="AE29" s="11" t="str">
        <f>IFERROR(__xludf.DUMMYFUNCTION("""COMPUTED_VALUE"""),"")</f>
        <v/>
      </c>
      <c r="AF29" s="11" t="str">
        <f>IFERROR(__xludf.DUMMYFUNCTION("""COMPUTED_VALUE"""),"")</f>
        <v/>
      </c>
      <c r="AI29" s="7" t="s">
        <v>306</v>
      </c>
      <c r="AJ29" s="7" t="s">
        <v>25</v>
      </c>
      <c r="AK29" s="7" t="s">
        <v>121</v>
      </c>
    </row>
    <row r="30">
      <c r="A30" s="9" t="str">
        <f>IFERROR(__xludf.DUMMYFUNCTION("""COMPUTED_VALUE"""),"AG 8701 UO")</f>
        <v>AG 8701 UO</v>
      </c>
      <c r="B30" s="9" t="str">
        <f>IFERROR(__xludf.DUMMYFUNCTION("""COMPUTED_VALUE"""),"TLPG TJ PERAK")</f>
        <v>TLPG TJ PERAK</v>
      </c>
      <c r="C30" s="9" t="str">
        <f>IFERROR(__xludf.DUMMYFUNCTION("""COMPUTED_VALUE"""),"PT MODERNA TEHNIK PERKASA")</f>
        <v>PT MODERNA TEHNIK PERKASA</v>
      </c>
      <c r="D30" s="11">
        <f>IFERROR(__xludf.DUMMYFUNCTION("""COMPUTED_VALUE"""),175.0)</f>
        <v>175</v>
      </c>
      <c r="E30" s="11" t="str">
        <f>IFERROR(__xludf.DUMMYFUNCTION("""COMPUTED_VALUE"""),"JAUH")</f>
        <v>JAUH</v>
      </c>
      <c r="F30" s="11">
        <f>IFERROR(__xludf.DUMMYFUNCTION("""COMPUTED_VALUE"""),3.0)</f>
        <v>3</v>
      </c>
      <c r="G30" s="11">
        <f>IFERROR(__xludf.DUMMYFUNCTION("""COMPUTED_VALUE"""),4.0)</f>
        <v>4</v>
      </c>
      <c r="H30" s="11">
        <f>IFERROR(__xludf.DUMMYFUNCTION("""COMPUTED_VALUE"""),5.0)</f>
        <v>5</v>
      </c>
      <c r="I30" s="11">
        <v>5.0</v>
      </c>
      <c r="J30" s="11" t="str">
        <f>IFERROR(__xludf.DUMMYFUNCTION("""COMPUTED_VALUE"""),"")</f>
        <v/>
      </c>
      <c r="K30" s="11" t="str">
        <f>IFERROR(__xludf.DUMMYFUNCTION("""COMPUTED_VALUE"""),"")</f>
        <v/>
      </c>
      <c r="L30" s="11" t="str">
        <f>IFERROR(__xludf.DUMMYFUNCTION("""COMPUTED_VALUE"""),"")</f>
        <v/>
      </c>
      <c r="M30" s="11" t="str">
        <f>IFERROR(__xludf.DUMMYFUNCTION("""COMPUTED_VALUE"""),"")</f>
        <v/>
      </c>
      <c r="N30" s="11" t="str">
        <f>IFERROR(__xludf.DUMMYFUNCTION("""COMPUTED_VALUE"""),"")</f>
        <v/>
      </c>
      <c r="O30" s="11" t="str">
        <f>IFERROR(__xludf.DUMMYFUNCTION("""COMPUTED_VALUE"""),"")</f>
        <v/>
      </c>
      <c r="P30" s="11" t="str">
        <f>IFERROR(__xludf.DUMMYFUNCTION("""COMPUTED_VALUE"""),"")</f>
        <v/>
      </c>
      <c r="Q30" s="11" t="str">
        <f>IFERROR(__xludf.DUMMYFUNCTION("""COMPUTED_VALUE"""),"")</f>
        <v/>
      </c>
      <c r="R30" s="11" t="str">
        <f>IFERROR(__xludf.DUMMYFUNCTION("""COMPUTED_VALUE"""),"")</f>
        <v/>
      </c>
      <c r="S30" s="11" t="str">
        <f>IFERROR(__xludf.DUMMYFUNCTION("""COMPUTED_VALUE"""),"")</f>
        <v/>
      </c>
      <c r="T30" s="11" t="str">
        <f>IFERROR(__xludf.DUMMYFUNCTION("""COMPUTED_VALUE"""),"")</f>
        <v/>
      </c>
      <c r="U30" s="11" t="str">
        <f>IFERROR(__xludf.DUMMYFUNCTION("""COMPUTED_VALUE"""),"")</f>
        <v/>
      </c>
      <c r="V30" s="11" t="str">
        <f>IFERROR(__xludf.DUMMYFUNCTION("""COMPUTED_VALUE"""),"")</f>
        <v/>
      </c>
      <c r="W30" s="11" t="str">
        <f>IFERROR(__xludf.DUMMYFUNCTION("""COMPUTED_VALUE"""),"")</f>
        <v/>
      </c>
      <c r="X30" s="11" t="str">
        <f>IFERROR(__xludf.DUMMYFUNCTION("""COMPUTED_VALUE"""),"")</f>
        <v/>
      </c>
      <c r="Y30" s="11" t="str">
        <f>IFERROR(__xludf.DUMMYFUNCTION("""COMPUTED_VALUE"""),"")</f>
        <v/>
      </c>
      <c r="Z30" s="11" t="str">
        <f>IFERROR(__xludf.DUMMYFUNCTION("""COMPUTED_VALUE"""),"")</f>
        <v/>
      </c>
      <c r="AA30" s="11" t="str">
        <f>IFERROR(__xludf.DUMMYFUNCTION("""COMPUTED_VALUE"""),"")</f>
        <v/>
      </c>
      <c r="AB30" s="11" t="str">
        <f>IFERROR(__xludf.DUMMYFUNCTION("""COMPUTED_VALUE"""),"")</f>
        <v/>
      </c>
      <c r="AC30" s="11" t="str">
        <f>IFERROR(__xludf.DUMMYFUNCTION("""COMPUTED_VALUE"""),"")</f>
        <v/>
      </c>
      <c r="AD30" s="11" t="str">
        <f>IFERROR(__xludf.DUMMYFUNCTION("""COMPUTED_VALUE"""),"")</f>
        <v/>
      </c>
      <c r="AE30" s="11" t="str">
        <f>IFERROR(__xludf.DUMMYFUNCTION("""COMPUTED_VALUE"""),"")</f>
        <v/>
      </c>
      <c r="AF30" s="11" t="str">
        <f>IFERROR(__xludf.DUMMYFUNCTION("""COMPUTED_VALUE"""),"")</f>
        <v/>
      </c>
      <c r="AI30" s="7" t="s">
        <v>344</v>
      </c>
      <c r="AJ30" s="7" t="s">
        <v>25</v>
      </c>
      <c r="AK30" s="7" t="s">
        <v>83</v>
      </c>
    </row>
    <row r="31">
      <c r="A31" s="9" t="str">
        <f>IFERROR(__xludf.DUMMYFUNCTION("""COMPUTED_VALUE"""),"AG 8702 UO")</f>
        <v>AG 8702 UO</v>
      </c>
      <c r="B31" s="9" t="str">
        <f>IFERROR(__xludf.DUMMYFUNCTION("""COMPUTED_VALUE"""),"TLPG TJ PERAK")</f>
        <v>TLPG TJ PERAK</v>
      </c>
      <c r="C31" s="9" t="str">
        <f>IFERROR(__xludf.DUMMYFUNCTION("""COMPUTED_VALUE"""),"PT MODERNA TEHNIK PERKASA")</f>
        <v>PT MODERNA TEHNIK PERKASA</v>
      </c>
      <c r="D31" s="11">
        <f>IFERROR(__xludf.DUMMYFUNCTION("""COMPUTED_VALUE"""),175.0)</f>
        <v>175</v>
      </c>
      <c r="E31" s="11" t="str">
        <f>IFERROR(__xludf.DUMMYFUNCTION("""COMPUTED_VALUE"""),"JAUH")</f>
        <v>JAUH</v>
      </c>
      <c r="F31" s="11">
        <f>IFERROR(__xludf.DUMMYFUNCTION("""COMPUTED_VALUE"""),3.0)</f>
        <v>3</v>
      </c>
      <c r="G31" s="11">
        <f>IFERROR(__xludf.DUMMYFUNCTION("""COMPUTED_VALUE"""),4.0)</f>
        <v>4</v>
      </c>
      <c r="H31" s="11">
        <f>IFERROR(__xludf.DUMMYFUNCTION("""COMPUTED_VALUE"""),6.0)</f>
        <v>6</v>
      </c>
      <c r="I31" s="11">
        <v>6.0</v>
      </c>
      <c r="J31" s="11" t="str">
        <f>IFERROR(__xludf.DUMMYFUNCTION("""COMPUTED_VALUE"""),"")</f>
        <v/>
      </c>
      <c r="K31" s="11" t="str">
        <f>IFERROR(__xludf.DUMMYFUNCTION("""COMPUTED_VALUE"""),"")</f>
        <v/>
      </c>
      <c r="L31" s="11" t="str">
        <f>IFERROR(__xludf.DUMMYFUNCTION("""COMPUTED_VALUE"""),"")</f>
        <v/>
      </c>
      <c r="M31" s="11" t="str">
        <f>IFERROR(__xludf.DUMMYFUNCTION("""COMPUTED_VALUE"""),"")</f>
        <v/>
      </c>
      <c r="N31" s="11" t="str">
        <f>IFERROR(__xludf.DUMMYFUNCTION("""COMPUTED_VALUE"""),"")</f>
        <v/>
      </c>
      <c r="O31" s="11" t="str">
        <f>IFERROR(__xludf.DUMMYFUNCTION("""COMPUTED_VALUE"""),"")</f>
        <v/>
      </c>
      <c r="P31" s="11" t="str">
        <f>IFERROR(__xludf.DUMMYFUNCTION("""COMPUTED_VALUE"""),"")</f>
        <v/>
      </c>
      <c r="Q31" s="11" t="str">
        <f>IFERROR(__xludf.DUMMYFUNCTION("""COMPUTED_VALUE"""),"")</f>
        <v/>
      </c>
      <c r="R31" s="11" t="str">
        <f>IFERROR(__xludf.DUMMYFUNCTION("""COMPUTED_VALUE"""),"")</f>
        <v/>
      </c>
      <c r="S31" s="11" t="str">
        <f>IFERROR(__xludf.DUMMYFUNCTION("""COMPUTED_VALUE"""),"")</f>
        <v/>
      </c>
      <c r="T31" s="11" t="str">
        <f>IFERROR(__xludf.DUMMYFUNCTION("""COMPUTED_VALUE"""),"")</f>
        <v/>
      </c>
      <c r="U31" s="11" t="str">
        <f>IFERROR(__xludf.DUMMYFUNCTION("""COMPUTED_VALUE"""),"")</f>
        <v/>
      </c>
      <c r="V31" s="11" t="str">
        <f>IFERROR(__xludf.DUMMYFUNCTION("""COMPUTED_VALUE"""),"")</f>
        <v/>
      </c>
      <c r="W31" s="11" t="str">
        <f>IFERROR(__xludf.DUMMYFUNCTION("""COMPUTED_VALUE"""),"")</f>
        <v/>
      </c>
      <c r="X31" s="11" t="str">
        <f>IFERROR(__xludf.DUMMYFUNCTION("""COMPUTED_VALUE"""),"")</f>
        <v/>
      </c>
      <c r="Y31" s="11" t="str">
        <f>IFERROR(__xludf.DUMMYFUNCTION("""COMPUTED_VALUE"""),"")</f>
        <v/>
      </c>
      <c r="Z31" s="11" t="str">
        <f>IFERROR(__xludf.DUMMYFUNCTION("""COMPUTED_VALUE"""),"")</f>
        <v/>
      </c>
      <c r="AA31" s="11" t="str">
        <f>IFERROR(__xludf.DUMMYFUNCTION("""COMPUTED_VALUE"""),"")</f>
        <v/>
      </c>
      <c r="AB31" s="11" t="str">
        <f>IFERROR(__xludf.DUMMYFUNCTION("""COMPUTED_VALUE"""),"")</f>
        <v/>
      </c>
      <c r="AC31" s="11" t="str">
        <f>IFERROR(__xludf.DUMMYFUNCTION("""COMPUTED_VALUE"""),"")</f>
        <v/>
      </c>
      <c r="AD31" s="11" t="str">
        <f>IFERROR(__xludf.DUMMYFUNCTION("""COMPUTED_VALUE"""),"")</f>
        <v/>
      </c>
      <c r="AE31" s="11" t="str">
        <f>IFERROR(__xludf.DUMMYFUNCTION("""COMPUTED_VALUE"""),"")</f>
        <v/>
      </c>
      <c r="AF31" s="11" t="str">
        <f>IFERROR(__xludf.DUMMYFUNCTION("""COMPUTED_VALUE"""),"")</f>
        <v/>
      </c>
      <c r="AI31" s="7" t="s">
        <v>345</v>
      </c>
      <c r="AJ31" s="7" t="s">
        <v>25</v>
      </c>
      <c r="AK31" s="7" t="s">
        <v>121</v>
      </c>
    </row>
    <row r="32">
      <c r="A32" s="9" t="str">
        <f>IFERROR(__xludf.DUMMYFUNCTION("""COMPUTED_VALUE"""),"AG 8717 UO")</f>
        <v>AG 8717 UO</v>
      </c>
      <c r="B32" s="9" t="str">
        <f>IFERROR(__xludf.DUMMYFUNCTION("""COMPUTED_VALUE"""),"TLPG TJ PERAK")</f>
        <v>TLPG TJ PERAK</v>
      </c>
      <c r="C32" s="9" t="str">
        <f>IFERROR(__xludf.DUMMYFUNCTION("""COMPUTED_VALUE"""),"PT MODERNA TEHNIK PERKASA")</f>
        <v>PT MODERNA TEHNIK PERKASA</v>
      </c>
      <c r="D32" s="11">
        <f>IFERROR(__xludf.DUMMYFUNCTION("""COMPUTED_VALUE"""),175.0)</f>
        <v>175</v>
      </c>
      <c r="E32" s="11" t="str">
        <f>IFERROR(__xludf.DUMMYFUNCTION("""COMPUTED_VALUE"""),"JAUH")</f>
        <v>JAUH</v>
      </c>
      <c r="F32" s="11">
        <f>IFERROR(__xludf.DUMMYFUNCTION("""COMPUTED_VALUE"""),3.0)</f>
        <v>3</v>
      </c>
      <c r="G32" s="11">
        <f>IFERROR(__xludf.DUMMYFUNCTION("""COMPUTED_VALUE"""),4.0)</f>
        <v>4</v>
      </c>
      <c r="H32" s="11">
        <f>IFERROR(__xludf.DUMMYFUNCTION("""COMPUTED_VALUE"""),7.0)</f>
        <v>7</v>
      </c>
      <c r="I32" s="11">
        <v>7.0</v>
      </c>
      <c r="J32" s="11" t="str">
        <f>IFERROR(__xludf.DUMMYFUNCTION("""COMPUTED_VALUE"""),"")</f>
        <v/>
      </c>
      <c r="K32" s="11" t="str">
        <f>IFERROR(__xludf.DUMMYFUNCTION("""COMPUTED_VALUE"""),"")</f>
        <v/>
      </c>
      <c r="L32" s="11" t="str">
        <f>IFERROR(__xludf.DUMMYFUNCTION("""COMPUTED_VALUE"""),"")</f>
        <v/>
      </c>
      <c r="M32" s="11" t="str">
        <f>IFERROR(__xludf.DUMMYFUNCTION("""COMPUTED_VALUE"""),"")</f>
        <v/>
      </c>
      <c r="N32" s="11" t="str">
        <f>IFERROR(__xludf.DUMMYFUNCTION("""COMPUTED_VALUE"""),"")</f>
        <v/>
      </c>
      <c r="O32" s="11" t="str">
        <f>IFERROR(__xludf.DUMMYFUNCTION("""COMPUTED_VALUE"""),"")</f>
        <v/>
      </c>
      <c r="P32" s="11" t="str">
        <f>IFERROR(__xludf.DUMMYFUNCTION("""COMPUTED_VALUE"""),"")</f>
        <v/>
      </c>
      <c r="Q32" s="11" t="str">
        <f>IFERROR(__xludf.DUMMYFUNCTION("""COMPUTED_VALUE"""),"")</f>
        <v/>
      </c>
      <c r="R32" s="11" t="str">
        <f>IFERROR(__xludf.DUMMYFUNCTION("""COMPUTED_VALUE"""),"")</f>
        <v/>
      </c>
      <c r="S32" s="11" t="str">
        <f>IFERROR(__xludf.DUMMYFUNCTION("""COMPUTED_VALUE"""),"")</f>
        <v/>
      </c>
      <c r="T32" s="11" t="str">
        <f>IFERROR(__xludf.DUMMYFUNCTION("""COMPUTED_VALUE"""),"")</f>
        <v/>
      </c>
      <c r="U32" s="11" t="str">
        <f>IFERROR(__xludf.DUMMYFUNCTION("""COMPUTED_VALUE"""),"")</f>
        <v/>
      </c>
      <c r="V32" s="11" t="str">
        <f>IFERROR(__xludf.DUMMYFUNCTION("""COMPUTED_VALUE"""),"")</f>
        <v/>
      </c>
      <c r="W32" s="11" t="str">
        <f>IFERROR(__xludf.DUMMYFUNCTION("""COMPUTED_VALUE"""),"")</f>
        <v/>
      </c>
      <c r="X32" s="11" t="str">
        <f>IFERROR(__xludf.DUMMYFUNCTION("""COMPUTED_VALUE"""),"")</f>
        <v/>
      </c>
      <c r="Y32" s="11" t="str">
        <f>IFERROR(__xludf.DUMMYFUNCTION("""COMPUTED_VALUE"""),"")</f>
        <v/>
      </c>
      <c r="Z32" s="11" t="str">
        <f>IFERROR(__xludf.DUMMYFUNCTION("""COMPUTED_VALUE"""),"")</f>
        <v/>
      </c>
      <c r="AA32" s="11" t="str">
        <f>IFERROR(__xludf.DUMMYFUNCTION("""COMPUTED_VALUE"""),"")</f>
        <v/>
      </c>
      <c r="AB32" s="11" t="str">
        <f>IFERROR(__xludf.DUMMYFUNCTION("""COMPUTED_VALUE"""),"")</f>
        <v/>
      </c>
      <c r="AC32" s="11" t="str">
        <f>IFERROR(__xludf.DUMMYFUNCTION("""COMPUTED_VALUE"""),"")</f>
        <v/>
      </c>
      <c r="AD32" s="11" t="str">
        <f>IFERROR(__xludf.DUMMYFUNCTION("""COMPUTED_VALUE"""),"")</f>
        <v/>
      </c>
      <c r="AE32" s="11" t="str">
        <f>IFERROR(__xludf.DUMMYFUNCTION("""COMPUTED_VALUE"""),"")</f>
        <v/>
      </c>
      <c r="AF32" s="11" t="str">
        <f>IFERROR(__xludf.DUMMYFUNCTION("""COMPUTED_VALUE"""),"")</f>
        <v/>
      </c>
      <c r="AI32" s="7" t="s">
        <v>346</v>
      </c>
      <c r="AJ32" s="7" t="s">
        <v>25</v>
      </c>
      <c r="AK32" s="7" t="s">
        <v>121</v>
      </c>
    </row>
    <row r="33">
      <c r="A33" s="9" t="str">
        <f>IFERROR(__xludf.DUMMYFUNCTION("""COMPUTED_VALUE"""),"L 9718 UD")</f>
        <v>L 9718 UD</v>
      </c>
      <c r="B33" s="9" t="str">
        <f>IFERROR(__xludf.DUMMYFUNCTION("""COMPUTED_VALUE"""),"TLPG TJ PERAK")</f>
        <v>TLPG TJ PERAK</v>
      </c>
      <c r="C33" s="9" t="str">
        <f>IFERROR(__xludf.DUMMYFUNCTION("""COMPUTED_VALUE"""),"PT GEHA INTI CITRA")</f>
        <v>PT GEHA INTI CITRA</v>
      </c>
      <c r="D33" s="11">
        <f>IFERROR(__xludf.DUMMYFUNCTION("""COMPUTED_VALUE"""),173.6)</f>
        <v>173.6</v>
      </c>
      <c r="E33" s="11" t="str">
        <f>IFERROR(__xludf.DUMMYFUNCTION("""COMPUTED_VALUE"""),"JAUH")</f>
        <v>JAUH</v>
      </c>
      <c r="F33" s="11">
        <f>IFERROR(__xludf.DUMMYFUNCTION("""COMPUTED_VALUE"""),3.0)</f>
        <v>3</v>
      </c>
      <c r="G33" s="11">
        <f>IFERROR(__xludf.DUMMYFUNCTION("""COMPUTED_VALUE"""),2.0)</f>
        <v>2</v>
      </c>
      <c r="H33" s="11">
        <f>IFERROR(__xludf.DUMMYFUNCTION("""COMPUTED_VALUE"""),8.0)</f>
        <v>8</v>
      </c>
      <c r="I33" s="11">
        <v>8.0</v>
      </c>
      <c r="J33" s="11" t="str">
        <f>IFERROR(__xludf.DUMMYFUNCTION("""COMPUTED_VALUE"""),"")</f>
        <v/>
      </c>
      <c r="K33" s="11" t="str">
        <f>IFERROR(__xludf.DUMMYFUNCTION("""COMPUTED_VALUE"""),"")</f>
        <v/>
      </c>
      <c r="L33" s="11" t="str">
        <f>IFERROR(__xludf.DUMMYFUNCTION("""COMPUTED_VALUE"""),"")</f>
        <v/>
      </c>
      <c r="M33" s="11" t="str">
        <f>IFERROR(__xludf.DUMMYFUNCTION("""COMPUTED_VALUE"""),"")</f>
        <v/>
      </c>
      <c r="N33" s="11" t="str">
        <f>IFERROR(__xludf.DUMMYFUNCTION("""COMPUTED_VALUE"""),"")</f>
        <v/>
      </c>
      <c r="O33" s="11" t="str">
        <f>IFERROR(__xludf.DUMMYFUNCTION("""COMPUTED_VALUE"""),"")</f>
        <v/>
      </c>
      <c r="P33" s="11" t="str">
        <f>IFERROR(__xludf.DUMMYFUNCTION("""COMPUTED_VALUE"""),"")</f>
        <v/>
      </c>
      <c r="Q33" s="11" t="str">
        <f>IFERROR(__xludf.DUMMYFUNCTION("""COMPUTED_VALUE"""),"")</f>
        <v/>
      </c>
      <c r="R33" s="11" t="str">
        <f>IFERROR(__xludf.DUMMYFUNCTION("""COMPUTED_VALUE"""),"")</f>
        <v/>
      </c>
      <c r="S33" s="11" t="str">
        <f>IFERROR(__xludf.DUMMYFUNCTION("""COMPUTED_VALUE"""),"")</f>
        <v/>
      </c>
      <c r="T33" s="11" t="str">
        <f>IFERROR(__xludf.DUMMYFUNCTION("""COMPUTED_VALUE"""),"")</f>
        <v/>
      </c>
      <c r="U33" s="11" t="str">
        <f>IFERROR(__xludf.DUMMYFUNCTION("""COMPUTED_VALUE"""),"")</f>
        <v/>
      </c>
      <c r="V33" s="11" t="str">
        <f>IFERROR(__xludf.DUMMYFUNCTION("""COMPUTED_VALUE"""),"")</f>
        <v/>
      </c>
      <c r="W33" s="11" t="str">
        <f>IFERROR(__xludf.DUMMYFUNCTION("""COMPUTED_VALUE"""),"")</f>
        <v/>
      </c>
      <c r="X33" s="11" t="str">
        <f>IFERROR(__xludf.DUMMYFUNCTION("""COMPUTED_VALUE"""),"")</f>
        <v/>
      </c>
      <c r="Y33" s="11" t="str">
        <f>IFERROR(__xludf.DUMMYFUNCTION("""COMPUTED_VALUE"""),"")</f>
        <v/>
      </c>
      <c r="Z33" s="11" t="str">
        <f>IFERROR(__xludf.DUMMYFUNCTION("""COMPUTED_VALUE"""),"")</f>
        <v/>
      </c>
      <c r="AA33" s="11" t="str">
        <f>IFERROR(__xludf.DUMMYFUNCTION("""COMPUTED_VALUE"""),"")</f>
        <v/>
      </c>
      <c r="AB33" s="11" t="str">
        <f>IFERROR(__xludf.DUMMYFUNCTION("""COMPUTED_VALUE"""),"")</f>
        <v/>
      </c>
      <c r="AC33" s="11" t="str">
        <f>IFERROR(__xludf.DUMMYFUNCTION("""COMPUTED_VALUE"""),"")</f>
        <v/>
      </c>
      <c r="AD33" s="11" t="str">
        <f>IFERROR(__xludf.DUMMYFUNCTION("""COMPUTED_VALUE"""),"")</f>
        <v/>
      </c>
      <c r="AE33" s="11" t="str">
        <f>IFERROR(__xludf.DUMMYFUNCTION("""COMPUTED_VALUE"""),"")</f>
        <v/>
      </c>
      <c r="AF33" s="11" t="str">
        <f>IFERROR(__xludf.DUMMYFUNCTION("""COMPUTED_VALUE"""),"")</f>
        <v/>
      </c>
      <c r="AI33" s="7" t="s">
        <v>387</v>
      </c>
      <c r="AJ33" s="7" t="s">
        <v>25</v>
      </c>
      <c r="AK33" s="7" t="s">
        <v>83</v>
      </c>
    </row>
    <row r="34">
      <c r="A34" s="9" t="str">
        <f>IFERROR(__xludf.DUMMYFUNCTION("""COMPUTED_VALUE"""),"AG 8079 UZ")</f>
        <v>AG 8079 UZ</v>
      </c>
      <c r="B34" s="9" t="str">
        <f>IFERROR(__xludf.DUMMYFUNCTION("""COMPUTED_VALUE"""),"TLPG TJ PERAK")</f>
        <v>TLPG TJ PERAK</v>
      </c>
      <c r="C34" s="9" t="str">
        <f>IFERROR(__xludf.DUMMYFUNCTION("""COMPUTED_VALUE"""),"PT DIAN EL HADA")</f>
        <v>PT DIAN EL HADA</v>
      </c>
      <c r="D34" s="11">
        <f>IFERROR(__xludf.DUMMYFUNCTION("""COMPUTED_VALUE"""),173.6)</f>
        <v>173.6</v>
      </c>
      <c r="E34" s="11" t="str">
        <f>IFERROR(__xludf.DUMMYFUNCTION("""COMPUTED_VALUE"""),"JAUH")</f>
        <v>JAUH</v>
      </c>
      <c r="F34" s="11">
        <f>IFERROR(__xludf.DUMMYFUNCTION("""COMPUTED_VALUE"""),3.0)</f>
        <v>3</v>
      </c>
      <c r="G34" s="11">
        <f>IFERROR(__xludf.DUMMYFUNCTION("""COMPUTED_VALUE"""),3.0)</f>
        <v>3</v>
      </c>
      <c r="H34" s="11">
        <f>IFERROR(__xludf.DUMMYFUNCTION("""COMPUTED_VALUE"""),9.0)</f>
        <v>9</v>
      </c>
      <c r="I34" s="11">
        <v>9.0</v>
      </c>
      <c r="J34" s="11" t="str">
        <f>IFERROR(__xludf.DUMMYFUNCTION("""COMPUTED_VALUE"""),"")</f>
        <v/>
      </c>
      <c r="K34" s="11" t="str">
        <f>IFERROR(__xludf.DUMMYFUNCTION("""COMPUTED_VALUE"""),"")</f>
        <v/>
      </c>
      <c r="L34" s="11" t="str">
        <f>IFERROR(__xludf.DUMMYFUNCTION("""COMPUTED_VALUE"""),"")</f>
        <v/>
      </c>
      <c r="M34" s="11" t="str">
        <f>IFERROR(__xludf.DUMMYFUNCTION("""COMPUTED_VALUE"""),"")</f>
        <v/>
      </c>
      <c r="N34" s="11" t="str">
        <f>IFERROR(__xludf.DUMMYFUNCTION("""COMPUTED_VALUE"""),"")</f>
        <v/>
      </c>
      <c r="O34" s="11" t="str">
        <f>IFERROR(__xludf.DUMMYFUNCTION("""COMPUTED_VALUE"""),"")</f>
        <v/>
      </c>
      <c r="P34" s="11" t="str">
        <f>IFERROR(__xludf.DUMMYFUNCTION("""COMPUTED_VALUE"""),"")</f>
        <v/>
      </c>
      <c r="Q34" s="11" t="str">
        <f>IFERROR(__xludf.DUMMYFUNCTION("""COMPUTED_VALUE"""),"")</f>
        <v/>
      </c>
      <c r="R34" s="11" t="str">
        <f>IFERROR(__xludf.DUMMYFUNCTION("""COMPUTED_VALUE"""),"")</f>
        <v/>
      </c>
      <c r="S34" s="11" t="str">
        <f>IFERROR(__xludf.DUMMYFUNCTION("""COMPUTED_VALUE"""),"")</f>
        <v/>
      </c>
      <c r="T34" s="11" t="str">
        <f>IFERROR(__xludf.DUMMYFUNCTION("""COMPUTED_VALUE"""),"")</f>
        <v/>
      </c>
      <c r="U34" s="11" t="str">
        <f>IFERROR(__xludf.DUMMYFUNCTION("""COMPUTED_VALUE"""),"")</f>
        <v/>
      </c>
      <c r="V34" s="11" t="str">
        <f>IFERROR(__xludf.DUMMYFUNCTION("""COMPUTED_VALUE"""),"")</f>
        <v/>
      </c>
      <c r="W34" s="11" t="str">
        <f>IFERROR(__xludf.DUMMYFUNCTION("""COMPUTED_VALUE"""),"")</f>
        <v/>
      </c>
      <c r="X34" s="11" t="str">
        <f>IFERROR(__xludf.DUMMYFUNCTION("""COMPUTED_VALUE"""),"")</f>
        <v/>
      </c>
      <c r="Y34" s="11" t="str">
        <f>IFERROR(__xludf.DUMMYFUNCTION("""COMPUTED_VALUE"""),"")</f>
        <v/>
      </c>
      <c r="Z34" s="11" t="str">
        <f>IFERROR(__xludf.DUMMYFUNCTION("""COMPUTED_VALUE"""),"")</f>
        <v/>
      </c>
      <c r="AA34" s="11" t="str">
        <f>IFERROR(__xludf.DUMMYFUNCTION("""COMPUTED_VALUE"""),"")</f>
        <v/>
      </c>
      <c r="AB34" s="11" t="str">
        <f>IFERROR(__xludf.DUMMYFUNCTION("""COMPUTED_VALUE"""),"")</f>
        <v/>
      </c>
      <c r="AC34" s="11" t="str">
        <f>IFERROR(__xludf.DUMMYFUNCTION("""COMPUTED_VALUE"""),"")</f>
        <v/>
      </c>
      <c r="AD34" s="11" t="str">
        <f>IFERROR(__xludf.DUMMYFUNCTION("""COMPUTED_VALUE"""),"")</f>
        <v/>
      </c>
      <c r="AE34" s="11" t="str">
        <f>IFERROR(__xludf.DUMMYFUNCTION("""COMPUTED_VALUE"""),"")</f>
        <v/>
      </c>
      <c r="AF34" s="11" t="str">
        <f>IFERROR(__xludf.DUMMYFUNCTION("""COMPUTED_VALUE"""),"")</f>
        <v/>
      </c>
      <c r="AI34" s="7" t="s">
        <v>377</v>
      </c>
      <c r="AJ34" s="7" t="s">
        <v>25</v>
      </c>
      <c r="AK34" s="7" t="s">
        <v>121</v>
      </c>
    </row>
    <row r="35">
      <c r="A35" s="9" t="str">
        <f>IFERROR(__xludf.DUMMYFUNCTION("""COMPUTED_VALUE"""),"AG 8654 UZ")</f>
        <v>AG 8654 UZ</v>
      </c>
      <c r="B35" s="9" t="str">
        <f>IFERROR(__xludf.DUMMYFUNCTION("""COMPUTED_VALUE"""),"TLPG TJ PERAK")</f>
        <v>TLPG TJ PERAK</v>
      </c>
      <c r="C35" s="9" t="str">
        <f>IFERROR(__xludf.DUMMYFUNCTION("""COMPUTED_VALUE"""),"PT DIAN EL HADA")</f>
        <v>PT DIAN EL HADA</v>
      </c>
      <c r="D35" s="11">
        <f>IFERROR(__xludf.DUMMYFUNCTION("""COMPUTED_VALUE"""),173.6)</f>
        <v>173.6</v>
      </c>
      <c r="E35" s="11" t="str">
        <f>IFERROR(__xludf.DUMMYFUNCTION("""COMPUTED_VALUE"""),"JAUH")</f>
        <v>JAUH</v>
      </c>
      <c r="F35" s="11">
        <f>IFERROR(__xludf.DUMMYFUNCTION("""COMPUTED_VALUE"""),3.0)</f>
        <v>3</v>
      </c>
      <c r="G35" s="11">
        <f>IFERROR(__xludf.DUMMYFUNCTION("""COMPUTED_VALUE"""),4.0)</f>
        <v>4</v>
      </c>
      <c r="H35" s="11">
        <f>IFERROR(__xludf.DUMMYFUNCTION("""COMPUTED_VALUE"""),10.0)</f>
        <v>10</v>
      </c>
      <c r="I35" s="11">
        <v>10.0</v>
      </c>
      <c r="J35" s="11" t="str">
        <f>IFERROR(__xludf.DUMMYFUNCTION("""COMPUTED_VALUE"""),"NO")</f>
        <v>NO</v>
      </c>
      <c r="K35" s="11" t="str">
        <f>IFERROR(__xludf.DUMMYFUNCTION("""COMPUTED_VALUE"""),"DATA BARU")</f>
        <v>DATA BARU</v>
      </c>
      <c r="L35" s="11" t="str">
        <f>IFERROR(__xludf.DUMMYFUNCTION("""COMPUTED_VALUE"""),"TERMINAL")</f>
        <v>TERMINAL</v>
      </c>
      <c r="M35" s="11" t="str">
        <f>IFERROR(__xludf.DUMMYFUNCTION("""COMPUTED_VALUE"""),"PC")</f>
        <v>PC</v>
      </c>
      <c r="N35" s="11" t="str">
        <f>IFERROR(__xludf.DUMMYFUNCTION("""COMPUTED_VALUE"""),"KETERANGAN")</f>
        <v>KETERANGAN</v>
      </c>
      <c r="O35" s="11" t="str">
        <f>IFERROR(__xludf.DUMMYFUNCTION("""COMPUTED_VALUE"""),"")</f>
        <v/>
      </c>
      <c r="P35" s="32" t="str">
        <f>IFERROR(__xludf.DUMMYFUNCTION("""COMPUTED_VALUE"""),"NO")</f>
        <v>NO</v>
      </c>
      <c r="Q35" s="32" t="str">
        <f>IFERROR(__xludf.DUMMYFUNCTION("""COMPUTED_VALUE"""),"DATA BARU")</f>
        <v>DATA BARU</v>
      </c>
      <c r="R35" s="32" t="str">
        <f>IFERROR(__xludf.DUMMYFUNCTION("""COMPUTED_VALUE"""),"TERMINAL")</f>
        <v>TERMINAL</v>
      </c>
      <c r="S35" s="32" t="str">
        <f>IFERROR(__xludf.DUMMYFUNCTION("""COMPUTED_VALUE"""),"PC")</f>
        <v>PC</v>
      </c>
      <c r="T35" s="32" t="str">
        <f>IFERROR(__xludf.DUMMYFUNCTION("""COMPUTED_VALUE"""),"KETERANGAN")</f>
        <v>KETERANGAN</v>
      </c>
      <c r="U35" s="11" t="str">
        <f>IFERROR(__xludf.DUMMYFUNCTION("""COMPUTED_VALUE"""),"")</f>
        <v/>
      </c>
      <c r="V35" s="11" t="str">
        <f>IFERROR(__xludf.DUMMYFUNCTION("""COMPUTED_VALUE"""),"NO")</f>
        <v>NO</v>
      </c>
      <c r="W35" s="11" t="str">
        <f>IFERROR(__xludf.DUMMYFUNCTION("""COMPUTED_VALUE"""),"DATA BARU")</f>
        <v>DATA BARU</v>
      </c>
      <c r="X35" s="11" t="str">
        <f>IFERROR(__xludf.DUMMYFUNCTION("""COMPUTED_VALUE"""),"TERMINAL")</f>
        <v>TERMINAL</v>
      </c>
      <c r="Y35" s="11" t="str">
        <f>IFERROR(__xludf.DUMMYFUNCTION("""COMPUTED_VALUE"""),"PC")</f>
        <v>PC</v>
      </c>
      <c r="Z35" s="11" t="str">
        <f>IFERROR(__xludf.DUMMYFUNCTION("""COMPUTED_VALUE"""),"KETERANGAN")</f>
        <v>KETERANGAN</v>
      </c>
      <c r="AA35" s="11" t="str">
        <f>IFERROR(__xludf.DUMMYFUNCTION("""COMPUTED_VALUE"""),"")</f>
        <v/>
      </c>
      <c r="AB35" s="32" t="str">
        <f>IFERROR(__xludf.DUMMYFUNCTION("""COMPUTED_VALUE"""),"NO")</f>
        <v>NO</v>
      </c>
      <c r="AC35" s="32" t="str">
        <f>IFERROR(__xludf.DUMMYFUNCTION("""COMPUTED_VALUE"""),"DATA BARU")</f>
        <v>DATA BARU</v>
      </c>
      <c r="AD35" s="32" t="str">
        <f>IFERROR(__xludf.DUMMYFUNCTION("""COMPUTED_VALUE"""),"TERMINAL")</f>
        <v>TERMINAL</v>
      </c>
      <c r="AE35" s="32" t="str">
        <f>IFERROR(__xludf.DUMMYFUNCTION("""COMPUTED_VALUE"""),"PC")</f>
        <v>PC</v>
      </c>
      <c r="AF35" s="32" t="str">
        <f>IFERROR(__xludf.DUMMYFUNCTION("""COMPUTED_VALUE"""),"KETERANGAN")</f>
        <v>KETERANGAN</v>
      </c>
      <c r="AI35" s="46" t="s">
        <v>237</v>
      </c>
      <c r="AJ35" s="46" t="s">
        <v>28</v>
      </c>
      <c r="AK35" s="7" t="s">
        <v>121</v>
      </c>
    </row>
    <row r="36">
      <c r="A36" s="9" t="str">
        <f>IFERROR(__xludf.DUMMYFUNCTION("""COMPUTED_VALUE"""),"N 8041 UZ")</f>
        <v>N 8041 UZ</v>
      </c>
      <c r="B36" s="9" t="str">
        <f>IFERROR(__xludf.DUMMYFUNCTION("""COMPUTED_VALUE"""),"TLPG MEM GRESIK")</f>
        <v>TLPG MEM GRESIK</v>
      </c>
      <c r="C36" s="9" t="str">
        <f>IFERROR(__xludf.DUMMYFUNCTION("""COMPUTED_VALUE"""),"PT SINAR AGUNG PUTRA ABADI")</f>
        <v>PT SINAR AGUNG PUTRA ABADI</v>
      </c>
      <c r="D36" s="11">
        <f>IFERROR(__xludf.DUMMYFUNCTION("""COMPUTED_VALUE"""),173.6)</f>
        <v>173.6</v>
      </c>
      <c r="E36" s="11" t="str">
        <f>IFERROR(__xludf.DUMMYFUNCTION("""COMPUTED_VALUE"""),"JAUH")</f>
        <v>JAUH</v>
      </c>
      <c r="F36" s="11">
        <f>IFERROR(__xludf.DUMMYFUNCTION("""COMPUTED_VALUE"""),3.0)</f>
        <v>3</v>
      </c>
      <c r="G36" s="11">
        <f>IFERROR(__xludf.DUMMYFUNCTION("""COMPUTED_VALUE"""),8.0)</f>
        <v>8</v>
      </c>
      <c r="H36" s="11">
        <f>IFERROR(__xludf.DUMMYFUNCTION("""COMPUTED_VALUE"""),11.0)</f>
        <v>11</v>
      </c>
      <c r="I36" s="11">
        <v>11.0</v>
      </c>
      <c r="J36" s="11">
        <f>IFERROR(__xludf.DUMMYFUNCTION("""COMPUTED_VALUE"""),1.0)</f>
        <v>1</v>
      </c>
      <c r="K36" s="11" t="str">
        <f>IFERROR(__xludf.DUMMYFUNCTION("""COMPUTED_VALUE"""),"P 8208 UG")</f>
        <v>P 8208 UG</v>
      </c>
      <c r="L36" s="11" t="str">
        <f>IFERROR(__xludf.DUMMYFUNCTION("""COMPUTED_VALUE"""),"TLPG MEM GRESIK")</f>
        <v>TLPG MEM GRESIK</v>
      </c>
      <c r="M36" s="11">
        <f>IFERROR(__xludf.DUMMYFUNCTION("""COMPUTED_VALUE"""),5.0)</f>
        <v>5</v>
      </c>
      <c r="N36" s="11" t="str">
        <f>IFERROR(__xludf.DUMMYFUNCTION("""COMPUTED_VALUE"""),"PT TRI TUNGGAL ARGOPURO MANDIRI")</f>
        <v>PT TRI TUNGGAL ARGOPURO MANDIRI</v>
      </c>
      <c r="O36" s="11" t="str">
        <f>IFERROR(__xludf.DUMMYFUNCTION("""COMPUTED_VALUE"""),"")</f>
        <v/>
      </c>
      <c r="P36" s="32">
        <f>IFERROR(__xludf.DUMMYFUNCTION("""COMPUTED_VALUE"""),1.0)</f>
        <v>1</v>
      </c>
      <c r="Q36" s="32" t="str">
        <f>IFERROR(__xludf.DUMMYFUNCTION("""COMPUTED_VALUE"""),"P 9114 UG")</f>
        <v>P 9114 UG</v>
      </c>
      <c r="R36" s="32" t="str">
        <f>IFERROR(__xludf.DUMMYFUNCTION("""COMPUTED_VALUE"""),"TLPG MEM GRESIK")</f>
        <v>TLPG MEM GRESIK</v>
      </c>
      <c r="S36" s="32">
        <f>IFERROR(__xludf.DUMMYFUNCTION("""COMPUTED_VALUE"""),6.0)</f>
        <v>6</v>
      </c>
      <c r="T36" s="32" t="str">
        <f>IFERROR(__xludf.DUMMYFUNCTION("""COMPUTED_VALUE"""),"PT TRI TUNGGAL ARGOPURO MANDIRI")</f>
        <v>PT TRI TUNGGAL ARGOPURO MANDIRI</v>
      </c>
      <c r="U36" s="11" t="str">
        <f>IFERROR(__xludf.DUMMYFUNCTION("""COMPUTED_VALUE"""),"")</f>
        <v/>
      </c>
      <c r="V36" s="11">
        <f>IFERROR(__xludf.DUMMYFUNCTION("""COMPUTED_VALUE"""),1.0)</f>
        <v>1</v>
      </c>
      <c r="W36" s="11" t="str">
        <f>IFERROR(__xludf.DUMMYFUNCTION("""COMPUTED_VALUE"""),"AE 8845 UT")</f>
        <v>AE 8845 UT</v>
      </c>
      <c r="X36" s="11" t="str">
        <f>IFERROR(__xludf.DUMMYFUNCTION("""COMPUTED_VALUE"""),"TLPG TJ PERAK")</f>
        <v>TLPG TJ PERAK</v>
      </c>
      <c r="Y36" s="11">
        <f>IFERROR(__xludf.DUMMYFUNCTION("""COMPUTED_VALUE"""),7.0)</f>
        <v>7</v>
      </c>
      <c r="Z36" s="11" t="str">
        <f>IFERROR(__xludf.DUMMYFUNCTION("""COMPUTED_VALUE"""),"PT BUANA KARYA SURYA PRATAMA")</f>
        <v>PT BUANA KARYA SURYA PRATAMA</v>
      </c>
      <c r="AA36" s="11" t="str">
        <f>IFERROR(__xludf.DUMMYFUNCTION("""COMPUTED_VALUE"""),"")</f>
        <v/>
      </c>
      <c r="AB36" s="32">
        <f>IFERROR(__xludf.DUMMYFUNCTION("""COMPUTED_VALUE"""),1.0)</f>
        <v>1</v>
      </c>
      <c r="AC36" s="32" t="str">
        <f>IFERROR(__xludf.DUMMYFUNCTION("""COMPUTED_VALUE"""),"AE 8846 UT")</f>
        <v>AE 8846 UT</v>
      </c>
      <c r="AD36" s="32" t="str">
        <f>IFERROR(__xludf.DUMMYFUNCTION("""COMPUTED_VALUE"""),"TLPG TJ PERAK")</f>
        <v>TLPG TJ PERAK</v>
      </c>
      <c r="AE36" s="32">
        <f>IFERROR(__xludf.DUMMYFUNCTION("""COMPUTED_VALUE"""),8.0)</f>
        <v>8</v>
      </c>
      <c r="AF36" s="32" t="str">
        <f>IFERROR(__xludf.DUMMYFUNCTION("""COMPUTED_VALUE"""),"PT BUANA KARYA SURYA PRATAMA")</f>
        <v>PT BUANA KARYA SURYA PRATAMA</v>
      </c>
      <c r="AI36" s="46" t="s">
        <v>269</v>
      </c>
      <c r="AJ36" s="46" t="s">
        <v>28</v>
      </c>
      <c r="AK36" s="7" t="s">
        <v>121</v>
      </c>
    </row>
    <row r="37">
      <c r="A37" s="9" t="str">
        <f>IFERROR(__xludf.DUMMYFUNCTION("""COMPUTED_VALUE"""),"N 8025 UZ")</f>
        <v>N 8025 UZ</v>
      </c>
      <c r="B37" s="9" t="str">
        <f>IFERROR(__xludf.DUMMYFUNCTION("""COMPUTED_VALUE"""),"TLPG MEM GRESIK")</f>
        <v>TLPG MEM GRESIK</v>
      </c>
      <c r="C37" s="9" t="str">
        <f>IFERROR(__xludf.DUMMYFUNCTION("""COMPUTED_VALUE"""),"PT SINAR AGUNG PUTRA ABADI")</f>
        <v>PT SINAR AGUNG PUTRA ABADI</v>
      </c>
      <c r="D37" s="11">
        <f>IFERROR(__xludf.DUMMYFUNCTION("""COMPUTED_VALUE"""),173.6)</f>
        <v>173.6</v>
      </c>
      <c r="E37" s="11" t="str">
        <f>IFERROR(__xludf.DUMMYFUNCTION("""COMPUTED_VALUE"""),"JAUH")</f>
        <v>JAUH</v>
      </c>
      <c r="F37" s="11">
        <f>IFERROR(__xludf.DUMMYFUNCTION("""COMPUTED_VALUE"""),3.0)</f>
        <v>3</v>
      </c>
      <c r="G37" s="11">
        <f>IFERROR(__xludf.DUMMYFUNCTION("""COMPUTED_VALUE"""),12.0)</f>
        <v>12</v>
      </c>
      <c r="H37" s="11">
        <f>IFERROR(__xludf.DUMMYFUNCTION("""COMPUTED_VALUE"""),12.0)</f>
        <v>12</v>
      </c>
      <c r="I37" s="11">
        <v>12.0</v>
      </c>
      <c r="J37" s="11">
        <f>IFERROR(__xludf.DUMMYFUNCTION("""COMPUTED_VALUE"""),2.0)</f>
        <v>2</v>
      </c>
      <c r="K37" s="11" t="str">
        <f>IFERROR(__xludf.DUMMYFUNCTION("""COMPUTED_VALUE"""),"AE 8828 UQ")</f>
        <v>AE 8828 UQ</v>
      </c>
      <c r="L37" s="11" t="str">
        <f>IFERROR(__xludf.DUMMYFUNCTION("""COMPUTED_VALUE"""),"TLPG TJ PERAK")</f>
        <v>TLPG TJ PERAK</v>
      </c>
      <c r="M37" s="11">
        <f>IFERROR(__xludf.DUMMYFUNCTION("""COMPUTED_VALUE"""),5.0)</f>
        <v>5</v>
      </c>
      <c r="N37" s="11" t="str">
        <f>IFERROR(__xludf.DUMMYFUNCTION("""COMPUTED_VALUE"""),"PT SEKAWAN GAS NUSA")</f>
        <v>PT SEKAWAN GAS NUSA</v>
      </c>
      <c r="O37" s="11" t="str">
        <f>IFERROR(__xludf.DUMMYFUNCTION("""COMPUTED_VALUE"""),"")</f>
        <v/>
      </c>
      <c r="P37" s="32">
        <f>IFERROR(__xludf.DUMMYFUNCTION("""COMPUTED_VALUE"""),2.0)</f>
        <v>2</v>
      </c>
      <c r="Q37" s="32" t="str">
        <f>IFERROR(__xludf.DUMMYFUNCTION("""COMPUTED_VALUE"""),"AG 8032 YQ")</f>
        <v>AG 8032 YQ</v>
      </c>
      <c r="R37" s="32" t="str">
        <f>IFERROR(__xludf.DUMMYFUNCTION("""COMPUTED_VALUE"""),"TLPG TJ PERAK")</f>
        <v>TLPG TJ PERAK</v>
      </c>
      <c r="S37" s="32">
        <f>IFERROR(__xludf.DUMMYFUNCTION("""COMPUTED_VALUE"""),6.0)</f>
        <v>6</v>
      </c>
      <c r="T37" s="32" t="str">
        <f>IFERROR(__xludf.DUMMYFUNCTION("""COMPUTED_VALUE"""),"PT BINTANG CIPTA PERSADA")</f>
        <v>PT BINTANG CIPTA PERSADA</v>
      </c>
      <c r="U37" s="11" t="str">
        <f>IFERROR(__xludf.DUMMYFUNCTION("""COMPUTED_VALUE"""),"")</f>
        <v/>
      </c>
      <c r="V37" s="11">
        <f>IFERROR(__xludf.DUMMYFUNCTION("""COMPUTED_VALUE"""),2.0)</f>
        <v>2</v>
      </c>
      <c r="W37" s="11" t="str">
        <f>IFERROR(__xludf.DUMMYFUNCTION("""COMPUTED_VALUE"""),"AG 9312 UW")</f>
        <v>AG 9312 UW</v>
      </c>
      <c r="X37" s="11" t="str">
        <f>IFERROR(__xludf.DUMMYFUNCTION("""COMPUTED_VALUE"""),"TLPG TJ PERAK")</f>
        <v>TLPG TJ PERAK</v>
      </c>
      <c r="Y37" s="11">
        <f>IFERROR(__xludf.DUMMYFUNCTION("""COMPUTED_VALUE"""),7.0)</f>
        <v>7</v>
      </c>
      <c r="Z37" s="11" t="str">
        <f>IFERROR(__xludf.DUMMYFUNCTION("""COMPUTED_VALUE"""),"PT LAJU")</f>
        <v>PT LAJU</v>
      </c>
      <c r="AA37" s="11" t="str">
        <f>IFERROR(__xludf.DUMMYFUNCTION("""COMPUTED_VALUE"""),"")</f>
        <v/>
      </c>
      <c r="AB37" s="32">
        <f>IFERROR(__xludf.DUMMYFUNCTION("""COMPUTED_VALUE"""),2.0)</f>
        <v>2</v>
      </c>
      <c r="AC37" s="32" t="str">
        <f>IFERROR(__xludf.DUMMYFUNCTION("""COMPUTED_VALUE"""),"L 8537 UD")</f>
        <v>L 8537 UD</v>
      </c>
      <c r="AD37" s="32" t="str">
        <f>IFERROR(__xludf.DUMMYFUNCTION("""COMPUTED_VALUE"""),"TLPG TJ PERAK")</f>
        <v>TLPG TJ PERAK</v>
      </c>
      <c r="AE37" s="32">
        <f>IFERROR(__xludf.DUMMYFUNCTION("""COMPUTED_VALUE"""),8.0)</f>
        <v>8</v>
      </c>
      <c r="AF37" s="32" t="str">
        <f>IFERROR(__xludf.DUMMYFUNCTION("""COMPUTED_VALUE"""),"PT GOENADI GASINDO PRATAMA")</f>
        <v>PT GOENADI GASINDO PRATAMA</v>
      </c>
      <c r="AI37" s="46"/>
      <c r="AJ37" s="46"/>
      <c r="AK37" s="7"/>
    </row>
    <row r="38">
      <c r="A38" s="9" t="str">
        <f>IFERROR(__xludf.DUMMYFUNCTION("""COMPUTED_VALUE"""),"N 9287 UN")</f>
        <v>N 9287 UN</v>
      </c>
      <c r="B38" s="9" t="str">
        <f>IFERROR(__xludf.DUMMYFUNCTION("""COMPUTED_VALUE"""),"TLPG TJ WANGI")</f>
        <v>TLPG TJ WANGI</v>
      </c>
      <c r="C38" s="9" t="str">
        <f>IFERROR(__xludf.DUMMYFUNCTION("""COMPUTED_VALUE"""),"PT HAKAMINDO PETROCHEM")</f>
        <v>PT HAKAMINDO PETROCHEM</v>
      </c>
      <c r="D38" s="11">
        <f>IFERROR(__xludf.DUMMYFUNCTION("""COMPUTED_VALUE"""),171.9)</f>
        <v>171.9</v>
      </c>
      <c r="E38" s="11" t="str">
        <f>IFERROR(__xludf.DUMMYFUNCTION("""COMPUTED_VALUE"""),"JAUH")</f>
        <v>JAUH</v>
      </c>
      <c r="F38" s="11">
        <f>IFERROR(__xludf.DUMMYFUNCTION("""COMPUTED_VALUE"""),3.0)</f>
        <v>3</v>
      </c>
      <c r="G38" s="11">
        <f>IFERROR(__xludf.DUMMYFUNCTION("""COMPUTED_VALUE"""),4.0)</f>
        <v>4</v>
      </c>
      <c r="H38" s="11">
        <f>IFERROR(__xludf.DUMMYFUNCTION("""COMPUTED_VALUE"""),1.0)</f>
        <v>1</v>
      </c>
      <c r="I38" s="11">
        <v>1.0</v>
      </c>
      <c r="J38" s="11">
        <f>IFERROR(__xludf.DUMMYFUNCTION("""COMPUTED_VALUE"""),3.0)</f>
        <v>3</v>
      </c>
      <c r="K38" s="11" t="str">
        <f>IFERROR(__xludf.DUMMYFUNCTION("""COMPUTED_VALUE"""),"AG 9876 RK")</f>
        <v>AG 9876 RK</v>
      </c>
      <c r="L38" s="11" t="str">
        <f>IFERROR(__xludf.DUMMYFUNCTION("""COMPUTED_VALUE"""),"TLPG MEM GRESIK")</f>
        <v>TLPG MEM GRESIK</v>
      </c>
      <c r="M38" s="11">
        <f>IFERROR(__xludf.DUMMYFUNCTION("""COMPUTED_VALUE"""),5.0)</f>
        <v>5</v>
      </c>
      <c r="N38" s="11" t="str">
        <f>IFERROR(__xludf.DUMMYFUNCTION("""COMPUTED_VALUE"""),"PT BINTANG CIPTA PERSADA")</f>
        <v>PT BINTANG CIPTA PERSADA</v>
      </c>
      <c r="O38" s="11" t="str">
        <f>IFERROR(__xludf.DUMMYFUNCTION("""COMPUTED_VALUE"""),"")</f>
        <v/>
      </c>
      <c r="P38" s="32">
        <f>IFERROR(__xludf.DUMMYFUNCTION("""COMPUTED_VALUE"""),3.0)</f>
        <v>3</v>
      </c>
      <c r="Q38" s="32" t="str">
        <f>IFERROR(__xludf.DUMMYFUNCTION("""COMPUTED_VALUE"""),"AG 8702 UO")</f>
        <v>AG 8702 UO</v>
      </c>
      <c r="R38" s="32" t="str">
        <f>IFERROR(__xludf.DUMMYFUNCTION("""COMPUTED_VALUE"""),"TLPG TJ PERAK")</f>
        <v>TLPG TJ PERAK</v>
      </c>
      <c r="S38" s="32">
        <f>IFERROR(__xludf.DUMMYFUNCTION("""COMPUTED_VALUE"""),6.0)</f>
        <v>6</v>
      </c>
      <c r="T38" s="32" t="str">
        <f>IFERROR(__xludf.DUMMYFUNCTION("""COMPUTED_VALUE"""),"PT MODERNA TEHNIK PERKASA")</f>
        <v>PT MODERNA TEHNIK PERKASA</v>
      </c>
      <c r="U38" s="11" t="str">
        <f>IFERROR(__xludf.DUMMYFUNCTION("""COMPUTED_VALUE"""),"")</f>
        <v/>
      </c>
      <c r="V38" s="11">
        <f>IFERROR(__xludf.DUMMYFUNCTION("""COMPUTED_VALUE"""),3.0)</f>
        <v>3</v>
      </c>
      <c r="W38" s="11" t="str">
        <f>IFERROR(__xludf.DUMMYFUNCTION("""COMPUTED_VALUE"""),"AG 8717 UO")</f>
        <v>AG 8717 UO</v>
      </c>
      <c r="X38" s="11" t="str">
        <f>IFERROR(__xludf.DUMMYFUNCTION("""COMPUTED_VALUE"""),"TLPG TJ PERAK")</f>
        <v>TLPG TJ PERAK</v>
      </c>
      <c r="Y38" s="11">
        <f>IFERROR(__xludf.DUMMYFUNCTION("""COMPUTED_VALUE"""),7.0)</f>
        <v>7</v>
      </c>
      <c r="Z38" s="11" t="str">
        <f>IFERROR(__xludf.DUMMYFUNCTION("""COMPUTED_VALUE"""),"PT MODERNA TEHNIK PERKASA")</f>
        <v>PT MODERNA TEHNIK PERKASA</v>
      </c>
      <c r="AA38" s="11" t="str">
        <f>IFERROR(__xludf.DUMMYFUNCTION("""COMPUTED_VALUE"""),"")</f>
        <v/>
      </c>
      <c r="AB38" s="32">
        <f>IFERROR(__xludf.DUMMYFUNCTION("""COMPUTED_VALUE"""),3.0)</f>
        <v>3</v>
      </c>
      <c r="AC38" s="32" t="str">
        <f>IFERROR(__xludf.DUMMYFUNCTION("""COMPUTED_VALUE"""),"L 9718 UD")</f>
        <v>L 9718 UD</v>
      </c>
      <c r="AD38" s="32" t="str">
        <f>IFERROR(__xludf.DUMMYFUNCTION("""COMPUTED_VALUE"""),"TLPG TJ PERAK")</f>
        <v>TLPG TJ PERAK</v>
      </c>
      <c r="AE38" s="32">
        <f>IFERROR(__xludf.DUMMYFUNCTION("""COMPUTED_VALUE"""),8.0)</f>
        <v>8</v>
      </c>
      <c r="AF38" s="32" t="str">
        <f>IFERROR(__xludf.DUMMYFUNCTION("""COMPUTED_VALUE"""),"PT GEHA INTI CITRA")</f>
        <v>PT GEHA INTI CITRA</v>
      </c>
    </row>
    <row r="39">
      <c r="A39" s="9" t="str">
        <f>IFERROR(__xludf.DUMMYFUNCTION("""COMPUTED_VALUE"""),"N 8435 UZ")</f>
        <v>N 8435 UZ</v>
      </c>
      <c r="B39" s="9" t="str">
        <f>IFERROR(__xludf.DUMMYFUNCTION("""COMPUTED_VALUE"""),"TLPG MEM GRESIK")</f>
        <v>TLPG MEM GRESIK</v>
      </c>
      <c r="C39" s="9" t="str">
        <f>IFERROR(__xludf.DUMMYFUNCTION("""COMPUTED_VALUE"""),"PT SENTOSA GASINDO RAYA")</f>
        <v>PT SENTOSA GASINDO RAYA</v>
      </c>
      <c r="D39" s="11">
        <f>IFERROR(__xludf.DUMMYFUNCTION("""COMPUTED_VALUE"""),169.5)</f>
        <v>169.5</v>
      </c>
      <c r="E39" s="11" t="str">
        <f>IFERROR(__xludf.DUMMYFUNCTION("""COMPUTED_VALUE"""),"JAUH")</f>
        <v>JAUH</v>
      </c>
      <c r="F39" s="11">
        <f>IFERROR(__xludf.DUMMYFUNCTION("""COMPUTED_VALUE"""),3.0)</f>
        <v>3</v>
      </c>
      <c r="G39" s="11">
        <f>IFERROR(__xludf.DUMMYFUNCTION("""COMPUTED_VALUE"""),1.0)</f>
        <v>1</v>
      </c>
      <c r="H39" s="11">
        <f>IFERROR(__xludf.DUMMYFUNCTION("""COMPUTED_VALUE"""),2.0)</f>
        <v>2</v>
      </c>
      <c r="I39" s="11">
        <v>2.0</v>
      </c>
      <c r="J39" s="11">
        <f>IFERROR(__xludf.DUMMYFUNCTION("""COMPUTED_VALUE"""),4.0)</f>
        <v>4</v>
      </c>
      <c r="K39" s="11" t="str">
        <f>IFERROR(__xludf.DUMMYFUNCTION("""COMPUTED_VALUE"""),"AG 8701 UO")</f>
        <v>AG 8701 UO</v>
      </c>
      <c r="L39" s="11" t="str">
        <f>IFERROR(__xludf.DUMMYFUNCTION("""COMPUTED_VALUE"""),"TLPG TJ PERAK")</f>
        <v>TLPG TJ PERAK</v>
      </c>
      <c r="M39" s="11">
        <f>IFERROR(__xludf.DUMMYFUNCTION("""COMPUTED_VALUE"""),5.0)</f>
        <v>5</v>
      </c>
      <c r="N39" s="11" t="str">
        <f>IFERROR(__xludf.DUMMYFUNCTION("""COMPUTED_VALUE"""),"PT MODERNA TEHNIK PERKASA")</f>
        <v>PT MODERNA TEHNIK PERKASA</v>
      </c>
      <c r="O39" s="11" t="str">
        <f>IFERROR(__xludf.DUMMYFUNCTION("""COMPUTED_VALUE"""),"")</f>
        <v/>
      </c>
      <c r="P39" s="32">
        <f>IFERROR(__xludf.DUMMYFUNCTION("""COMPUTED_VALUE"""),4.0)</f>
        <v>4</v>
      </c>
      <c r="Q39" s="32" t="str">
        <f>IFERROR(__xludf.DUMMYFUNCTION("""COMPUTED_VALUE"""),"AG 8223 LB")</f>
        <v>AG 8223 LB</v>
      </c>
      <c r="R39" s="32" t="str">
        <f>IFERROR(__xludf.DUMMYFUNCTION("""COMPUTED_VALUE"""),"TLPG TJ PERAK")</f>
        <v>TLPG TJ PERAK</v>
      </c>
      <c r="S39" s="32">
        <f>IFERROR(__xludf.DUMMYFUNCTION("""COMPUTED_VALUE"""),6.0)</f>
        <v>6</v>
      </c>
      <c r="T39" s="32" t="str">
        <f>IFERROR(__xludf.DUMMYFUNCTION("""COMPUTED_VALUE"""),"PT RAMA MANGGALA GAS")</f>
        <v>PT RAMA MANGGALA GAS</v>
      </c>
      <c r="U39" s="11" t="str">
        <f>IFERROR(__xludf.DUMMYFUNCTION("""COMPUTED_VALUE"""),"")</f>
        <v/>
      </c>
      <c r="V39" s="11">
        <f>IFERROR(__xludf.DUMMYFUNCTION("""COMPUTED_VALUE"""),4.0)</f>
        <v>4</v>
      </c>
      <c r="W39" s="11" t="str">
        <f>IFERROR(__xludf.DUMMYFUNCTION("""COMPUTED_VALUE"""),"AG 8817 UK")</f>
        <v>AG 8817 UK</v>
      </c>
      <c r="X39" s="11" t="str">
        <f>IFERROR(__xludf.DUMMYFUNCTION("""COMPUTED_VALUE"""),"TLPG TJ PERAK")</f>
        <v>TLPG TJ PERAK</v>
      </c>
      <c r="Y39" s="11">
        <f>IFERROR(__xludf.DUMMYFUNCTION("""COMPUTED_VALUE"""),7.0)</f>
        <v>7</v>
      </c>
      <c r="Z39" s="11" t="str">
        <f>IFERROR(__xludf.DUMMYFUNCTION("""COMPUTED_VALUE"""),"PT RAMA MANGGALA GAS")</f>
        <v>PT RAMA MANGGALA GAS</v>
      </c>
      <c r="AA39" s="11" t="str">
        <f>IFERROR(__xludf.DUMMYFUNCTION("""COMPUTED_VALUE"""),"")</f>
        <v/>
      </c>
      <c r="AB39" s="32">
        <f>IFERROR(__xludf.DUMMYFUNCTION("""COMPUTED_VALUE"""),4.0)</f>
        <v>4</v>
      </c>
      <c r="AC39" s="32" t="str">
        <f>IFERROR(__xludf.DUMMYFUNCTION("""COMPUTED_VALUE"""),"AG 8818 UK")</f>
        <v>AG 8818 UK</v>
      </c>
      <c r="AD39" s="32" t="str">
        <f>IFERROR(__xludf.DUMMYFUNCTION("""COMPUTED_VALUE"""),"TLPG TJ PERAK")</f>
        <v>TLPG TJ PERAK</v>
      </c>
      <c r="AE39" s="32">
        <f>IFERROR(__xludf.DUMMYFUNCTION("""COMPUTED_VALUE"""),8.0)</f>
        <v>8</v>
      </c>
      <c r="AF39" s="32" t="str">
        <f>IFERROR(__xludf.DUMMYFUNCTION("""COMPUTED_VALUE"""),"PT RAMA MANGGALA GAS")</f>
        <v>PT RAMA MANGGALA GAS</v>
      </c>
    </row>
    <row r="40">
      <c r="A40" s="9" t="str">
        <f>IFERROR(__xludf.DUMMYFUNCTION("""COMPUTED_VALUE"""),"L 9155 UB")</f>
        <v>L 9155 UB</v>
      </c>
      <c r="B40" s="9" t="str">
        <f>IFERROR(__xludf.DUMMYFUNCTION("""COMPUTED_VALUE"""),"TLPG TJ PERAK")</f>
        <v>TLPG TJ PERAK</v>
      </c>
      <c r="C40" s="9" t="str">
        <f>IFERROR(__xludf.DUMMYFUNCTION("""COMPUTED_VALUE"""),"PT AGUNG CATUR UTAMA GROUP")</f>
        <v>PT AGUNG CATUR UTAMA GROUP</v>
      </c>
      <c r="D40" s="11">
        <f>IFERROR(__xludf.DUMMYFUNCTION("""COMPUTED_VALUE"""),168.5)</f>
        <v>168.5</v>
      </c>
      <c r="E40" s="11" t="str">
        <f>IFERROR(__xludf.DUMMYFUNCTION("""COMPUTED_VALUE"""),"JAUH")</f>
        <v>JAUH</v>
      </c>
      <c r="F40" s="11">
        <f>IFERROR(__xludf.DUMMYFUNCTION("""COMPUTED_VALUE"""),3.0)</f>
        <v>3</v>
      </c>
      <c r="G40" s="11">
        <f>IFERROR(__xludf.DUMMYFUNCTION("""COMPUTED_VALUE"""),2.0)</f>
        <v>2</v>
      </c>
      <c r="H40" s="11">
        <f>IFERROR(__xludf.DUMMYFUNCTION("""COMPUTED_VALUE"""),3.0)</f>
        <v>3</v>
      </c>
      <c r="I40" s="11">
        <v>3.0</v>
      </c>
      <c r="J40" s="11">
        <f>IFERROR(__xludf.DUMMYFUNCTION("""COMPUTED_VALUE"""),5.0)</f>
        <v>5</v>
      </c>
      <c r="K40" s="11" t="str">
        <f>IFERROR(__xludf.DUMMYFUNCTION("""COMPUTED_VALUE"""),"AG 8152 UL")</f>
        <v>AG 8152 UL</v>
      </c>
      <c r="L40" s="11" t="str">
        <f>IFERROR(__xludf.DUMMYFUNCTION("""COMPUTED_VALUE"""),"TLPG TJ PERAK")</f>
        <v>TLPG TJ PERAK</v>
      </c>
      <c r="M40" s="11">
        <f>IFERROR(__xludf.DUMMYFUNCTION("""COMPUTED_VALUE"""),5.0)</f>
        <v>5</v>
      </c>
      <c r="N40" s="11" t="str">
        <f>IFERROR(__xludf.DUMMYFUNCTION("""COMPUTED_VALUE"""),"PT RAMA MANGGALA GAS")</f>
        <v>PT RAMA MANGGALA GAS</v>
      </c>
      <c r="O40" s="11" t="str">
        <f>IFERROR(__xludf.DUMMYFUNCTION("""COMPUTED_VALUE"""),"")</f>
        <v/>
      </c>
      <c r="P40" s="32">
        <f>IFERROR(__xludf.DUMMYFUNCTION("""COMPUTED_VALUE"""),5.0)</f>
        <v>5</v>
      </c>
      <c r="Q40" s="32" t="str">
        <f>IFERROR(__xludf.DUMMYFUNCTION("""COMPUTED_VALUE"""),"AE 8458 UF")</f>
        <v>AE 8458 UF</v>
      </c>
      <c r="R40" s="32" t="str">
        <f>IFERROR(__xludf.DUMMYFUNCTION("""COMPUTED_VALUE"""),"TLPG TJ PERAK")</f>
        <v>TLPG TJ PERAK</v>
      </c>
      <c r="S40" s="32">
        <f>IFERROR(__xludf.DUMMYFUNCTION("""COMPUTED_VALUE"""),6.0)</f>
        <v>6</v>
      </c>
      <c r="T40" s="32" t="str">
        <f>IFERROR(__xludf.DUMMYFUNCTION("""COMPUTED_VALUE"""),"PT MADIUNI ELPIJI")</f>
        <v>PT MADIUNI ELPIJI</v>
      </c>
      <c r="U40" s="11" t="str">
        <f>IFERROR(__xludf.DUMMYFUNCTION("""COMPUTED_VALUE"""),"")</f>
        <v/>
      </c>
      <c r="V40" s="11">
        <f>IFERROR(__xludf.DUMMYFUNCTION("""COMPUTED_VALUE"""),5.0)</f>
        <v>5</v>
      </c>
      <c r="W40" s="11" t="str">
        <f>IFERROR(__xludf.DUMMYFUNCTION("""COMPUTED_VALUE"""),"AE 8459 UF")</f>
        <v>AE 8459 UF</v>
      </c>
      <c r="X40" s="11" t="str">
        <f>IFERROR(__xludf.DUMMYFUNCTION("""COMPUTED_VALUE"""),"TLPG TJ PERAK")</f>
        <v>TLPG TJ PERAK</v>
      </c>
      <c r="Y40" s="11">
        <f>IFERROR(__xludf.DUMMYFUNCTION("""COMPUTED_VALUE"""),7.0)</f>
        <v>7</v>
      </c>
      <c r="Z40" s="11" t="str">
        <f>IFERROR(__xludf.DUMMYFUNCTION("""COMPUTED_VALUE"""),"PT MADIUNI ELPIJI")</f>
        <v>PT MADIUNI ELPIJI</v>
      </c>
      <c r="AA40" s="11" t="str">
        <f>IFERROR(__xludf.DUMMYFUNCTION("""COMPUTED_VALUE"""),"")</f>
        <v/>
      </c>
      <c r="AB40" s="32">
        <f>IFERROR(__xludf.DUMMYFUNCTION("""COMPUTED_VALUE"""),5.0)</f>
        <v>5</v>
      </c>
      <c r="AC40" s="32" t="str">
        <f>IFERROR(__xludf.DUMMYFUNCTION("""COMPUTED_VALUE"""),"M 8016 UV")</f>
        <v>M 8016 UV</v>
      </c>
      <c r="AD40" s="32" t="str">
        <f>IFERROR(__xludf.DUMMYFUNCTION("""COMPUTED_VALUE"""),"TLPG TJ PERAK")</f>
        <v>TLPG TJ PERAK</v>
      </c>
      <c r="AE40" s="32">
        <f>IFERROR(__xludf.DUMMYFUNCTION("""COMPUTED_VALUE"""),8.0)</f>
        <v>8</v>
      </c>
      <c r="AF40" s="32" t="str">
        <f>IFERROR(__xludf.DUMMYFUNCTION("""COMPUTED_VALUE"""),"PT MITRA MADURA DHARMA ABADI")</f>
        <v>PT MITRA MADURA DHARMA ABADI</v>
      </c>
    </row>
    <row r="41">
      <c r="A41" s="9" t="str">
        <f>IFERROR(__xludf.DUMMYFUNCTION("""COMPUTED_VALUE"""),"AG 8380 KL")</f>
        <v>AG 8380 KL</v>
      </c>
      <c r="B41" s="9" t="str">
        <f>IFERROR(__xludf.DUMMYFUNCTION("""COMPUTED_VALUE"""),"TLPG TJ PERAK")</f>
        <v>TLPG TJ PERAK</v>
      </c>
      <c r="C41" s="9" t="str">
        <f>IFERROR(__xludf.DUMMYFUNCTION("""COMPUTED_VALUE"""),"PT AGUNG CATUR UTAMA GROUP")</f>
        <v>PT AGUNG CATUR UTAMA GROUP</v>
      </c>
      <c r="D41" s="11">
        <f>IFERROR(__xludf.DUMMYFUNCTION("""COMPUTED_VALUE"""),168.5)</f>
        <v>168.5</v>
      </c>
      <c r="E41" s="11" t="str">
        <f>IFERROR(__xludf.DUMMYFUNCTION("""COMPUTED_VALUE"""),"JAUH")</f>
        <v>JAUH</v>
      </c>
      <c r="F41" s="11">
        <f>IFERROR(__xludf.DUMMYFUNCTION("""COMPUTED_VALUE"""),3.0)</f>
        <v>3</v>
      </c>
      <c r="G41" s="11">
        <f>IFERROR(__xludf.DUMMYFUNCTION("""COMPUTED_VALUE"""),3.0)</f>
        <v>3</v>
      </c>
      <c r="H41" s="11">
        <f>IFERROR(__xludf.DUMMYFUNCTION("""COMPUTED_VALUE"""),4.0)</f>
        <v>4</v>
      </c>
      <c r="I41" s="11">
        <v>4.0</v>
      </c>
      <c r="J41" s="11">
        <f>IFERROR(__xludf.DUMMYFUNCTION("""COMPUTED_VALUE"""),6.0)</f>
        <v>6</v>
      </c>
      <c r="K41" s="11" t="str">
        <f>IFERROR(__xludf.DUMMYFUNCTION("""COMPUTED_VALUE"""),"AE 8175 UC")</f>
        <v>AE 8175 UC</v>
      </c>
      <c r="L41" s="11" t="str">
        <f>IFERROR(__xludf.DUMMYFUNCTION("""COMPUTED_VALUE"""),"TLPG TJ PERAK")</f>
        <v>TLPG TJ PERAK</v>
      </c>
      <c r="M41" s="11">
        <f>IFERROR(__xludf.DUMMYFUNCTION("""COMPUTED_VALUE"""),5.0)</f>
        <v>5</v>
      </c>
      <c r="N41" s="11" t="str">
        <f>IFERROR(__xludf.DUMMYFUNCTION("""COMPUTED_VALUE"""),"PT MADIUNI ELPIJI")</f>
        <v>PT MADIUNI ELPIJI</v>
      </c>
      <c r="O41" s="11" t="str">
        <f>IFERROR(__xludf.DUMMYFUNCTION("""COMPUTED_VALUE"""),"")</f>
        <v/>
      </c>
      <c r="P41" s="32">
        <f>IFERROR(__xludf.DUMMYFUNCTION("""COMPUTED_VALUE"""),6.0)</f>
        <v>6</v>
      </c>
      <c r="Q41" s="32" t="str">
        <f>IFERROR(__xludf.DUMMYFUNCTION("""COMPUTED_VALUE"""),"M 8978 UV")</f>
        <v>M 8978 UV</v>
      </c>
      <c r="R41" s="32" t="str">
        <f>IFERROR(__xludf.DUMMYFUNCTION("""COMPUTED_VALUE"""),"TLPG TJ PERAK")</f>
        <v>TLPG TJ PERAK</v>
      </c>
      <c r="S41" s="32">
        <f>IFERROR(__xludf.DUMMYFUNCTION("""COMPUTED_VALUE"""),6.0)</f>
        <v>6</v>
      </c>
      <c r="T41" s="32" t="str">
        <f>IFERROR(__xludf.DUMMYFUNCTION("""COMPUTED_VALUE"""),"PT PERAK POLANA ALOMAMPA")</f>
        <v>PT PERAK POLANA ALOMAMPA</v>
      </c>
      <c r="U41" s="11" t="str">
        <f>IFERROR(__xludf.DUMMYFUNCTION("""COMPUTED_VALUE"""),"")</f>
        <v/>
      </c>
      <c r="V41" s="11">
        <f>IFERROR(__xludf.DUMMYFUNCTION("""COMPUTED_VALUE"""),6.0)</f>
        <v>6</v>
      </c>
      <c r="W41" s="11" t="str">
        <f>IFERROR(__xludf.DUMMYFUNCTION("""COMPUTED_VALUE"""),"M 9006 UV")</f>
        <v>M 9006 UV</v>
      </c>
      <c r="X41" s="11" t="str">
        <f>IFERROR(__xludf.DUMMYFUNCTION("""COMPUTED_VALUE"""),"TLPG TJ PERAK")</f>
        <v>TLPG TJ PERAK</v>
      </c>
      <c r="Y41" s="11">
        <f>IFERROR(__xludf.DUMMYFUNCTION("""COMPUTED_VALUE"""),7.0)</f>
        <v>7</v>
      </c>
      <c r="Z41" s="11" t="str">
        <f>IFERROR(__xludf.DUMMYFUNCTION("""COMPUTED_VALUE"""),"PT PERAK POLANA ALOMAMPA")</f>
        <v>PT PERAK POLANA ALOMAMPA</v>
      </c>
      <c r="AA41" s="11" t="str">
        <f>IFERROR(__xludf.DUMMYFUNCTION("""COMPUTED_VALUE"""),"")</f>
        <v/>
      </c>
      <c r="AB41" s="32">
        <f>IFERROR(__xludf.DUMMYFUNCTION("""COMPUTED_VALUE"""),6.0)</f>
        <v>6</v>
      </c>
      <c r="AC41" s="32" t="str">
        <f>IFERROR(__xludf.DUMMYFUNCTION("""COMPUTED_VALUE"""),"M 9321 UV")</f>
        <v>M 9321 UV</v>
      </c>
      <c r="AD41" s="32" t="str">
        <f>IFERROR(__xludf.DUMMYFUNCTION("""COMPUTED_VALUE"""),"TLPG TJ PERAK")</f>
        <v>TLPG TJ PERAK</v>
      </c>
      <c r="AE41" s="32">
        <f>IFERROR(__xludf.DUMMYFUNCTION("""COMPUTED_VALUE"""),8.0)</f>
        <v>8</v>
      </c>
      <c r="AF41" s="32" t="str">
        <f>IFERROR(__xludf.DUMMYFUNCTION("""COMPUTED_VALUE"""),"PT PERAK POLANA ALOMAMPA")</f>
        <v>PT PERAK POLANA ALOMAMPA</v>
      </c>
    </row>
    <row r="42">
      <c r="A42" s="9" t="str">
        <f>IFERROR(__xludf.DUMMYFUNCTION("""COMPUTED_VALUE"""),"AG 8152 UL")</f>
        <v>AG 8152 UL</v>
      </c>
      <c r="B42" s="9" t="str">
        <f>IFERROR(__xludf.DUMMYFUNCTION("""COMPUTED_VALUE"""),"TLPG TJ PERAK")</f>
        <v>TLPG TJ PERAK</v>
      </c>
      <c r="C42" s="9" t="str">
        <f>IFERROR(__xludf.DUMMYFUNCTION("""COMPUTED_VALUE"""),"PT RAMA MANGGALA GAS")</f>
        <v>PT RAMA MANGGALA GAS</v>
      </c>
      <c r="D42" s="11">
        <f>IFERROR(__xludf.DUMMYFUNCTION("""COMPUTED_VALUE"""),167.6)</f>
        <v>167.6</v>
      </c>
      <c r="E42" s="11" t="str">
        <f>IFERROR(__xludf.DUMMYFUNCTION("""COMPUTED_VALUE"""),"JAUH")</f>
        <v>JAUH</v>
      </c>
      <c r="F42" s="11">
        <f>IFERROR(__xludf.DUMMYFUNCTION("""COMPUTED_VALUE"""),3.0)</f>
        <v>3</v>
      </c>
      <c r="G42" s="11">
        <f>IFERROR(__xludf.DUMMYFUNCTION("""COMPUTED_VALUE"""),3.0)</f>
        <v>3</v>
      </c>
      <c r="H42" s="11">
        <f>IFERROR(__xludf.DUMMYFUNCTION("""COMPUTED_VALUE"""),5.0)</f>
        <v>5</v>
      </c>
      <c r="I42" s="11">
        <v>5.0</v>
      </c>
      <c r="J42" s="11">
        <f>IFERROR(__xludf.DUMMYFUNCTION("""COMPUTED_VALUE"""),7.0)</f>
        <v>7</v>
      </c>
      <c r="K42" s="11" t="str">
        <f>IFERROR(__xludf.DUMMYFUNCTION("""COMPUTED_VALUE"""),"L 9532 UL")</f>
        <v>L 9532 UL</v>
      </c>
      <c r="L42" s="11" t="str">
        <f>IFERROR(__xludf.DUMMYFUNCTION("""COMPUTED_VALUE"""),"TLPG TJ PERAK")</f>
        <v>TLPG TJ PERAK</v>
      </c>
      <c r="M42" s="11">
        <f>IFERROR(__xludf.DUMMYFUNCTION("""COMPUTED_VALUE"""),5.0)</f>
        <v>5</v>
      </c>
      <c r="N42" s="11" t="str">
        <f>IFERROR(__xludf.DUMMYFUNCTION("""COMPUTED_VALUE"""),"PT HELA CITRA AGUNG")</f>
        <v>PT HELA CITRA AGUNG</v>
      </c>
      <c r="O42" s="11" t="str">
        <f>IFERROR(__xludf.DUMMYFUNCTION("""COMPUTED_VALUE"""),"")</f>
        <v/>
      </c>
      <c r="P42" s="32">
        <f>IFERROR(__xludf.DUMMYFUNCTION("""COMPUTED_VALUE"""),7.0)</f>
        <v>7</v>
      </c>
      <c r="Q42" s="32" t="str">
        <f>IFERROR(__xludf.DUMMYFUNCTION("""COMPUTED_VALUE"""),"AG 8129 UF")</f>
        <v>AG 8129 UF</v>
      </c>
      <c r="R42" s="32" t="str">
        <f>IFERROR(__xludf.DUMMYFUNCTION("""COMPUTED_VALUE"""),"TLPG TJ PERAK")</f>
        <v>TLPG TJ PERAK</v>
      </c>
      <c r="S42" s="32">
        <f>IFERROR(__xludf.DUMMYFUNCTION("""COMPUTED_VALUE"""),6.0)</f>
        <v>6</v>
      </c>
      <c r="T42" s="32" t="str">
        <f>IFERROR(__xludf.DUMMYFUNCTION("""COMPUTED_VALUE"""),"PT NARA RIZKA MANUNGGAL")</f>
        <v>PT NARA RIZKA MANUNGGAL</v>
      </c>
      <c r="U42" s="11" t="str">
        <f>IFERROR(__xludf.DUMMYFUNCTION("""COMPUTED_VALUE"""),"")</f>
        <v/>
      </c>
      <c r="V42" s="11">
        <f>IFERROR(__xludf.DUMMYFUNCTION("""COMPUTED_VALUE"""),7.0)</f>
        <v>7</v>
      </c>
      <c r="W42" s="11" t="str">
        <f>IFERROR(__xludf.DUMMYFUNCTION("""COMPUTED_VALUE"""),"S 8848 UF")</f>
        <v>S 8848 UF</v>
      </c>
      <c r="X42" s="11" t="str">
        <f>IFERROR(__xludf.DUMMYFUNCTION("""COMPUTED_VALUE"""),"TLPG MEM GRESIK")</f>
        <v>TLPG MEM GRESIK</v>
      </c>
      <c r="Y42" s="11">
        <f>IFERROR(__xludf.DUMMYFUNCTION("""COMPUTED_VALUE"""),7.0)</f>
        <v>7</v>
      </c>
      <c r="Z42" s="11" t="str">
        <f>IFERROR(__xludf.DUMMYFUNCTION("""COMPUTED_VALUE"""),"PT NAUMI ARUMAH ZOE")</f>
        <v>PT NAUMI ARUMAH ZOE</v>
      </c>
      <c r="AA42" s="11" t="str">
        <f>IFERROR(__xludf.DUMMYFUNCTION("""COMPUTED_VALUE"""),"")</f>
        <v/>
      </c>
      <c r="AB42" s="32">
        <f>IFERROR(__xludf.DUMMYFUNCTION("""COMPUTED_VALUE"""),7.0)</f>
        <v>7</v>
      </c>
      <c r="AC42" s="32" t="str">
        <f>IFERROR(__xludf.DUMMYFUNCTION("""COMPUTED_VALUE"""),"S 8940 UF")</f>
        <v>S 8940 UF</v>
      </c>
      <c r="AD42" s="32" t="str">
        <f>IFERROR(__xludf.DUMMYFUNCTION("""COMPUTED_VALUE"""),"TLPG MEM GRESIK")</f>
        <v>TLPG MEM GRESIK</v>
      </c>
      <c r="AE42" s="32">
        <f>IFERROR(__xludf.DUMMYFUNCTION("""COMPUTED_VALUE"""),8.0)</f>
        <v>8</v>
      </c>
      <c r="AF42" s="32" t="str">
        <f>IFERROR(__xludf.DUMMYFUNCTION("""COMPUTED_VALUE"""),"PT NAUMI ARUMAH ZOE")</f>
        <v>PT NAUMI ARUMAH ZOE</v>
      </c>
    </row>
    <row r="43">
      <c r="A43" s="9" t="str">
        <f>IFERROR(__xludf.DUMMYFUNCTION("""COMPUTED_VALUE"""),"AG 8223 LB")</f>
        <v>AG 8223 LB</v>
      </c>
      <c r="B43" s="9" t="str">
        <f>IFERROR(__xludf.DUMMYFUNCTION("""COMPUTED_VALUE"""),"TLPG TJ PERAK")</f>
        <v>TLPG TJ PERAK</v>
      </c>
      <c r="C43" s="9" t="str">
        <f>IFERROR(__xludf.DUMMYFUNCTION("""COMPUTED_VALUE"""),"PT RAMA MANGGALA GAS")</f>
        <v>PT RAMA MANGGALA GAS</v>
      </c>
      <c r="D43" s="11">
        <f>IFERROR(__xludf.DUMMYFUNCTION("""COMPUTED_VALUE"""),167.6)</f>
        <v>167.6</v>
      </c>
      <c r="E43" s="11" t="str">
        <f>IFERROR(__xludf.DUMMYFUNCTION("""COMPUTED_VALUE"""),"JAUH")</f>
        <v>JAUH</v>
      </c>
      <c r="F43" s="11">
        <f>IFERROR(__xludf.DUMMYFUNCTION("""COMPUTED_VALUE"""),3.0)</f>
        <v>3</v>
      </c>
      <c r="G43" s="11">
        <f>IFERROR(__xludf.DUMMYFUNCTION("""COMPUTED_VALUE"""),4.0)</f>
        <v>4</v>
      </c>
      <c r="H43" s="11">
        <f>IFERROR(__xludf.DUMMYFUNCTION("""COMPUTED_VALUE"""),6.0)</f>
        <v>6</v>
      </c>
      <c r="I43" s="11">
        <v>6.0</v>
      </c>
      <c r="J43" s="11">
        <f>IFERROR(__xludf.DUMMYFUNCTION("""COMPUTED_VALUE"""),8.0)</f>
        <v>8</v>
      </c>
      <c r="K43" s="11" t="str">
        <f>IFERROR(__xludf.DUMMYFUNCTION("""COMPUTED_VALUE"""),"AG 8128 UF")</f>
        <v>AG 8128 UF</v>
      </c>
      <c r="L43" s="11" t="str">
        <f>IFERROR(__xludf.DUMMYFUNCTION("""COMPUTED_VALUE"""),"TLPG TJ PERAK")</f>
        <v>TLPG TJ PERAK</v>
      </c>
      <c r="M43" s="11">
        <f>IFERROR(__xludf.DUMMYFUNCTION("""COMPUTED_VALUE"""),5.0)</f>
        <v>5</v>
      </c>
      <c r="N43" s="11" t="str">
        <f>IFERROR(__xludf.DUMMYFUNCTION("""COMPUTED_VALUE"""),"PT NARA RIZKA MANUNGGAL")</f>
        <v>PT NARA RIZKA MANUNGGAL</v>
      </c>
      <c r="O43" s="11" t="str">
        <f>IFERROR(__xludf.DUMMYFUNCTION("""COMPUTED_VALUE"""),"")</f>
        <v/>
      </c>
      <c r="P43" s="32">
        <f>IFERROR(__xludf.DUMMYFUNCTION("""COMPUTED_VALUE"""),8.0)</f>
        <v>8</v>
      </c>
      <c r="Q43" s="32" t="str">
        <f>IFERROR(__xludf.DUMMYFUNCTION("""COMPUTED_VALUE"""),"AG 8070 UW")</f>
        <v>AG 8070 UW</v>
      </c>
      <c r="R43" s="32" t="str">
        <f>IFERROR(__xludf.DUMMYFUNCTION("""COMPUTED_VALUE"""),"TLPG TJ PERAK")</f>
        <v>TLPG TJ PERAK</v>
      </c>
      <c r="S43" s="32">
        <f>IFERROR(__xludf.DUMMYFUNCTION("""COMPUTED_VALUE"""),6.0)</f>
        <v>6</v>
      </c>
      <c r="T43" s="32" t="str">
        <f>IFERROR(__xludf.DUMMYFUNCTION("""COMPUTED_VALUE"""),"PT LAJU")</f>
        <v>PT LAJU</v>
      </c>
      <c r="U43" s="11" t="str">
        <f>IFERROR(__xludf.DUMMYFUNCTION("""COMPUTED_VALUE"""),"")</f>
        <v/>
      </c>
      <c r="V43" s="11">
        <f>IFERROR(__xludf.DUMMYFUNCTION("""COMPUTED_VALUE"""),8.0)</f>
        <v>8</v>
      </c>
      <c r="W43" s="11" t="str">
        <f>IFERROR(__xludf.DUMMYFUNCTION("""COMPUTED_VALUE"""),"N 9195 UF")</f>
        <v>N 9195 UF</v>
      </c>
      <c r="X43" s="11" t="str">
        <f>IFERROR(__xludf.DUMMYFUNCTION("""COMPUTED_VALUE"""),"TLPG TJ PERAK")</f>
        <v>TLPG TJ PERAK</v>
      </c>
      <c r="Y43" s="11">
        <f>IFERROR(__xludf.DUMMYFUNCTION("""COMPUTED_VALUE"""),7.0)</f>
        <v>7</v>
      </c>
      <c r="Z43" s="11" t="str">
        <f>IFERROR(__xludf.DUMMYFUNCTION("""COMPUTED_VALUE"""),"PT LAJU")</f>
        <v>PT LAJU</v>
      </c>
      <c r="AA43" s="11" t="str">
        <f>IFERROR(__xludf.DUMMYFUNCTION("""COMPUTED_VALUE"""),"")</f>
        <v/>
      </c>
      <c r="AB43" s="32">
        <f>IFERROR(__xludf.DUMMYFUNCTION("""COMPUTED_VALUE"""),8.0)</f>
        <v>8</v>
      </c>
      <c r="AC43" s="32" t="str">
        <f>IFERROR(__xludf.DUMMYFUNCTION("""COMPUTED_VALUE"""),"AG 8893 YK")</f>
        <v>AG 8893 YK</v>
      </c>
      <c r="AD43" s="32" t="str">
        <f>IFERROR(__xludf.DUMMYFUNCTION("""COMPUTED_VALUE"""),"TLPG TJ PERAK")</f>
        <v>TLPG TJ PERAK</v>
      </c>
      <c r="AE43" s="32">
        <f>IFERROR(__xludf.DUMMYFUNCTION("""COMPUTED_VALUE"""),8.0)</f>
        <v>8</v>
      </c>
      <c r="AF43" s="32" t="str">
        <f>IFERROR(__xludf.DUMMYFUNCTION("""COMPUTED_VALUE"""),"PT BINTANG CIPTA PERSADA")</f>
        <v>PT BINTANG CIPTA PERSADA</v>
      </c>
    </row>
    <row r="44">
      <c r="A44" s="9" t="str">
        <f>IFERROR(__xludf.DUMMYFUNCTION("""COMPUTED_VALUE"""),"AG 8817 UK")</f>
        <v>AG 8817 UK</v>
      </c>
      <c r="B44" s="9" t="str">
        <f>IFERROR(__xludf.DUMMYFUNCTION("""COMPUTED_VALUE"""),"TLPG TJ PERAK")</f>
        <v>TLPG TJ PERAK</v>
      </c>
      <c r="C44" s="9" t="str">
        <f>IFERROR(__xludf.DUMMYFUNCTION("""COMPUTED_VALUE"""),"PT RAMA MANGGALA GAS")</f>
        <v>PT RAMA MANGGALA GAS</v>
      </c>
      <c r="D44" s="11">
        <f>IFERROR(__xludf.DUMMYFUNCTION("""COMPUTED_VALUE"""),167.6)</f>
        <v>167.6</v>
      </c>
      <c r="E44" s="11" t="str">
        <f>IFERROR(__xludf.DUMMYFUNCTION("""COMPUTED_VALUE"""),"JAUH")</f>
        <v>JAUH</v>
      </c>
      <c r="F44" s="11">
        <f>IFERROR(__xludf.DUMMYFUNCTION("""COMPUTED_VALUE"""),3.0)</f>
        <v>3</v>
      </c>
      <c r="G44" s="11">
        <f>IFERROR(__xludf.DUMMYFUNCTION("""COMPUTED_VALUE"""),4.0)</f>
        <v>4</v>
      </c>
      <c r="H44" s="11">
        <f>IFERROR(__xludf.DUMMYFUNCTION("""COMPUTED_VALUE"""),7.0)</f>
        <v>7</v>
      </c>
      <c r="I44" s="11">
        <v>7.0</v>
      </c>
      <c r="J44" s="11">
        <f>IFERROR(__xludf.DUMMYFUNCTION("""COMPUTED_VALUE"""),9.0)</f>
        <v>9</v>
      </c>
      <c r="K44" s="11" t="str">
        <f>IFERROR(__xludf.DUMMYFUNCTION("""COMPUTED_VALUE"""),"P 8970 UG")</f>
        <v>P 8970 UG</v>
      </c>
      <c r="L44" s="11" t="str">
        <f>IFERROR(__xludf.DUMMYFUNCTION("""COMPUTED_VALUE"""),"TLPG TJ WANGI")</f>
        <v>TLPG TJ WANGI</v>
      </c>
      <c r="M44" s="11">
        <f>IFERROR(__xludf.DUMMYFUNCTION("""COMPUTED_VALUE"""),5.0)</f>
        <v>5</v>
      </c>
      <c r="N44" s="11" t="str">
        <f>IFERROR(__xludf.DUMMYFUNCTION("""COMPUTED_VALUE"""),"PT TRI TUNGGAL ARGOPURO MANDIRI")</f>
        <v>PT TRI TUNGGAL ARGOPURO MANDIRI</v>
      </c>
      <c r="O44" s="11" t="str">
        <f>IFERROR(__xludf.DUMMYFUNCTION("""COMPUTED_VALUE"""),"")</f>
        <v/>
      </c>
      <c r="P44" s="32">
        <f>IFERROR(__xludf.DUMMYFUNCTION("""COMPUTED_VALUE"""),9.0)</f>
        <v>9</v>
      </c>
      <c r="Q44" s="32" t="str">
        <f>IFERROR(__xludf.DUMMYFUNCTION("""COMPUTED_VALUE"""),"N 8182 EB")</f>
        <v>N 8182 EB</v>
      </c>
      <c r="R44" s="32" t="str">
        <f>IFERROR(__xludf.DUMMYFUNCTION("""COMPUTED_VALUE"""),"TLPG TJ PERAK")</f>
        <v>TLPG TJ PERAK</v>
      </c>
      <c r="S44" s="32">
        <f>IFERROR(__xludf.DUMMYFUNCTION("""COMPUTED_VALUE"""),6.0)</f>
        <v>6</v>
      </c>
      <c r="T44" s="32" t="str">
        <f>IFERROR(__xludf.DUMMYFUNCTION("""COMPUTED_VALUE"""),"PT AGAM SEULAWAH JAYA")</f>
        <v>PT AGAM SEULAWAH JAYA</v>
      </c>
      <c r="U44" s="11" t="str">
        <f>IFERROR(__xludf.DUMMYFUNCTION("""COMPUTED_VALUE"""),"")</f>
        <v/>
      </c>
      <c r="V44" s="11">
        <f>IFERROR(__xludf.DUMMYFUNCTION("""COMPUTED_VALUE"""),9.0)</f>
        <v>9</v>
      </c>
      <c r="W44" s="11" t="str">
        <f>IFERROR(__xludf.DUMMYFUNCTION("""COMPUTED_VALUE"""),"N 8183 EB")</f>
        <v>N 8183 EB</v>
      </c>
      <c r="X44" s="11" t="str">
        <f>IFERROR(__xludf.DUMMYFUNCTION("""COMPUTED_VALUE"""),"TLPG TJ PERAK")</f>
        <v>TLPG TJ PERAK</v>
      </c>
      <c r="Y44" s="11">
        <f>IFERROR(__xludf.DUMMYFUNCTION("""COMPUTED_VALUE"""),7.0)</f>
        <v>7</v>
      </c>
      <c r="Z44" s="11" t="str">
        <f>IFERROR(__xludf.DUMMYFUNCTION("""COMPUTED_VALUE"""),"PT AGAM SEULAWAH JAYA")</f>
        <v>PT AGAM SEULAWAH JAYA</v>
      </c>
      <c r="AA44" s="11" t="str">
        <f>IFERROR(__xludf.DUMMYFUNCTION("""COMPUTED_VALUE"""),"")</f>
        <v/>
      </c>
      <c r="AB44" s="32">
        <f>IFERROR(__xludf.DUMMYFUNCTION("""COMPUTED_VALUE"""),9.0)</f>
        <v>9</v>
      </c>
      <c r="AC44" s="32" t="str">
        <f>IFERROR(__xludf.DUMMYFUNCTION("""COMPUTED_VALUE"""),"N 8327 ED")</f>
        <v>N 8327 ED</v>
      </c>
      <c r="AD44" s="32" t="str">
        <f>IFERROR(__xludf.DUMMYFUNCTION("""COMPUTED_VALUE"""),"TLPG TJ PERAK")</f>
        <v>TLPG TJ PERAK</v>
      </c>
      <c r="AE44" s="32">
        <f>IFERROR(__xludf.DUMMYFUNCTION("""COMPUTED_VALUE"""),8.0)</f>
        <v>8</v>
      </c>
      <c r="AF44" s="32" t="str">
        <f>IFERROR(__xludf.DUMMYFUNCTION("""COMPUTED_VALUE"""),"PT AGAM SEULAWAH JAYA")</f>
        <v>PT AGAM SEULAWAH JAYA</v>
      </c>
    </row>
    <row r="45">
      <c r="A45" s="9" t="str">
        <f>IFERROR(__xludf.DUMMYFUNCTION("""COMPUTED_VALUE"""),"AG 8818 UK")</f>
        <v>AG 8818 UK</v>
      </c>
      <c r="B45" s="9" t="str">
        <f>IFERROR(__xludf.DUMMYFUNCTION("""COMPUTED_VALUE"""),"TLPG TJ PERAK")</f>
        <v>TLPG TJ PERAK</v>
      </c>
      <c r="C45" s="9" t="str">
        <f>IFERROR(__xludf.DUMMYFUNCTION("""COMPUTED_VALUE"""),"PT RAMA MANGGALA GAS")</f>
        <v>PT RAMA MANGGALA GAS</v>
      </c>
      <c r="D45" s="11">
        <f>IFERROR(__xludf.DUMMYFUNCTION("""COMPUTED_VALUE"""),167.6)</f>
        <v>167.6</v>
      </c>
      <c r="E45" s="11" t="str">
        <f>IFERROR(__xludf.DUMMYFUNCTION("""COMPUTED_VALUE"""),"JAUH")</f>
        <v>JAUH</v>
      </c>
      <c r="F45" s="11">
        <f>IFERROR(__xludf.DUMMYFUNCTION("""COMPUTED_VALUE"""),3.0)</f>
        <v>3</v>
      </c>
      <c r="G45" s="11">
        <f>IFERROR(__xludf.DUMMYFUNCTION("""COMPUTED_VALUE"""),4.0)</f>
        <v>4</v>
      </c>
      <c r="H45" s="11">
        <f>IFERROR(__xludf.DUMMYFUNCTION("""COMPUTED_VALUE"""),8.0)</f>
        <v>8</v>
      </c>
      <c r="I45" s="11">
        <v>8.0</v>
      </c>
      <c r="J45" s="11">
        <f>IFERROR(__xludf.DUMMYFUNCTION("""COMPUTED_VALUE"""),10.0)</f>
        <v>10</v>
      </c>
      <c r="K45" s="11" t="str">
        <f>IFERROR(__xludf.DUMMYFUNCTION("""COMPUTED_VALUE"""),"N 8299 UR")</f>
        <v>N 8299 UR</v>
      </c>
      <c r="L45" s="11" t="str">
        <f>IFERROR(__xludf.DUMMYFUNCTION("""COMPUTED_VALUE"""),"TLPG TJ PERAK")</f>
        <v>TLPG TJ PERAK</v>
      </c>
      <c r="M45" s="11">
        <f>IFERROR(__xludf.DUMMYFUNCTION("""COMPUTED_VALUE"""),5.0)</f>
        <v>5</v>
      </c>
      <c r="N45" s="11" t="str">
        <f>IFERROR(__xludf.DUMMYFUNCTION("""COMPUTED_VALUE"""),"PT BHUMI PERMATA INDAH")</f>
        <v>PT BHUMI PERMATA INDAH</v>
      </c>
      <c r="O45" s="11" t="str">
        <f>IFERROR(__xludf.DUMMYFUNCTION("""COMPUTED_VALUE"""),"")</f>
        <v/>
      </c>
      <c r="P45" s="32">
        <f>IFERROR(__xludf.DUMMYFUNCTION("""COMPUTED_VALUE"""),10.0)</f>
        <v>10</v>
      </c>
      <c r="Q45" s="32" t="str">
        <f>IFERROR(__xludf.DUMMYFUNCTION("""COMPUTED_VALUE"""),"P 8726 UG")</f>
        <v>P 8726 UG</v>
      </c>
      <c r="R45" s="32" t="str">
        <f>IFERROR(__xludf.DUMMYFUNCTION("""COMPUTED_VALUE"""),"TLPG TJ WANGI")</f>
        <v>TLPG TJ WANGI</v>
      </c>
      <c r="S45" s="32">
        <f>IFERROR(__xludf.DUMMYFUNCTION("""COMPUTED_VALUE"""),6.0)</f>
        <v>6</v>
      </c>
      <c r="T45" s="32" t="str">
        <f>IFERROR(__xludf.DUMMYFUNCTION("""COMPUTED_VALUE"""),"PT SUMBER MAKMUR MEGAH ABADI")</f>
        <v>PT SUMBER MAKMUR MEGAH ABADI</v>
      </c>
      <c r="U45" s="11" t="str">
        <f>IFERROR(__xludf.DUMMYFUNCTION("""COMPUTED_VALUE"""),"")</f>
        <v/>
      </c>
      <c r="V45" s="11">
        <f>IFERROR(__xludf.DUMMYFUNCTION("""COMPUTED_VALUE"""),10.0)</f>
        <v>10</v>
      </c>
      <c r="W45" s="11" t="str">
        <f>IFERROR(__xludf.DUMMYFUNCTION("""COMPUTED_VALUE"""),"P 8824 UI")</f>
        <v>P 8824 UI</v>
      </c>
      <c r="X45" s="11" t="str">
        <f>IFERROR(__xludf.DUMMYFUNCTION("""COMPUTED_VALUE"""),"TLPG TJ WANGI")</f>
        <v>TLPG TJ WANGI</v>
      </c>
      <c r="Y45" s="11">
        <f>IFERROR(__xludf.DUMMYFUNCTION("""COMPUTED_VALUE"""),7.0)</f>
        <v>7</v>
      </c>
      <c r="Z45" s="11" t="str">
        <f>IFERROR(__xludf.DUMMYFUNCTION("""COMPUTED_VALUE"""),"PT SUMBER MAKMUR MEGAH ABADI")</f>
        <v>PT SUMBER MAKMUR MEGAH ABADI</v>
      </c>
      <c r="AA45" s="11" t="str">
        <f>IFERROR(__xludf.DUMMYFUNCTION("""COMPUTED_VALUE"""),"")</f>
        <v/>
      </c>
      <c r="AB45" s="32">
        <f>IFERROR(__xludf.DUMMYFUNCTION("""COMPUTED_VALUE"""),10.0)</f>
        <v>10</v>
      </c>
      <c r="AC45" s="32" t="str">
        <f>IFERROR(__xludf.DUMMYFUNCTION("""COMPUTED_VALUE"""),"DK 8011 UK")</f>
        <v>DK 8011 UK</v>
      </c>
      <c r="AD45" s="32" t="str">
        <f>IFERROR(__xludf.DUMMYFUNCTION("""COMPUTED_VALUE"""),"TLPG MANGGIS")</f>
        <v>TLPG MANGGIS</v>
      </c>
      <c r="AE45" s="32">
        <f>IFERROR(__xludf.DUMMYFUNCTION("""COMPUTED_VALUE"""),8.0)</f>
        <v>8</v>
      </c>
      <c r="AF45" s="32" t="str">
        <f>IFERROR(__xludf.DUMMYFUNCTION("""COMPUTED_VALUE"""),"SPPBE-PT. Ayu Sari Pertiwi")</f>
        <v>SPPBE-PT. Ayu Sari Pertiwi</v>
      </c>
    </row>
    <row r="46">
      <c r="A46" s="9" t="str">
        <f>IFERROR(__xludf.DUMMYFUNCTION("""COMPUTED_VALUE"""),"N 9307 WD")</f>
        <v>N 9307 WD</v>
      </c>
      <c r="B46" s="9" t="str">
        <f>IFERROR(__xludf.DUMMYFUNCTION("""COMPUTED_VALUE"""),"TLPG TJ PERAK")</f>
        <v>TLPG TJ PERAK</v>
      </c>
      <c r="C46" s="9" t="str">
        <f>IFERROR(__xludf.DUMMYFUNCTION("""COMPUTED_VALUE"""),"PT TATA BERSAMA")</f>
        <v>PT TATA BERSAMA</v>
      </c>
      <c r="D46" s="11">
        <f>IFERROR(__xludf.DUMMYFUNCTION("""COMPUTED_VALUE"""),167.6)</f>
        <v>167.6</v>
      </c>
      <c r="E46" s="11" t="str">
        <f>IFERROR(__xludf.DUMMYFUNCTION("""COMPUTED_VALUE"""),"JAUH")</f>
        <v>JAUH</v>
      </c>
      <c r="F46" s="11">
        <f>IFERROR(__xludf.DUMMYFUNCTION("""COMPUTED_VALUE"""),3.0)</f>
        <v>3</v>
      </c>
      <c r="G46" s="11">
        <f>IFERROR(__xludf.DUMMYFUNCTION("""COMPUTED_VALUE"""),4.0)</f>
        <v>4</v>
      </c>
      <c r="H46" s="11">
        <f>IFERROR(__xludf.DUMMYFUNCTION("""COMPUTED_VALUE"""),9.0)</f>
        <v>9</v>
      </c>
      <c r="I46" s="11">
        <v>9.0</v>
      </c>
      <c r="J46" s="11">
        <f>IFERROR(__xludf.DUMMYFUNCTION("""COMPUTED_VALUE"""),11.0)</f>
        <v>11</v>
      </c>
      <c r="K46" s="11" t="str">
        <f>IFERROR(__xludf.DUMMYFUNCTION("""COMPUTED_VALUE"""),"M 9715 UA")</f>
        <v>M 9715 UA</v>
      </c>
      <c r="L46" s="11" t="str">
        <f>IFERROR(__xludf.DUMMYFUNCTION("""COMPUTED_VALUE"""),"TLPG TJ PERAK")</f>
        <v>TLPG TJ PERAK</v>
      </c>
      <c r="M46" s="11">
        <f>IFERROR(__xludf.DUMMYFUNCTION("""COMPUTED_VALUE"""),5.0)</f>
        <v>5</v>
      </c>
      <c r="N46" s="11" t="str">
        <f>IFERROR(__xludf.DUMMYFUNCTION("""COMPUTED_VALUE"""),"PT GAS MADURA PRATAMA")</f>
        <v>PT GAS MADURA PRATAMA</v>
      </c>
      <c r="O46" s="11" t="str">
        <f>IFERROR(__xludf.DUMMYFUNCTION("""COMPUTED_VALUE"""),"")</f>
        <v/>
      </c>
      <c r="P46" s="32">
        <f>IFERROR(__xludf.DUMMYFUNCTION("""COMPUTED_VALUE"""),11.0)</f>
        <v>11</v>
      </c>
      <c r="Q46" s="32" t="str">
        <f>IFERROR(__xludf.DUMMYFUNCTION("""COMPUTED_VALUE"""),"M 9728 UA")</f>
        <v>M 9728 UA</v>
      </c>
      <c r="R46" s="32" t="str">
        <f>IFERROR(__xludf.DUMMYFUNCTION("""COMPUTED_VALUE"""),"TLPG TJ PERAK")</f>
        <v>TLPG TJ PERAK</v>
      </c>
      <c r="S46" s="32">
        <f>IFERROR(__xludf.DUMMYFUNCTION("""COMPUTED_VALUE"""),6.0)</f>
        <v>6</v>
      </c>
      <c r="T46" s="32" t="str">
        <f>IFERROR(__xludf.DUMMYFUNCTION("""COMPUTED_VALUE"""),"PT GAS MADURA PRATAMA")</f>
        <v>PT GAS MADURA PRATAMA</v>
      </c>
      <c r="U46" s="11" t="str">
        <f>IFERROR(__xludf.DUMMYFUNCTION("""COMPUTED_VALUE"""),"")</f>
        <v/>
      </c>
      <c r="V46" s="11">
        <f>IFERROR(__xludf.DUMMYFUNCTION("""COMPUTED_VALUE"""),11.0)</f>
        <v>11</v>
      </c>
      <c r="W46" s="11" t="str">
        <f>IFERROR(__xludf.DUMMYFUNCTION("""COMPUTED_VALUE"""),"M 9757 UA")</f>
        <v>M 9757 UA</v>
      </c>
      <c r="X46" s="11" t="str">
        <f>IFERROR(__xludf.DUMMYFUNCTION("""COMPUTED_VALUE"""),"TLPG TJ PERAK")</f>
        <v>TLPG TJ PERAK</v>
      </c>
      <c r="Y46" s="11">
        <f>IFERROR(__xludf.DUMMYFUNCTION("""COMPUTED_VALUE"""),7.0)</f>
        <v>7</v>
      </c>
      <c r="Z46" s="11" t="str">
        <f>IFERROR(__xludf.DUMMYFUNCTION("""COMPUTED_VALUE"""),"PT GAS MADURA PRATAMA")</f>
        <v>PT GAS MADURA PRATAMA</v>
      </c>
      <c r="AA46" s="11" t="str">
        <f>IFERROR(__xludf.DUMMYFUNCTION("""COMPUTED_VALUE"""),"")</f>
        <v/>
      </c>
      <c r="AB46" s="32">
        <f>IFERROR(__xludf.DUMMYFUNCTION("""COMPUTED_VALUE"""),11.0)</f>
        <v>11</v>
      </c>
      <c r="AC46" s="32" t="str">
        <f>IFERROR(__xludf.DUMMYFUNCTION("""COMPUTED_VALUE"""),"AG 8093 EI")</f>
        <v>AG 8093 EI</v>
      </c>
      <c r="AD46" s="32" t="str">
        <f>IFERROR(__xludf.DUMMYFUNCTION("""COMPUTED_VALUE"""),"TLPG MEM GRESIK")</f>
        <v>TLPG MEM GRESIK</v>
      </c>
      <c r="AE46" s="32">
        <f>IFERROR(__xludf.DUMMYFUNCTION("""COMPUTED_VALUE"""),8.0)</f>
        <v>8</v>
      </c>
      <c r="AF46" s="32" t="str">
        <f>IFERROR(__xludf.DUMMYFUNCTION("""COMPUTED_VALUE"""),"PT RADIMA JAYA KEDIRI")</f>
        <v>PT RADIMA JAYA KEDIRI</v>
      </c>
    </row>
    <row r="47">
      <c r="A47" s="9" t="str">
        <f>IFERROR(__xludf.DUMMYFUNCTION("""COMPUTED_VALUE"""),"AE 8527 UJ")</f>
        <v>AE 8527 UJ</v>
      </c>
      <c r="B47" s="9" t="str">
        <f>IFERROR(__xludf.DUMMYFUNCTION("""COMPUTED_VALUE"""),"TLPG TJ PERAK")</f>
        <v>TLPG TJ PERAK</v>
      </c>
      <c r="C47" s="9" t="str">
        <f>IFERROR(__xludf.DUMMYFUNCTION("""COMPUTED_VALUE"""),"PT RAMA MANGGALA GAS")</f>
        <v>PT RAMA MANGGALA GAS</v>
      </c>
      <c r="D47" s="11">
        <f>IFERROR(__xludf.DUMMYFUNCTION("""COMPUTED_VALUE"""),167.6)</f>
        <v>167.6</v>
      </c>
      <c r="E47" s="11" t="str">
        <f>IFERROR(__xludf.DUMMYFUNCTION("""COMPUTED_VALUE"""),"JAUH")</f>
        <v>JAUH</v>
      </c>
      <c r="F47" s="11">
        <f>IFERROR(__xludf.DUMMYFUNCTION("""COMPUTED_VALUE"""),3.0)</f>
        <v>3</v>
      </c>
      <c r="G47" s="11">
        <f>IFERROR(__xludf.DUMMYFUNCTION("""COMPUTED_VALUE"""),5.0)</f>
        <v>5</v>
      </c>
      <c r="H47" s="11">
        <f>IFERROR(__xludf.DUMMYFUNCTION("""COMPUTED_VALUE"""),10.0)</f>
        <v>10</v>
      </c>
      <c r="I47" s="11">
        <v>10.0</v>
      </c>
      <c r="J47" s="11">
        <f>IFERROR(__xludf.DUMMYFUNCTION("""COMPUTED_VALUE"""),12.0)</f>
        <v>12</v>
      </c>
      <c r="K47" s="11" t="str">
        <f>IFERROR(__xludf.DUMMYFUNCTION("""COMPUTED_VALUE"""),"DK 8902 UW")</f>
        <v>DK 8902 UW</v>
      </c>
      <c r="L47" s="11" t="str">
        <f>IFERROR(__xludf.DUMMYFUNCTION("""COMPUTED_VALUE"""),"TLPG MANGGIS")</f>
        <v>TLPG MANGGIS</v>
      </c>
      <c r="M47" s="11">
        <f>IFERROR(__xludf.DUMMYFUNCTION("""COMPUTED_VALUE"""),5.0)</f>
        <v>5</v>
      </c>
      <c r="N47" s="11" t="str">
        <f>IFERROR(__xludf.DUMMYFUNCTION("""COMPUTED_VALUE"""),"PT. Gaya Investama")</f>
        <v>PT. Gaya Investama</v>
      </c>
      <c r="O47" s="11" t="str">
        <f>IFERROR(__xludf.DUMMYFUNCTION("""COMPUTED_VALUE"""),"")</f>
        <v/>
      </c>
      <c r="P47" s="32">
        <f>IFERROR(__xludf.DUMMYFUNCTION("""COMPUTED_VALUE"""),12.0)</f>
        <v>12</v>
      </c>
      <c r="Q47" s="32" t="str">
        <f>IFERROR(__xludf.DUMMYFUNCTION("""COMPUTED_VALUE"""),"AG 8263 UW")</f>
        <v>AG 8263 UW</v>
      </c>
      <c r="R47" s="32" t="str">
        <f>IFERROR(__xludf.DUMMYFUNCTION("""COMPUTED_VALUE"""),"TLPG TJ PERAK")</f>
        <v>TLPG TJ PERAK</v>
      </c>
      <c r="S47" s="32">
        <f>IFERROR(__xludf.DUMMYFUNCTION("""COMPUTED_VALUE"""),6.0)</f>
        <v>6</v>
      </c>
      <c r="T47" s="32" t="str">
        <f>IFERROR(__xludf.DUMMYFUNCTION("""COMPUTED_VALUE"""),"PT LAMONGAN JOYO")</f>
        <v>PT LAMONGAN JOYO</v>
      </c>
      <c r="U47" s="11" t="str">
        <f>IFERROR(__xludf.DUMMYFUNCTION("""COMPUTED_VALUE"""),"")</f>
        <v/>
      </c>
      <c r="V47" s="11">
        <f>IFERROR(__xludf.DUMMYFUNCTION("""COMPUTED_VALUE"""),12.0)</f>
        <v>12</v>
      </c>
      <c r="W47" s="11" t="str">
        <f>IFERROR(__xludf.DUMMYFUNCTION("""COMPUTED_VALUE"""),"M 8025 UN")</f>
        <v>M 8025 UN</v>
      </c>
      <c r="X47" s="11" t="str">
        <f>IFERROR(__xludf.DUMMYFUNCTION("""COMPUTED_VALUE"""),"TLPG TJ PERAK")</f>
        <v>TLPG TJ PERAK</v>
      </c>
      <c r="Y47" s="11">
        <f>IFERROR(__xludf.DUMMYFUNCTION("""COMPUTED_VALUE"""),7.0)</f>
        <v>7</v>
      </c>
      <c r="Z47" s="11" t="str">
        <f>IFERROR(__xludf.DUMMYFUNCTION("""COMPUTED_VALUE"""),"PT ASAPERKASA ABIMULYA")</f>
        <v>PT ASAPERKASA ABIMULYA</v>
      </c>
      <c r="AA47" s="11" t="str">
        <f>IFERROR(__xludf.DUMMYFUNCTION("""COMPUTED_VALUE"""),"")</f>
        <v/>
      </c>
      <c r="AB47" s="32">
        <f>IFERROR(__xludf.DUMMYFUNCTION("""COMPUTED_VALUE"""),12.0)</f>
        <v>12</v>
      </c>
      <c r="AC47" s="32" t="str">
        <f>IFERROR(__xludf.DUMMYFUNCTION("""COMPUTED_VALUE"""),"M 9489 UN")</f>
        <v>M 9489 UN</v>
      </c>
      <c r="AD47" s="32" t="str">
        <f>IFERROR(__xludf.DUMMYFUNCTION("""COMPUTED_VALUE"""),"TLPG TJ PERAK")</f>
        <v>TLPG TJ PERAK</v>
      </c>
      <c r="AE47" s="32">
        <f>IFERROR(__xludf.DUMMYFUNCTION("""COMPUTED_VALUE"""),8.0)</f>
        <v>8</v>
      </c>
      <c r="AF47" s="32" t="str">
        <f>IFERROR(__xludf.DUMMYFUNCTION("""COMPUTED_VALUE"""),"PT ASAPERKASA ABIMULYA")</f>
        <v>PT ASAPERKASA ABIMULYA</v>
      </c>
    </row>
    <row r="48">
      <c r="A48" s="9" t="str">
        <f>IFERROR(__xludf.DUMMYFUNCTION("""COMPUTED_VALUE"""),"AG 8913 UK")</f>
        <v>AG 8913 UK</v>
      </c>
      <c r="B48" s="9" t="str">
        <f>IFERROR(__xludf.DUMMYFUNCTION("""COMPUTED_VALUE"""),"TLPG TJ PERAK")</f>
        <v>TLPG TJ PERAK</v>
      </c>
      <c r="C48" s="9" t="str">
        <f>IFERROR(__xludf.DUMMYFUNCTION("""COMPUTED_VALUE"""),"PT RACHMASARI BRASS INDONESIA")</f>
        <v>PT RACHMASARI BRASS INDONESIA</v>
      </c>
      <c r="D48" s="11">
        <f>IFERROR(__xludf.DUMMYFUNCTION("""COMPUTED_VALUE"""),167.6)</f>
        <v>167.6</v>
      </c>
      <c r="E48" s="11" t="str">
        <f>IFERROR(__xludf.DUMMYFUNCTION("""COMPUTED_VALUE"""),"JAUH")</f>
        <v>JAUH</v>
      </c>
      <c r="F48" s="11">
        <f>IFERROR(__xludf.DUMMYFUNCTION("""COMPUTED_VALUE"""),3.0)</f>
        <v>3</v>
      </c>
      <c r="G48" s="11">
        <f>IFERROR(__xludf.DUMMYFUNCTION("""COMPUTED_VALUE"""),9.0)</f>
        <v>9</v>
      </c>
      <c r="H48" s="11">
        <f>IFERROR(__xludf.DUMMYFUNCTION("""COMPUTED_VALUE"""),11.0)</f>
        <v>11</v>
      </c>
      <c r="I48" s="11">
        <v>11.0</v>
      </c>
      <c r="J48" s="11">
        <f>IFERROR(__xludf.DUMMYFUNCTION("""COMPUTED_VALUE"""),13.0)</f>
        <v>13</v>
      </c>
      <c r="K48" s="11" t="str">
        <f>IFERROR(__xludf.DUMMYFUNCTION("""COMPUTED_VALUE"""),"S 8237 UZ")</f>
        <v>S 8237 UZ</v>
      </c>
      <c r="L48" s="11" t="str">
        <f>IFERROR(__xludf.DUMMYFUNCTION("""COMPUTED_VALUE"""),"TLPG TJ PERAK")</f>
        <v>TLPG TJ PERAK</v>
      </c>
      <c r="M48" s="11">
        <f>IFERROR(__xludf.DUMMYFUNCTION("""COMPUTED_VALUE"""),5.0)</f>
        <v>5</v>
      </c>
      <c r="N48" s="11" t="str">
        <f>IFERROR(__xludf.DUMMYFUNCTION("""COMPUTED_VALUE"""),"PT GAS BUMI NUSANTARA JAYA")</f>
        <v>PT GAS BUMI NUSANTARA JAYA</v>
      </c>
      <c r="O48" s="11" t="str">
        <f>IFERROR(__xludf.DUMMYFUNCTION("""COMPUTED_VALUE"""),"")</f>
        <v/>
      </c>
      <c r="P48" s="32">
        <f>IFERROR(__xludf.DUMMYFUNCTION("""COMPUTED_VALUE"""),13.0)</f>
        <v>13</v>
      </c>
      <c r="Q48" s="32" t="str">
        <f>IFERROR(__xludf.DUMMYFUNCTION("""COMPUTED_VALUE"""),"DK 8146 BZ")</f>
        <v>DK 8146 BZ</v>
      </c>
      <c r="R48" s="32" t="str">
        <f>IFERROR(__xludf.DUMMYFUNCTION("""COMPUTED_VALUE"""),"TLPG MANGGIS")</f>
        <v>TLPG MANGGIS</v>
      </c>
      <c r="S48" s="32">
        <f>IFERROR(__xludf.DUMMYFUNCTION("""COMPUTED_VALUE"""),6.0)</f>
        <v>6</v>
      </c>
      <c r="T48" s="32" t="str">
        <f>IFERROR(__xludf.DUMMYFUNCTION("""COMPUTED_VALUE"""),"SPPBE-PT. Pande Agung Dewata")</f>
        <v>SPPBE-PT. Pande Agung Dewata</v>
      </c>
      <c r="U48" s="11" t="str">
        <f>IFERROR(__xludf.DUMMYFUNCTION("""COMPUTED_VALUE"""),"")</f>
        <v/>
      </c>
      <c r="V48" s="11">
        <f>IFERROR(__xludf.DUMMYFUNCTION("""COMPUTED_VALUE"""),13.0)</f>
        <v>13</v>
      </c>
      <c r="W48" s="11" t="str">
        <f>IFERROR(__xludf.DUMMYFUNCTION("""COMPUTED_VALUE"""),"DK 8859 CK")</f>
        <v>DK 8859 CK</v>
      </c>
      <c r="X48" s="11" t="str">
        <f>IFERROR(__xludf.DUMMYFUNCTION("""COMPUTED_VALUE"""),"TLPG MANGGIS")</f>
        <v>TLPG MANGGIS</v>
      </c>
      <c r="Y48" s="11">
        <f>IFERROR(__xludf.DUMMYFUNCTION("""COMPUTED_VALUE"""),7.0)</f>
        <v>7</v>
      </c>
      <c r="Z48" s="11" t="str">
        <f>IFERROR(__xludf.DUMMYFUNCTION("""COMPUTED_VALUE"""),"SPPBE-PT. Pande Agung Dewata")</f>
        <v>SPPBE-PT. Pande Agung Dewata</v>
      </c>
      <c r="AA48" s="11" t="str">
        <f>IFERROR(__xludf.DUMMYFUNCTION("""COMPUTED_VALUE"""),"")</f>
        <v/>
      </c>
      <c r="AB48" s="32">
        <f>IFERROR(__xludf.DUMMYFUNCTION("""COMPUTED_VALUE"""),13.0)</f>
        <v>13</v>
      </c>
      <c r="AC48" s="32" t="str">
        <f>IFERROR(__xludf.DUMMYFUNCTION("""COMPUTED_VALUE"""),"DK 8565 BS")</f>
        <v>DK 8565 BS</v>
      </c>
      <c r="AD48" s="32" t="str">
        <f>IFERROR(__xludf.DUMMYFUNCTION("""COMPUTED_VALUE"""),"TLPG MANGGIS")</f>
        <v>TLPG MANGGIS</v>
      </c>
      <c r="AE48" s="32">
        <f>IFERROR(__xludf.DUMMYFUNCTION("""COMPUTED_VALUE"""),8.0)</f>
        <v>8</v>
      </c>
      <c r="AF48" s="32" t="str">
        <f>IFERROR(__xludf.DUMMYFUNCTION("""COMPUTED_VALUE"""),"SPPBE-PT. Pande Agung Dewata")</f>
        <v>SPPBE-PT. Pande Agung Dewata</v>
      </c>
    </row>
    <row r="49">
      <c r="A49" s="9" t="str">
        <f>IFERROR(__xludf.DUMMYFUNCTION("""COMPUTED_VALUE"""),"AG 8817 UT")</f>
        <v>AG 8817 UT</v>
      </c>
      <c r="B49" s="9" t="str">
        <f>IFERROR(__xludf.DUMMYFUNCTION("""COMPUTED_VALUE"""),"TLPG TJ PERAK")</f>
        <v>TLPG TJ PERAK</v>
      </c>
      <c r="C49" s="9" t="str">
        <f>IFERROR(__xludf.DUMMYFUNCTION("""COMPUTED_VALUE"""),"PT GANGSAR SENTOSA PETROLIUM")</f>
        <v>PT GANGSAR SENTOSA PETROLIUM</v>
      </c>
      <c r="D49" s="11">
        <f>IFERROR(__xludf.DUMMYFUNCTION("""COMPUTED_VALUE"""),167.1)</f>
        <v>167.1</v>
      </c>
      <c r="E49" s="11" t="str">
        <f>IFERROR(__xludf.DUMMYFUNCTION("""COMPUTED_VALUE"""),"JAUH")</f>
        <v>JAUH</v>
      </c>
      <c r="F49" s="11">
        <f>IFERROR(__xludf.DUMMYFUNCTION("""COMPUTED_VALUE"""),3.0)</f>
        <v>3</v>
      </c>
      <c r="G49" s="11">
        <f>IFERROR(__xludf.DUMMYFUNCTION("""COMPUTED_VALUE"""),4.0)</f>
        <v>4</v>
      </c>
      <c r="H49" s="11">
        <f>IFERROR(__xludf.DUMMYFUNCTION("""COMPUTED_VALUE"""),12.0)</f>
        <v>12</v>
      </c>
      <c r="I49" s="11">
        <v>12.0</v>
      </c>
      <c r="J49" s="11">
        <f>IFERROR(__xludf.DUMMYFUNCTION("""COMPUTED_VALUE"""),14.0)</f>
        <v>14</v>
      </c>
      <c r="K49" s="11" t="str">
        <f>IFERROR(__xludf.DUMMYFUNCTION("""COMPUTED_VALUE"""),"S 9096 UH")</f>
        <v>S 9096 UH</v>
      </c>
      <c r="L49" s="11" t="str">
        <f>IFERROR(__xludf.DUMMYFUNCTION("""COMPUTED_VALUE"""),"TLPG TJ PERAK")</f>
        <v>TLPG TJ PERAK</v>
      </c>
      <c r="M49" s="11">
        <f>IFERROR(__xludf.DUMMYFUNCTION("""COMPUTED_VALUE"""),5.0)</f>
        <v>5</v>
      </c>
      <c r="N49" s="11" t="str">
        <f>IFERROR(__xludf.DUMMYFUNCTION("""COMPUTED_VALUE"""),"PT PURBAYA BAGELEN MANDIRI")</f>
        <v>PT PURBAYA BAGELEN MANDIRI</v>
      </c>
      <c r="O49" s="11" t="str">
        <f>IFERROR(__xludf.DUMMYFUNCTION("""COMPUTED_VALUE"""),"")</f>
        <v/>
      </c>
      <c r="P49" s="32">
        <f>IFERROR(__xludf.DUMMYFUNCTION("""COMPUTED_VALUE"""),14.0)</f>
        <v>14</v>
      </c>
      <c r="Q49" s="32" t="str">
        <f>IFERROR(__xludf.DUMMYFUNCTION("""COMPUTED_VALUE"""),"S 9650 UE")</f>
        <v>S 9650 UE</v>
      </c>
      <c r="R49" s="32" t="str">
        <f>IFERROR(__xludf.DUMMYFUNCTION("""COMPUTED_VALUE"""),"TLPG TJ PERAK")</f>
        <v>TLPG TJ PERAK</v>
      </c>
      <c r="S49" s="32">
        <f>IFERROR(__xludf.DUMMYFUNCTION("""COMPUTED_VALUE"""),6.0)</f>
        <v>6</v>
      </c>
      <c r="T49" s="32" t="str">
        <f>IFERROR(__xludf.DUMMYFUNCTION("""COMPUTED_VALUE"""),"PT PURBAYA BAGELEN MANDIRI")</f>
        <v>PT PURBAYA BAGELEN MANDIRI</v>
      </c>
      <c r="U49" s="11" t="str">
        <f>IFERROR(__xludf.DUMMYFUNCTION("""COMPUTED_VALUE"""),"")</f>
        <v/>
      </c>
      <c r="V49" s="11">
        <f>IFERROR(__xludf.DUMMYFUNCTION("""COMPUTED_VALUE"""),14.0)</f>
        <v>14</v>
      </c>
      <c r="W49" s="11" t="str">
        <f>IFERROR(__xludf.DUMMYFUNCTION("""COMPUTED_VALUE"""),"N 8657 UV")</f>
        <v>N 8657 UV</v>
      </c>
      <c r="X49" s="11" t="str">
        <f>IFERROR(__xludf.DUMMYFUNCTION("""COMPUTED_VALUE"""),"TLPG TJ PERAK")</f>
        <v>TLPG TJ PERAK</v>
      </c>
      <c r="Y49" s="11">
        <f>IFERROR(__xludf.DUMMYFUNCTION("""COMPUTED_VALUE"""),7.0)</f>
        <v>7</v>
      </c>
      <c r="Z49" s="11" t="str">
        <f>IFERROR(__xludf.DUMMYFUNCTION("""COMPUTED_VALUE"""),"PT SURYA MITRA IMPREZA PRATAMA")</f>
        <v>PT SURYA MITRA IMPREZA PRATAMA</v>
      </c>
      <c r="AA49" s="11" t="str">
        <f>IFERROR(__xludf.DUMMYFUNCTION("""COMPUTED_VALUE"""),"")</f>
        <v/>
      </c>
      <c r="AB49" s="32">
        <f>IFERROR(__xludf.DUMMYFUNCTION("""COMPUTED_VALUE"""),14.0)</f>
        <v>14</v>
      </c>
      <c r="AC49" s="32" t="str">
        <f>IFERROR(__xludf.DUMMYFUNCTION("""COMPUTED_VALUE"""),"N 8673 UV")</f>
        <v>N 8673 UV</v>
      </c>
      <c r="AD49" s="32" t="str">
        <f>IFERROR(__xludf.DUMMYFUNCTION("""COMPUTED_VALUE"""),"TLPG TJ PERAK")</f>
        <v>TLPG TJ PERAK</v>
      </c>
      <c r="AE49" s="32">
        <f>IFERROR(__xludf.DUMMYFUNCTION("""COMPUTED_VALUE"""),8.0)</f>
        <v>8</v>
      </c>
      <c r="AF49" s="32" t="str">
        <f>IFERROR(__xludf.DUMMYFUNCTION("""COMPUTED_VALUE"""),"PT BUANATAMA CAHAYA LESTARI")</f>
        <v>PT BUANATAMA CAHAYA LESTARI</v>
      </c>
    </row>
    <row r="50">
      <c r="A50" s="9" t="str">
        <f>IFERROR(__xludf.DUMMYFUNCTION("""COMPUTED_VALUE"""),"AG 8818 UT")</f>
        <v>AG 8818 UT</v>
      </c>
      <c r="B50" s="9" t="str">
        <f>IFERROR(__xludf.DUMMYFUNCTION("""COMPUTED_VALUE"""),"TLPG TJ PERAK")</f>
        <v>TLPG TJ PERAK</v>
      </c>
      <c r="C50" s="9" t="str">
        <f>IFERROR(__xludf.DUMMYFUNCTION("""COMPUTED_VALUE"""),"PT GANGSAR SENTOSA PETROLIUM")</f>
        <v>PT GANGSAR SENTOSA PETROLIUM</v>
      </c>
      <c r="D50" s="11">
        <f>IFERROR(__xludf.DUMMYFUNCTION("""COMPUTED_VALUE"""),167.1)</f>
        <v>167.1</v>
      </c>
      <c r="E50" s="11" t="str">
        <f>IFERROR(__xludf.DUMMYFUNCTION("""COMPUTED_VALUE"""),"JAUH")</f>
        <v>JAUH</v>
      </c>
      <c r="F50" s="11">
        <f>IFERROR(__xludf.DUMMYFUNCTION("""COMPUTED_VALUE"""),3.0)</f>
        <v>3</v>
      </c>
      <c r="G50" s="11">
        <f>IFERROR(__xludf.DUMMYFUNCTION("""COMPUTED_VALUE"""),4.0)</f>
        <v>4</v>
      </c>
      <c r="H50" s="11">
        <f>IFERROR(__xludf.DUMMYFUNCTION("""COMPUTED_VALUE"""),1.0)</f>
        <v>1</v>
      </c>
      <c r="I50" s="11">
        <v>1.0</v>
      </c>
      <c r="J50" s="11">
        <f>IFERROR(__xludf.DUMMYFUNCTION("""COMPUTED_VALUE"""),15.0)</f>
        <v>15</v>
      </c>
      <c r="K50" s="11" t="str">
        <f>IFERROR(__xludf.DUMMYFUNCTION("""COMPUTED_VALUE"""),"DK 8837 HC")</f>
        <v>DK 8837 HC</v>
      </c>
      <c r="L50" s="11" t="str">
        <f>IFERROR(__xludf.DUMMYFUNCTION("""COMPUTED_VALUE"""),"TLPG MANGGIS")</f>
        <v>TLPG MANGGIS</v>
      </c>
      <c r="M50" s="11">
        <f>IFERROR(__xludf.DUMMYFUNCTION("""COMPUTED_VALUE"""),5.0)</f>
        <v>5</v>
      </c>
      <c r="N50" s="11" t="str">
        <f>IFERROR(__xludf.DUMMYFUNCTION("""COMPUTED_VALUE"""),"SPPBE-PT. Sembilan Semangat")</f>
        <v>SPPBE-PT. Sembilan Semangat</v>
      </c>
      <c r="O50" s="11" t="str">
        <f>IFERROR(__xludf.DUMMYFUNCTION("""COMPUTED_VALUE"""),"")</f>
        <v/>
      </c>
      <c r="P50" s="32">
        <f>IFERROR(__xludf.DUMMYFUNCTION("""COMPUTED_VALUE"""),15.0)</f>
        <v>15</v>
      </c>
      <c r="Q50" s="32" t="str">
        <f>IFERROR(__xludf.DUMMYFUNCTION("""COMPUTED_VALUE"""),"DK 8352 GZ")</f>
        <v>DK 8352 GZ</v>
      </c>
      <c r="R50" s="32" t="str">
        <f>IFERROR(__xludf.DUMMYFUNCTION("""COMPUTED_VALUE"""),"TLPG MANGGIS")</f>
        <v>TLPG MANGGIS</v>
      </c>
      <c r="S50" s="32">
        <f>IFERROR(__xludf.DUMMYFUNCTION("""COMPUTED_VALUE"""),6.0)</f>
        <v>6</v>
      </c>
      <c r="T50" s="32" t="str">
        <f>IFERROR(__xludf.DUMMYFUNCTION("""COMPUTED_VALUE"""),"SPPBE-PT. Sembilan Semangat")</f>
        <v>SPPBE-PT. Sembilan Semangat</v>
      </c>
      <c r="U50" s="11" t="str">
        <f>IFERROR(__xludf.DUMMYFUNCTION("""COMPUTED_VALUE"""),"")</f>
        <v/>
      </c>
      <c r="V50" s="11">
        <f>IFERROR(__xludf.DUMMYFUNCTION("""COMPUTED_VALUE"""),15.0)</f>
        <v>15</v>
      </c>
      <c r="W50" s="11" t="str">
        <f>IFERROR(__xludf.DUMMYFUNCTION("""COMPUTED_VALUE"""),"DK 8078 HJ")</f>
        <v>DK 8078 HJ</v>
      </c>
      <c r="X50" s="11" t="str">
        <f>IFERROR(__xludf.DUMMYFUNCTION("""COMPUTED_VALUE"""),"TLPG MANGGIS")</f>
        <v>TLPG MANGGIS</v>
      </c>
      <c r="Y50" s="11">
        <f>IFERROR(__xludf.DUMMYFUNCTION("""COMPUTED_VALUE"""),7.0)</f>
        <v>7</v>
      </c>
      <c r="Z50" s="11" t="str">
        <f>IFERROR(__xludf.DUMMYFUNCTION("""COMPUTED_VALUE"""),"SPPBE-PT. Sembilan Semangat")</f>
        <v>SPPBE-PT. Sembilan Semangat</v>
      </c>
      <c r="AA50" s="11" t="str">
        <f>IFERROR(__xludf.DUMMYFUNCTION("""COMPUTED_VALUE"""),"")</f>
        <v/>
      </c>
      <c r="AB50" s="32">
        <f>IFERROR(__xludf.DUMMYFUNCTION("""COMPUTED_VALUE"""),15.0)</f>
        <v>15</v>
      </c>
      <c r="AC50" s="32" t="str">
        <f>IFERROR(__xludf.DUMMYFUNCTION("""COMPUTED_VALUE"""),"S 9010 NI")</f>
        <v>S 9010 NI</v>
      </c>
      <c r="AD50" s="32" t="str">
        <f>IFERROR(__xludf.DUMMYFUNCTION("""COMPUTED_VALUE"""),"TLPG TJ PERAK")</f>
        <v>TLPG TJ PERAK</v>
      </c>
      <c r="AE50" s="32">
        <f>IFERROR(__xludf.DUMMYFUNCTION("""COMPUTED_VALUE"""),8.0)</f>
        <v>8</v>
      </c>
      <c r="AF50" s="32" t="str">
        <f>IFERROR(__xludf.DUMMYFUNCTION("""COMPUTED_VALUE"""),"PT PATERMAN PETRONIAGA")</f>
        <v>PT PATERMAN PETRONIAGA</v>
      </c>
    </row>
    <row r="51">
      <c r="A51" s="9" t="str">
        <f>IFERROR(__xludf.DUMMYFUNCTION("""COMPUTED_VALUE"""),"AE 8858 UT")</f>
        <v>AE 8858 UT</v>
      </c>
      <c r="B51" s="9" t="str">
        <f>IFERROR(__xludf.DUMMYFUNCTION("""COMPUTED_VALUE"""),"TLPG TJ PERAK")</f>
        <v>TLPG TJ PERAK</v>
      </c>
      <c r="C51" s="9" t="str">
        <f>IFERROR(__xludf.DUMMYFUNCTION("""COMPUTED_VALUE"""),"PT GANGSAR SENTOSA PETROLIUM")</f>
        <v>PT GANGSAR SENTOSA PETROLIUM</v>
      </c>
      <c r="D51" s="11">
        <f>IFERROR(__xludf.DUMMYFUNCTION("""COMPUTED_VALUE"""),167.1)</f>
        <v>167.1</v>
      </c>
      <c r="E51" s="11" t="str">
        <f>IFERROR(__xludf.DUMMYFUNCTION("""COMPUTED_VALUE"""),"JAUH")</f>
        <v>JAUH</v>
      </c>
      <c r="F51" s="11">
        <f>IFERROR(__xludf.DUMMYFUNCTION("""COMPUTED_VALUE"""),3.0)</f>
        <v>3</v>
      </c>
      <c r="G51" s="11">
        <f>IFERROR(__xludf.DUMMYFUNCTION("""COMPUTED_VALUE"""),5.0)</f>
        <v>5</v>
      </c>
      <c r="H51" s="11">
        <f>IFERROR(__xludf.DUMMYFUNCTION("""COMPUTED_VALUE"""),2.0)</f>
        <v>2</v>
      </c>
      <c r="I51" s="11">
        <v>2.0</v>
      </c>
      <c r="J51" s="11">
        <f>IFERROR(__xludf.DUMMYFUNCTION("""COMPUTED_VALUE"""),16.0)</f>
        <v>16</v>
      </c>
      <c r="K51" s="11" t="str">
        <f>IFERROR(__xludf.DUMMYFUNCTION("""COMPUTED_VALUE"""),"N 8834 US")</f>
        <v>N 8834 US</v>
      </c>
      <c r="L51" s="11" t="str">
        <f>IFERROR(__xludf.DUMMYFUNCTION("""COMPUTED_VALUE"""),"TLPG TJ PERAK")</f>
        <v>TLPG TJ PERAK</v>
      </c>
      <c r="M51" s="11">
        <f>IFERROR(__xludf.DUMMYFUNCTION("""COMPUTED_VALUE"""),5.0)</f>
        <v>5</v>
      </c>
      <c r="N51" s="11" t="str">
        <f>IFERROR(__xludf.DUMMYFUNCTION("""COMPUTED_VALUE"""),"PT TATA BERSAMA")</f>
        <v>PT TATA BERSAMA</v>
      </c>
      <c r="O51" s="11" t="str">
        <f>IFERROR(__xludf.DUMMYFUNCTION("""COMPUTED_VALUE"""),"")</f>
        <v/>
      </c>
      <c r="P51" s="32">
        <f>IFERROR(__xludf.DUMMYFUNCTION("""COMPUTED_VALUE"""),16.0)</f>
        <v>16</v>
      </c>
      <c r="Q51" s="32" t="str">
        <f>IFERROR(__xludf.DUMMYFUNCTION("""COMPUTED_VALUE"""),"S 8936 UM")</f>
        <v>S 8936 UM</v>
      </c>
      <c r="R51" s="32" t="str">
        <f>IFERROR(__xludf.DUMMYFUNCTION("""COMPUTED_VALUE"""),"TLPG TJ PERAK")</f>
        <v>TLPG TJ PERAK</v>
      </c>
      <c r="S51" s="32">
        <f>IFERROR(__xludf.DUMMYFUNCTION("""COMPUTED_VALUE"""),6.0)</f>
        <v>6</v>
      </c>
      <c r="T51" s="32" t="str">
        <f>IFERROR(__xludf.DUMMYFUNCTION("""COMPUTED_VALUE"""),"PT PROFIL SUKSES ABADI")</f>
        <v>PT PROFIL SUKSES ABADI</v>
      </c>
      <c r="U51" s="11" t="str">
        <f>IFERROR(__xludf.DUMMYFUNCTION("""COMPUTED_VALUE"""),"")</f>
        <v/>
      </c>
      <c r="V51" s="11">
        <f>IFERROR(__xludf.DUMMYFUNCTION("""COMPUTED_VALUE"""),16.0)</f>
        <v>16</v>
      </c>
      <c r="W51" s="11" t="str">
        <f>IFERROR(__xludf.DUMMYFUNCTION("""COMPUTED_VALUE"""),"S 9611 UJ")</f>
        <v>S 9611 UJ</v>
      </c>
      <c r="X51" s="11" t="str">
        <f>IFERROR(__xludf.DUMMYFUNCTION("""COMPUTED_VALUE"""),"TLPG TJ PERAK")</f>
        <v>TLPG TJ PERAK</v>
      </c>
      <c r="Y51" s="11">
        <f>IFERROR(__xludf.DUMMYFUNCTION("""COMPUTED_VALUE"""),7.0)</f>
        <v>7</v>
      </c>
      <c r="Z51" s="11" t="str">
        <f>IFERROR(__xludf.DUMMYFUNCTION("""COMPUTED_VALUE"""),"PT CATUR MITRA LAMONGAN PRIMA GAS")</f>
        <v>PT CATUR MITRA LAMONGAN PRIMA GAS</v>
      </c>
      <c r="AA51" s="11" t="str">
        <f>IFERROR(__xludf.DUMMYFUNCTION("""COMPUTED_VALUE"""),"")</f>
        <v/>
      </c>
      <c r="AB51" s="32">
        <f>IFERROR(__xludf.DUMMYFUNCTION("""COMPUTED_VALUE"""),16.0)</f>
        <v>16</v>
      </c>
      <c r="AC51" s="32" t="str">
        <f>IFERROR(__xludf.DUMMYFUNCTION("""COMPUTED_VALUE"""),"S 9614 UJ")</f>
        <v>S 9614 UJ</v>
      </c>
      <c r="AD51" s="32" t="str">
        <f>IFERROR(__xludf.DUMMYFUNCTION("""COMPUTED_VALUE"""),"TLPG TJ PERAK")</f>
        <v>TLPG TJ PERAK</v>
      </c>
      <c r="AE51" s="32">
        <f>IFERROR(__xludf.DUMMYFUNCTION("""COMPUTED_VALUE"""),8.0)</f>
        <v>8</v>
      </c>
      <c r="AF51" s="32" t="str">
        <f>IFERROR(__xludf.DUMMYFUNCTION("""COMPUTED_VALUE"""),"PT CATUR MITRA LAMONGAN PRIMA GAS")</f>
        <v>PT CATUR MITRA LAMONGAN PRIMA GAS</v>
      </c>
    </row>
    <row r="52">
      <c r="A52" s="9" t="str">
        <f>IFERROR(__xludf.DUMMYFUNCTION("""COMPUTED_VALUE"""),"AG 9153 UR")</f>
        <v>AG 9153 UR</v>
      </c>
      <c r="B52" s="9" t="str">
        <f>IFERROR(__xludf.DUMMYFUNCTION("""COMPUTED_VALUE"""),"TLPG TJ PERAK")</f>
        <v>TLPG TJ PERAK</v>
      </c>
      <c r="C52" s="9" t="str">
        <f>IFERROR(__xludf.DUMMYFUNCTION("""COMPUTED_VALUE"""),"PT GANGSAR SENTOSA PETROLIUM")</f>
        <v>PT GANGSAR SENTOSA PETROLIUM</v>
      </c>
      <c r="D52" s="11">
        <f>IFERROR(__xludf.DUMMYFUNCTION("""COMPUTED_VALUE"""),167.1)</f>
        <v>167.1</v>
      </c>
      <c r="E52" s="11" t="str">
        <f>IFERROR(__xludf.DUMMYFUNCTION("""COMPUTED_VALUE"""),"JAUH")</f>
        <v>JAUH</v>
      </c>
      <c r="F52" s="11">
        <f>IFERROR(__xludf.DUMMYFUNCTION("""COMPUTED_VALUE"""),3.0)</f>
        <v>3</v>
      </c>
      <c r="G52" s="11">
        <f>IFERROR(__xludf.DUMMYFUNCTION("""COMPUTED_VALUE"""),5.0)</f>
        <v>5</v>
      </c>
      <c r="H52" s="11">
        <f>IFERROR(__xludf.DUMMYFUNCTION("""COMPUTED_VALUE"""),3.0)</f>
        <v>3</v>
      </c>
      <c r="I52" s="11">
        <v>3.0</v>
      </c>
      <c r="J52" s="11">
        <f>IFERROR(__xludf.DUMMYFUNCTION("""COMPUTED_VALUE"""),17.0)</f>
        <v>17</v>
      </c>
      <c r="K52" s="11" t="str">
        <f>IFERROR(__xludf.DUMMYFUNCTION("""COMPUTED_VALUE"""),"S 8058 UL")</f>
        <v>S 8058 UL</v>
      </c>
      <c r="L52" s="11" t="str">
        <f>IFERROR(__xludf.DUMMYFUNCTION("""COMPUTED_VALUE"""),"TLPG MEM GRESIK")</f>
        <v>TLPG MEM GRESIK</v>
      </c>
      <c r="M52" s="11">
        <f>IFERROR(__xludf.DUMMYFUNCTION("""COMPUTED_VALUE"""),5.0)</f>
        <v>5</v>
      </c>
      <c r="N52" s="11" t="str">
        <f>IFERROR(__xludf.DUMMYFUNCTION("""COMPUTED_VALUE"""),"PT LAMONGAN GAS LESTARI")</f>
        <v>PT LAMONGAN GAS LESTARI</v>
      </c>
      <c r="O52" s="11" t="str">
        <f>IFERROR(__xludf.DUMMYFUNCTION("""COMPUTED_VALUE"""),"")</f>
        <v/>
      </c>
      <c r="P52" s="32">
        <f>IFERROR(__xludf.DUMMYFUNCTION("""COMPUTED_VALUE"""),17.0)</f>
        <v>17</v>
      </c>
      <c r="Q52" s="32" t="str">
        <f>IFERROR(__xludf.DUMMYFUNCTION("""COMPUTED_VALUE"""),"W 8409 UQ")</f>
        <v>W 8409 UQ</v>
      </c>
      <c r="R52" s="32" t="str">
        <f>IFERROR(__xludf.DUMMYFUNCTION("""COMPUTED_VALUE"""),"TLPG MEM GRESIK")</f>
        <v>TLPG MEM GRESIK</v>
      </c>
      <c r="S52" s="32">
        <f>IFERROR(__xludf.DUMMYFUNCTION("""COMPUTED_VALUE"""),6.0)</f>
        <v>6</v>
      </c>
      <c r="T52" s="32" t="str">
        <f>IFERROR(__xludf.DUMMYFUNCTION("""COMPUTED_VALUE"""),"PT KARYA JAYA LESTARI")</f>
        <v>PT KARYA JAYA LESTARI</v>
      </c>
      <c r="U52" s="11" t="str">
        <f>IFERROR(__xludf.DUMMYFUNCTION("""COMPUTED_VALUE"""),"")</f>
        <v/>
      </c>
      <c r="V52" s="11">
        <f>IFERROR(__xludf.DUMMYFUNCTION("""COMPUTED_VALUE"""),17.0)</f>
        <v>17</v>
      </c>
      <c r="W52" s="11" t="str">
        <f>IFERROR(__xludf.DUMMYFUNCTION("""COMPUTED_VALUE"""),"DK 8694 KP")</f>
        <v>DK 8694 KP</v>
      </c>
      <c r="X52" s="11" t="str">
        <f>IFERROR(__xludf.DUMMYFUNCTION("""COMPUTED_VALUE"""),"TLPG MANGGIS")</f>
        <v>TLPG MANGGIS</v>
      </c>
      <c r="Y52" s="11">
        <f>IFERROR(__xludf.DUMMYFUNCTION("""COMPUTED_VALUE"""),7.0)</f>
        <v>7</v>
      </c>
      <c r="Z52" s="11" t="str">
        <f>IFERROR(__xludf.DUMMYFUNCTION("""COMPUTED_VALUE"""),"SPPBE-PT. Prapen Artha Dewata")</f>
        <v>SPPBE-PT. Prapen Artha Dewata</v>
      </c>
      <c r="AA52" s="11" t="str">
        <f>IFERROR(__xludf.DUMMYFUNCTION("""COMPUTED_VALUE"""),"")</f>
        <v/>
      </c>
      <c r="AB52" s="32">
        <f>IFERROR(__xludf.DUMMYFUNCTION("""COMPUTED_VALUE"""),17.0)</f>
        <v>17</v>
      </c>
      <c r="AC52" s="32" t="str">
        <f>IFERROR(__xludf.DUMMYFUNCTION("""COMPUTED_VALUE"""),"DK 8636 BE")</f>
        <v>DK 8636 BE</v>
      </c>
      <c r="AD52" s="32" t="str">
        <f>IFERROR(__xludf.DUMMYFUNCTION("""COMPUTED_VALUE"""),"TLPG MANGGIS")</f>
        <v>TLPG MANGGIS</v>
      </c>
      <c r="AE52" s="32">
        <f>IFERROR(__xludf.DUMMYFUNCTION("""COMPUTED_VALUE"""),8.0)</f>
        <v>8</v>
      </c>
      <c r="AF52" s="32" t="str">
        <f>IFERROR(__xludf.DUMMYFUNCTION("""COMPUTED_VALUE"""),"PT CAHAYA ASTIKA DHARMA")</f>
        <v>PT CAHAYA ASTIKA DHARMA</v>
      </c>
    </row>
    <row r="53">
      <c r="A53" s="9" t="str">
        <f>IFERROR(__xludf.DUMMYFUNCTION("""COMPUTED_VALUE"""),"AE 8018 UG")</f>
        <v>AE 8018 UG</v>
      </c>
      <c r="B53" s="9" t="str">
        <f>IFERROR(__xludf.DUMMYFUNCTION("""COMPUTED_VALUE"""),"TLPG TJ PERAK")</f>
        <v>TLPG TJ PERAK</v>
      </c>
      <c r="C53" s="9" t="str">
        <f>IFERROR(__xludf.DUMMYFUNCTION("""COMPUTED_VALUE"""),"PT MADIUNI ELPIJI")</f>
        <v>PT MADIUNI ELPIJI</v>
      </c>
      <c r="D53" s="11">
        <f>IFERROR(__xludf.DUMMYFUNCTION("""COMPUTED_VALUE"""),163.5)</f>
        <v>163.5</v>
      </c>
      <c r="E53" s="11" t="str">
        <f>IFERROR(__xludf.DUMMYFUNCTION("""COMPUTED_VALUE"""),"JAUH")</f>
        <v>JAUH</v>
      </c>
      <c r="F53" s="11">
        <f>IFERROR(__xludf.DUMMYFUNCTION("""COMPUTED_VALUE"""),3.0)</f>
        <v>3</v>
      </c>
      <c r="G53" s="11">
        <f>IFERROR(__xludf.DUMMYFUNCTION("""COMPUTED_VALUE"""),1.0)</f>
        <v>1</v>
      </c>
      <c r="H53" s="11">
        <f>IFERROR(__xludf.DUMMYFUNCTION("""COMPUTED_VALUE"""),4.0)</f>
        <v>4</v>
      </c>
      <c r="I53" s="11">
        <v>4.0</v>
      </c>
      <c r="J53" s="11">
        <f>IFERROR(__xludf.DUMMYFUNCTION("""COMPUTED_VALUE"""),18.0)</f>
        <v>18</v>
      </c>
      <c r="K53" s="11" t="str">
        <f>IFERROR(__xludf.DUMMYFUNCTION("""COMPUTED_VALUE"""),"DK 8368 PA")</f>
        <v>DK 8368 PA</v>
      </c>
      <c r="L53" s="11" t="str">
        <f>IFERROR(__xludf.DUMMYFUNCTION("""COMPUTED_VALUE"""),"TLPG MANGGIS")</f>
        <v>TLPG MANGGIS</v>
      </c>
      <c r="M53" s="11">
        <f>IFERROR(__xludf.DUMMYFUNCTION("""COMPUTED_VALUE"""),5.0)</f>
        <v>5</v>
      </c>
      <c r="N53" s="11" t="str">
        <f>IFERROR(__xludf.DUMMYFUNCTION("""COMPUTED_VALUE"""),"SPPBE-PT. Segara Windhu Dewata")</f>
        <v>SPPBE-PT. Segara Windhu Dewata</v>
      </c>
      <c r="O53" s="11" t="str">
        <f>IFERROR(__xludf.DUMMYFUNCTION("""COMPUTED_VALUE"""),"")</f>
        <v/>
      </c>
      <c r="P53" s="32">
        <f>IFERROR(__xludf.DUMMYFUNCTION("""COMPUTED_VALUE"""),18.0)</f>
        <v>18</v>
      </c>
      <c r="Q53" s="32" t="str">
        <f>IFERROR(__xludf.DUMMYFUNCTION("""COMPUTED_VALUE"""),"DK 8369 PA")</f>
        <v>DK 8369 PA</v>
      </c>
      <c r="R53" s="32" t="str">
        <f>IFERROR(__xludf.DUMMYFUNCTION("""COMPUTED_VALUE"""),"TLPG MANGGIS")</f>
        <v>TLPG MANGGIS</v>
      </c>
      <c r="S53" s="32">
        <f>IFERROR(__xludf.DUMMYFUNCTION("""COMPUTED_VALUE"""),6.0)</f>
        <v>6</v>
      </c>
      <c r="T53" s="32" t="str">
        <f>IFERROR(__xludf.DUMMYFUNCTION("""COMPUTED_VALUE"""),"SPPBE-PT. Segara Windhu Dewata")</f>
        <v>SPPBE-PT. Segara Windhu Dewata</v>
      </c>
      <c r="U53" s="11" t="str">
        <f>IFERROR(__xludf.DUMMYFUNCTION("""COMPUTED_VALUE"""),"")</f>
        <v/>
      </c>
      <c r="V53" s="11">
        <f>IFERROR(__xludf.DUMMYFUNCTION("""COMPUTED_VALUE"""),18.0)</f>
        <v>18</v>
      </c>
      <c r="W53" s="11" t="str">
        <f>IFERROR(__xludf.DUMMYFUNCTION("""COMPUTED_VALUE"""),"S 8977 UL")</f>
        <v>S 8977 UL</v>
      </c>
      <c r="X53" s="11" t="str">
        <f>IFERROR(__xludf.DUMMYFUNCTION("""COMPUTED_VALUE"""),"TLPG TJ PERAK")</f>
        <v>TLPG TJ PERAK</v>
      </c>
      <c r="Y53" s="11">
        <f>IFERROR(__xludf.DUMMYFUNCTION("""COMPUTED_VALUE"""),7.0)</f>
        <v>7</v>
      </c>
      <c r="Z53" s="11" t="str">
        <f>IFERROR(__xludf.DUMMYFUNCTION("""COMPUTED_VALUE"""),"PT SRI MUKTI RAYA")</f>
        <v>PT SRI MUKTI RAYA</v>
      </c>
      <c r="AA53" s="11" t="str">
        <f>IFERROR(__xludf.DUMMYFUNCTION("""COMPUTED_VALUE"""),"")</f>
        <v/>
      </c>
      <c r="AB53" s="32">
        <f>IFERROR(__xludf.DUMMYFUNCTION("""COMPUTED_VALUE"""),18.0)</f>
        <v>18</v>
      </c>
      <c r="AC53" s="32" t="str">
        <f>IFERROR(__xludf.DUMMYFUNCTION("""COMPUTED_VALUE"""),"DK 8735 DQ")</f>
        <v>DK 8735 DQ</v>
      </c>
      <c r="AD53" s="32" t="str">
        <f>IFERROR(__xludf.DUMMYFUNCTION("""COMPUTED_VALUE"""),"TLPG MANGGIS")</f>
        <v>TLPG MANGGIS</v>
      </c>
      <c r="AE53" s="32">
        <f>IFERROR(__xludf.DUMMYFUNCTION("""COMPUTED_VALUE"""),8.0)</f>
        <v>8</v>
      </c>
      <c r="AF53" s="32" t="str">
        <f>IFERROR(__xludf.DUMMYFUNCTION("""COMPUTED_VALUE"""),"SPPBE-PT. Candra Karya Gas")</f>
        <v>SPPBE-PT. Candra Karya Gas</v>
      </c>
    </row>
    <row r="54">
      <c r="A54" s="9" t="str">
        <f>IFERROR(__xludf.DUMMYFUNCTION("""COMPUTED_VALUE"""),"AE 8175 UC")</f>
        <v>AE 8175 UC</v>
      </c>
      <c r="B54" s="9" t="str">
        <f>IFERROR(__xludf.DUMMYFUNCTION("""COMPUTED_VALUE"""),"TLPG TJ PERAK")</f>
        <v>TLPG TJ PERAK</v>
      </c>
      <c r="C54" s="9" t="str">
        <f>IFERROR(__xludf.DUMMYFUNCTION("""COMPUTED_VALUE"""),"PT MADIUNI ELPIJI")</f>
        <v>PT MADIUNI ELPIJI</v>
      </c>
      <c r="D54" s="11">
        <f>IFERROR(__xludf.DUMMYFUNCTION("""COMPUTED_VALUE"""),163.5)</f>
        <v>163.5</v>
      </c>
      <c r="E54" s="11" t="str">
        <f>IFERROR(__xludf.DUMMYFUNCTION("""COMPUTED_VALUE"""),"JAUH")</f>
        <v>JAUH</v>
      </c>
      <c r="F54" s="11">
        <f>IFERROR(__xludf.DUMMYFUNCTION("""COMPUTED_VALUE"""),3.0)</f>
        <v>3</v>
      </c>
      <c r="G54" s="11">
        <f>IFERROR(__xludf.DUMMYFUNCTION("""COMPUTED_VALUE"""),1.0)</f>
        <v>1</v>
      </c>
      <c r="H54" s="11">
        <f>IFERROR(__xludf.DUMMYFUNCTION("""COMPUTED_VALUE"""),5.0)</f>
        <v>5</v>
      </c>
      <c r="I54" s="11">
        <v>5.0</v>
      </c>
      <c r="J54" s="11">
        <f>IFERROR(__xludf.DUMMYFUNCTION("""COMPUTED_VALUE"""),19.0)</f>
        <v>19</v>
      </c>
      <c r="K54" s="11" t="str">
        <f>IFERROR(__xludf.DUMMYFUNCTION("""COMPUTED_VALUE"""),"DK 8198 BK")</f>
        <v>DK 8198 BK</v>
      </c>
      <c r="L54" s="11" t="str">
        <f>IFERROR(__xludf.DUMMYFUNCTION("""COMPUTED_VALUE"""),"TLPG MANGGIS")</f>
        <v>TLPG MANGGIS</v>
      </c>
      <c r="M54" s="11">
        <f>IFERROR(__xludf.DUMMYFUNCTION("""COMPUTED_VALUE"""),5.0)</f>
        <v>5</v>
      </c>
      <c r="N54" s="11" t="str">
        <f>IFERROR(__xludf.DUMMYFUNCTION("""COMPUTED_VALUE"""),"SPPBE-PT. Sari Dharma Mandiri")</f>
        <v>SPPBE-PT. Sari Dharma Mandiri</v>
      </c>
      <c r="O54" s="11" t="str">
        <f>IFERROR(__xludf.DUMMYFUNCTION("""COMPUTED_VALUE"""),"")</f>
        <v/>
      </c>
      <c r="P54" s="32">
        <f>IFERROR(__xludf.DUMMYFUNCTION("""COMPUTED_VALUE"""),19.0)</f>
        <v>19</v>
      </c>
      <c r="Q54" s="32" t="str">
        <f>IFERROR(__xludf.DUMMYFUNCTION("""COMPUTED_VALUE"""),"DK 8967 CA")</f>
        <v>DK 8967 CA</v>
      </c>
      <c r="R54" s="32" t="str">
        <f>IFERROR(__xludf.DUMMYFUNCTION("""COMPUTED_VALUE"""),"TLPG MANGGIS")</f>
        <v>TLPG MANGGIS</v>
      </c>
      <c r="S54" s="32">
        <f>IFERROR(__xludf.DUMMYFUNCTION("""COMPUTED_VALUE"""),6.0)</f>
        <v>6</v>
      </c>
      <c r="T54" s="32" t="str">
        <f>IFERROR(__xludf.DUMMYFUNCTION("""COMPUTED_VALUE"""),"SPPBE-PT. Sari Dharma Mandiri")</f>
        <v>SPPBE-PT. Sari Dharma Mandiri</v>
      </c>
      <c r="U54" s="11" t="str">
        <f>IFERROR(__xludf.DUMMYFUNCTION("""COMPUTED_VALUE"""),"")</f>
        <v/>
      </c>
      <c r="V54" s="11">
        <f>IFERROR(__xludf.DUMMYFUNCTION("""COMPUTED_VALUE"""),19.0)</f>
        <v>19</v>
      </c>
      <c r="W54" s="11" t="str">
        <f>IFERROR(__xludf.DUMMYFUNCTION("""COMPUTED_VALUE"""),"DR 8129 AH")</f>
        <v>DR 8129 AH</v>
      </c>
      <c r="X54" s="11" t="str">
        <f>IFERROR(__xludf.DUMMYFUNCTION("""COMPUTED_VALUE"""),"TLPG LOMBOK")</f>
        <v>TLPG LOMBOK</v>
      </c>
      <c r="Y54" s="11">
        <f>IFERROR(__xludf.DUMMYFUNCTION("""COMPUTED_VALUE"""),7.0)</f>
        <v>7</v>
      </c>
      <c r="Z54" s="11" t="str">
        <f>IFERROR(__xludf.DUMMYFUNCTION("""COMPUTED_VALUE"""),"SPPBE-PT. Surya Adiguna Indogas")</f>
        <v>SPPBE-PT. Surya Adiguna Indogas</v>
      </c>
      <c r="AA54" s="11" t="str">
        <f>IFERROR(__xludf.DUMMYFUNCTION("""COMPUTED_VALUE"""),"")</f>
        <v/>
      </c>
      <c r="AB54" s="32">
        <f>IFERROR(__xludf.DUMMYFUNCTION("""COMPUTED_VALUE"""),19.0)</f>
        <v>19</v>
      </c>
      <c r="AC54" s="32" t="str">
        <f>IFERROR(__xludf.DUMMYFUNCTION("""COMPUTED_VALUE"""),"L 8115 UUC")</f>
        <v>L 8115 UUC</v>
      </c>
      <c r="AD54" s="32" t="str">
        <f>IFERROR(__xludf.DUMMYFUNCTION("""COMPUTED_VALUE"""),"TLPG LOMBOK")</f>
        <v>TLPG LOMBOK</v>
      </c>
      <c r="AE54" s="32">
        <f>IFERROR(__xludf.DUMMYFUNCTION("""COMPUTED_VALUE"""),8.0)</f>
        <v>8</v>
      </c>
      <c r="AF54" s="32" t="str">
        <f>IFERROR(__xludf.DUMMYFUNCTION("""COMPUTED_VALUE"""),"SPPBE-PT. Surya Adiguna Indogas")</f>
        <v>SPPBE-PT. Surya Adiguna Indogas</v>
      </c>
    </row>
    <row r="55">
      <c r="A55" s="9" t="str">
        <f>IFERROR(__xludf.DUMMYFUNCTION("""COMPUTED_VALUE"""),"AE 8458 UF")</f>
        <v>AE 8458 UF</v>
      </c>
      <c r="B55" s="9" t="str">
        <f>IFERROR(__xludf.DUMMYFUNCTION("""COMPUTED_VALUE"""),"TLPG TJ PERAK")</f>
        <v>TLPG TJ PERAK</v>
      </c>
      <c r="C55" s="9" t="str">
        <f>IFERROR(__xludf.DUMMYFUNCTION("""COMPUTED_VALUE"""),"PT MADIUNI ELPIJI")</f>
        <v>PT MADIUNI ELPIJI</v>
      </c>
      <c r="D55" s="11">
        <f>IFERROR(__xludf.DUMMYFUNCTION("""COMPUTED_VALUE"""),163.5)</f>
        <v>163.5</v>
      </c>
      <c r="E55" s="11" t="str">
        <f>IFERROR(__xludf.DUMMYFUNCTION("""COMPUTED_VALUE"""),"JAUH")</f>
        <v>JAUH</v>
      </c>
      <c r="F55" s="11">
        <f>IFERROR(__xludf.DUMMYFUNCTION("""COMPUTED_VALUE"""),3.0)</f>
        <v>3</v>
      </c>
      <c r="G55" s="11">
        <f>IFERROR(__xludf.DUMMYFUNCTION("""COMPUTED_VALUE"""),1.0)</f>
        <v>1</v>
      </c>
      <c r="H55" s="11">
        <f>IFERROR(__xludf.DUMMYFUNCTION("""COMPUTED_VALUE"""),6.0)</f>
        <v>6</v>
      </c>
      <c r="I55" s="11">
        <v>6.0</v>
      </c>
      <c r="J55" s="11">
        <f>IFERROR(__xludf.DUMMYFUNCTION("""COMPUTED_VALUE"""),20.0)</f>
        <v>20</v>
      </c>
      <c r="K55" s="11" t="str">
        <f>IFERROR(__xludf.DUMMYFUNCTION("""COMPUTED_VALUE"""),"DK 8203 KO")</f>
        <v>DK 8203 KO</v>
      </c>
      <c r="L55" s="11" t="str">
        <f>IFERROR(__xludf.DUMMYFUNCTION("""COMPUTED_VALUE"""),"TLPG MANGGIS")</f>
        <v>TLPG MANGGIS</v>
      </c>
      <c r="M55" s="11">
        <f>IFERROR(__xludf.DUMMYFUNCTION("""COMPUTED_VALUE"""),5.0)</f>
        <v>5</v>
      </c>
      <c r="N55" s="11" t="str">
        <f>IFERROR(__xludf.DUMMYFUNCTION("""COMPUTED_VALUE"""),"SPPBE-PT. Dasico Panca Rena")</f>
        <v>SPPBE-PT. Dasico Panca Rena</v>
      </c>
      <c r="O55" s="11" t="str">
        <f>IFERROR(__xludf.DUMMYFUNCTION("""COMPUTED_VALUE"""),"")</f>
        <v/>
      </c>
      <c r="P55" s="32">
        <f>IFERROR(__xludf.DUMMYFUNCTION("""COMPUTED_VALUE"""),20.0)</f>
        <v>20</v>
      </c>
      <c r="Q55" s="32" t="str">
        <f>IFERROR(__xludf.DUMMYFUNCTION("""COMPUTED_VALUE"""),"M 8366 UG")</f>
        <v>M 8366 UG</v>
      </c>
      <c r="R55" s="32" t="str">
        <f>IFERROR(__xludf.DUMMYFUNCTION("""COMPUTED_VALUE"""),"TLPG TJ PERAK")</f>
        <v>TLPG TJ PERAK</v>
      </c>
      <c r="S55" s="32">
        <f>IFERROR(__xludf.DUMMYFUNCTION("""COMPUTED_VALUE"""),6.0)</f>
        <v>6</v>
      </c>
      <c r="T55" s="32" t="str">
        <f>IFERROR(__xludf.DUMMYFUNCTION("""COMPUTED_VALUE"""),"PT TRIJAYA ADYMIX BANGKALAN")</f>
        <v>PT TRIJAYA ADYMIX BANGKALAN</v>
      </c>
      <c r="U55" s="11" t="str">
        <f>IFERROR(__xludf.DUMMYFUNCTION("""COMPUTED_VALUE"""),"")</f>
        <v/>
      </c>
      <c r="V55" s="11">
        <f>IFERROR(__xludf.DUMMYFUNCTION("""COMPUTED_VALUE"""),20.0)</f>
        <v>20</v>
      </c>
      <c r="W55" s="11" t="str">
        <f>IFERROR(__xludf.DUMMYFUNCTION("""COMPUTED_VALUE"""),"W 8729 QD")</f>
        <v>W 8729 QD</v>
      </c>
      <c r="X55" s="11" t="str">
        <f>IFERROR(__xludf.DUMMYFUNCTION("""COMPUTED_VALUE"""),"TLPG TJ PERAK")</f>
        <v>TLPG TJ PERAK</v>
      </c>
      <c r="Y55" s="11">
        <f>IFERROR(__xludf.DUMMYFUNCTION("""COMPUTED_VALUE"""),7.0)</f>
        <v>7</v>
      </c>
      <c r="Z55" s="11" t="str">
        <f>IFERROR(__xludf.DUMMYFUNCTION("""COMPUTED_VALUE"""),"PT SUMAN GAUNG PERSADA")</f>
        <v>PT SUMAN GAUNG PERSADA</v>
      </c>
      <c r="AA55" s="11" t="str">
        <f>IFERROR(__xludf.DUMMYFUNCTION("""COMPUTED_VALUE"""),"")</f>
        <v/>
      </c>
      <c r="AB55" s="32">
        <f>IFERROR(__xludf.DUMMYFUNCTION("""COMPUTED_VALUE"""),20.0)</f>
        <v>20</v>
      </c>
      <c r="AC55" s="32" t="str">
        <f>IFERROR(__xludf.DUMMYFUNCTION("""COMPUTED_VALUE"""),"W 8193 PF")</f>
        <v>W 8193 PF</v>
      </c>
      <c r="AD55" s="32" t="str">
        <f>IFERROR(__xludf.DUMMYFUNCTION("""COMPUTED_VALUE"""),"TLPG TJ PERAK")</f>
        <v>TLPG TJ PERAK</v>
      </c>
      <c r="AE55" s="32">
        <f>IFERROR(__xludf.DUMMYFUNCTION("""COMPUTED_VALUE"""),8.0)</f>
        <v>8</v>
      </c>
      <c r="AF55" s="32" t="str">
        <f>IFERROR(__xludf.DUMMYFUNCTION("""COMPUTED_VALUE"""),"PT BONGKARAN ENERGI")</f>
        <v>PT BONGKARAN ENERGI</v>
      </c>
    </row>
    <row r="56">
      <c r="A56" s="9" t="str">
        <f>IFERROR(__xludf.DUMMYFUNCTION("""COMPUTED_VALUE"""),"AE 8459 UF")</f>
        <v>AE 8459 UF</v>
      </c>
      <c r="B56" s="9" t="str">
        <f>IFERROR(__xludf.DUMMYFUNCTION("""COMPUTED_VALUE"""),"TLPG TJ PERAK")</f>
        <v>TLPG TJ PERAK</v>
      </c>
      <c r="C56" s="9" t="str">
        <f>IFERROR(__xludf.DUMMYFUNCTION("""COMPUTED_VALUE"""),"PT MADIUNI ELPIJI")</f>
        <v>PT MADIUNI ELPIJI</v>
      </c>
      <c r="D56" s="11">
        <f>IFERROR(__xludf.DUMMYFUNCTION("""COMPUTED_VALUE"""),163.5)</f>
        <v>163.5</v>
      </c>
      <c r="E56" s="11" t="str">
        <f>IFERROR(__xludf.DUMMYFUNCTION("""COMPUTED_VALUE"""),"JAUH")</f>
        <v>JAUH</v>
      </c>
      <c r="F56" s="11">
        <f>IFERROR(__xludf.DUMMYFUNCTION("""COMPUTED_VALUE"""),3.0)</f>
        <v>3</v>
      </c>
      <c r="G56" s="11">
        <f>IFERROR(__xludf.DUMMYFUNCTION("""COMPUTED_VALUE"""),1.0)</f>
        <v>1</v>
      </c>
      <c r="H56" s="11">
        <f>IFERROR(__xludf.DUMMYFUNCTION("""COMPUTED_VALUE"""),7.0)</f>
        <v>7</v>
      </c>
      <c r="I56" s="11">
        <v>7.0</v>
      </c>
      <c r="J56" s="11">
        <f>IFERROR(__xludf.DUMMYFUNCTION("""COMPUTED_VALUE"""),21.0)</f>
        <v>21</v>
      </c>
      <c r="K56" s="11" t="str">
        <f>IFERROR(__xludf.DUMMYFUNCTION("""COMPUTED_VALUE"""),"DK 8141 JM")</f>
        <v>DK 8141 JM</v>
      </c>
      <c r="L56" s="11" t="str">
        <f>IFERROR(__xludf.DUMMYFUNCTION("""COMPUTED_VALUE"""),"TLPG MANGGIS")</f>
        <v>TLPG MANGGIS</v>
      </c>
      <c r="M56" s="11">
        <f>IFERROR(__xludf.DUMMYFUNCTION("""COMPUTED_VALUE"""),5.0)</f>
        <v>5</v>
      </c>
      <c r="N56" s="11" t="str">
        <f>IFERROR(__xludf.DUMMYFUNCTION("""COMPUTED_VALUE"""),"SPPBE-PT. Pancadarma Puspawira Putra")</f>
        <v>SPPBE-PT. Pancadarma Puspawira Putra</v>
      </c>
      <c r="O56" s="11" t="str">
        <f>IFERROR(__xludf.DUMMYFUNCTION("""COMPUTED_VALUE"""),"")</f>
        <v/>
      </c>
      <c r="P56" s="32">
        <f>IFERROR(__xludf.DUMMYFUNCTION("""COMPUTED_VALUE"""),21.0)</f>
        <v>21</v>
      </c>
      <c r="Q56" s="32" t="str">
        <f>IFERROR(__xludf.DUMMYFUNCTION("""COMPUTED_VALUE"""),"DK 8204 KO")</f>
        <v>DK 8204 KO</v>
      </c>
      <c r="R56" s="32" t="str">
        <f>IFERROR(__xludf.DUMMYFUNCTION("""COMPUTED_VALUE"""),"TLPG MANGGIS")</f>
        <v>TLPG MANGGIS</v>
      </c>
      <c r="S56" s="32">
        <f>IFERROR(__xludf.DUMMYFUNCTION("""COMPUTED_VALUE"""),6.0)</f>
        <v>6</v>
      </c>
      <c r="T56" s="32" t="str">
        <f>IFERROR(__xludf.DUMMYFUNCTION("""COMPUTED_VALUE"""),"SPPBE-PT. Dasico Panca Rena")</f>
        <v>SPPBE-PT. Dasico Panca Rena</v>
      </c>
      <c r="U56" s="11" t="str">
        <f>IFERROR(__xludf.DUMMYFUNCTION("""COMPUTED_VALUE"""),"")</f>
        <v/>
      </c>
      <c r="V56" s="11">
        <f>IFERROR(__xludf.DUMMYFUNCTION("""COMPUTED_VALUE"""),21.0)</f>
        <v>21</v>
      </c>
      <c r="W56" s="11" t="str">
        <f>IFERROR(__xludf.DUMMYFUNCTION("""COMPUTED_VALUE"""),"L 8303 UDD")</f>
        <v>L 8303 UDD</v>
      </c>
      <c r="X56" s="11" t="str">
        <f>IFERROR(__xludf.DUMMYFUNCTION("""COMPUTED_VALUE"""),"TLPG MEM GRESIK")</f>
        <v>TLPG MEM GRESIK</v>
      </c>
      <c r="Y56" s="11">
        <f>IFERROR(__xludf.DUMMYFUNCTION("""COMPUTED_VALUE"""),7.0)</f>
        <v>7</v>
      </c>
      <c r="Z56" s="11" t="str">
        <f>IFERROR(__xludf.DUMMYFUNCTION("""COMPUTED_VALUE"""),"PT BAKTI NUSA PERDANA")</f>
        <v>PT BAKTI NUSA PERDANA</v>
      </c>
      <c r="AA56" s="11" t="str">
        <f>IFERROR(__xludf.DUMMYFUNCTION("""COMPUTED_VALUE"""),"")</f>
        <v/>
      </c>
      <c r="AB56" s="32">
        <f>IFERROR(__xludf.DUMMYFUNCTION("""COMPUTED_VALUE"""),21.0)</f>
        <v>21</v>
      </c>
      <c r="AC56" s="32" t="str">
        <f>IFERROR(__xludf.DUMMYFUNCTION("""COMPUTED_VALUE"""),"L 9552 UW")</f>
        <v>L 9552 UW</v>
      </c>
      <c r="AD56" s="32" t="str">
        <f>IFERROR(__xludf.DUMMYFUNCTION("""COMPUTED_VALUE"""),"TLPG MEM GRESIK")</f>
        <v>TLPG MEM GRESIK</v>
      </c>
      <c r="AE56" s="32">
        <f>IFERROR(__xludf.DUMMYFUNCTION("""COMPUTED_VALUE"""),8.0)</f>
        <v>8</v>
      </c>
      <c r="AF56" s="32" t="str">
        <f>IFERROR(__xludf.DUMMYFUNCTION("""COMPUTED_VALUE"""),"PT UNIVERSAL ENERGY PRATAMA")</f>
        <v>PT UNIVERSAL ENERGY PRATAMA</v>
      </c>
    </row>
    <row r="57">
      <c r="A57" s="9" t="str">
        <f>IFERROR(__xludf.DUMMYFUNCTION("""COMPUTED_VALUE"""),"M 8016 UV")</f>
        <v>M 8016 UV</v>
      </c>
      <c r="B57" s="9" t="str">
        <f>IFERROR(__xludf.DUMMYFUNCTION("""COMPUTED_VALUE"""),"TLPG TJ PERAK")</f>
        <v>TLPG TJ PERAK</v>
      </c>
      <c r="C57" s="9" t="str">
        <f>IFERROR(__xludf.DUMMYFUNCTION("""COMPUTED_VALUE"""),"PT MITRA MADURA DHARMA ABADI")</f>
        <v>PT MITRA MADURA DHARMA ABADI</v>
      </c>
      <c r="D57" s="11">
        <f>IFERROR(__xludf.DUMMYFUNCTION("""COMPUTED_VALUE"""),161.8)</f>
        <v>161.8</v>
      </c>
      <c r="E57" s="11" t="str">
        <f>IFERROR(__xludf.DUMMYFUNCTION("""COMPUTED_VALUE"""),"JAUH")</f>
        <v>JAUH</v>
      </c>
      <c r="F57" s="11">
        <f>IFERROR(__xludf.DUMMYFUNCTION("""COMPUTED_VALUE"""),3.0)</f>
        <v>3</v>
      </c>
      <c r="G57" s="11">
        <f>IFERROR(__xludf.DUMMYFUNCTION("""COMPUTED_VALUE"""),7.0)</f>
        <v>7</v>
      </c>
      <c r="H57" s="11">
        <f>IFERROR(__xludf.DUMMYFUNCTION("""COMPUTED_VALUE"""),8.0)</f>
        <v>8</v>
      </c>
      <c r="I57" s="11">
        <v>8.0</v>
      </c>
      <c r="J57" s="11">
        <f>IFERROR(__xludf.DUMMYFUNCTION("""COMPUTED_VALUE"""),22.0)</f>
        <v>22</v>
      </c>
      <c r="K57" s="11" t="str">
        <f>IFERROR(__xludf.DUMMYFUNCTION("""COMPUTED_VALUE"""),"L 8973 UU")</f>
        <v>L 8973 UU</v>
      </c>
      <c r="L57" s="11" t="str">
        <f>IFERROR(__xludf.DUMMYFUNCTION("""COMPUTED_VALUE"""),"TLPG TJ PERAK")</f>
        <v>TLPG TJ PERAK</v>
      </c>
      <c r="M57" s="11">
        <f>IFERROR(__xludf.DUMMYFUNCTION("""COMPUTED_VALUE"""),5.0)</f>
        <v>5</v>
      </c>
      <c r="N57" s="11" t="str">
        <f>IFERROR(__xludf.DUMMYFUNCTION("""COMPUTED_VALUE"""),"PT GOENADI GASINDO PRATAMA")</f>
        <v>PT GOENADI GASINDO PRATAMA</v>
      </c>
      <c r="O57" s="11" t="str">
        <f>IFERROR(__xludf.DUMMYFUNCTION("""COMPUTED_VALUE"""),"")</f>
        <v/>
      </c>
      <c r="P57" s="32">
        <f>IFERROR(__xludf.DUMMYFUNCTION("""COMPUTED_VALUE"""),22.0)</f>
        <v>22</v>
      </c>
      <c r="Q57" s="32" t="str">
        <f>IFERROR(__xludf.DUMMYFUNCTION("""COMPUTED_VALUE"""),"L 8547 UI")</f>
        <v>L 8547 UI</v>
      </c>
      <c r="R57" s="32" t="str">
        <f>IFERROR(__xludf.DUMMYFUNCTION("""COMPUTED_VALUE"""),"TLPG TJ PERAK")</f>
        <v>TLPG TJ PERAK</v>
      </c>
      <c r="S57" s="32">
        <f>IFERROR(__xludf.DUMMYFUNCTION("""COMPUTED_VALUE"""),6.0)</f>
        <v>6</v>
      </c>
      <c r="T57" s="32" t="str">
        <f>IFERROR(__xludf.DUMMYFUNCTION("""COMPUTED_VALUE"""),"PT MULTI BERKAH AMANAH")</f>
        <v>PT MULTI BERKAH AMANAH</v>
      </c>
      <c r="U57" s="11" t="str">
        <f>IFERROR(__xludf.DUMMYFUNCTION("""COMPUTED_VALUE"""),"")</f>
        <v/>
      </c>
      <c r="V57" s="11">
        <f>IFERROR(__xludf.DUMMYFUNCTION("""COMPUTED_VALUE"""),22.0)</f>
        <v>22</v>
      </c>
      <c r="W57" s="11" t="str">
        <f>IFERROR(__xludf.DUMMYFUNCTION("""COMPUTED_VALUE"""),"P 8176 UW")</f>
        <v>P 8176 UW</v>
      </c>
      <c r="X57" s="11" t="str">
        <f>IFERROR(__xludf.DUMMYFUNCTION("""COMPUTED_VALUE"""),"TLPG TJ WANGI")</f>
        <v>TLPG TJ WANGI</v>
      </c>
      <c r="Y57" s="11">
        <f>IFERROR(__xludf.DUMMYFUNCTION("""COMPUTED_VALUE"""),7.0)</f>
        <v>7</v>
      </c>
      <c r="Z57" s="11" t="str">
        <f>IFERROR(__xludf.DUMMYFUNCTION("""COMPUTED_VALUE"""),"PT ARGOPURO MAJU SUKSES")</f>
        <v>PT ARGOPURO MAJU SUKSES</v>
      </c>
      <c r="AA57" s="11" t="str">
        <f>IFERROR(__xludf.DUMMYFUNCTION("""COMPUTED_VALUE"""),"")</f>
        <v/>
      </c>
      <c r="AB57" s="32">
        <f>IFERROR(__xludf.DUMMYFUNCTION("""COMPUTED_VALUE"""),22.0)</f>
        <v>22</v>
      </c>
      <c r="AC57" s="32" t="str">
        <f>IFERROR(__xludf.DUMMYFUNCTION("""COMPUTED_VALUE"""),"DK 8533 CE")</f>
        <v>DK 8533 CE</v>
      </c>
      <c r="AD57" s="32" t="str">
        <f>IFERROR(__xludf.DUMMYFUNCTION("""COMPUTED_VALUE"""),"TLPG MANGGIS")</f>
        <v>TLPG MANGGIS</v>
      </c>
      <c r="AE57" s="32">
        <f>IFERROR(__xludf.DUMMYFUNCTION("""COMPUTED_VALUE"""),8.0)</f>
        <v>8</v>
      </c>
      <c r="AF57" s="32" t="str">
        <f>IFERROR(__xludf.DUMMYFUNCTION("""COMPUTED_VALUE"""),"PT HELA CITRA AGUNG")</f>
        <v>PT HELA CITRA AGUNG</v>
      </c>
    </row>
    <row r="58">
      <c r="A58" s="9" t="str">
        <f>IFERROR(__xludf.DUMMYFUNCTION("""COMPUTED_VALUE"""),"M 9026 UV")</f>
        <v>M 9026 UV</v>
      </c>
      <c r="B58" s="9" t="str">
        <f>IFERROR(__xludf.DUMMYFUNCTION("""COMPUTED_VALUE"""),"TLPG TJ PERAK")</f>
        <v>TLPG TJ PERAK</v>
      </c>
      <c r="C58" s="9" t="str">
        <f>IFERROR(__xludf.DUMMYFUNCTION("""COMPUTED_VALUE"""),"PT MITRA MADURA DHARMA ABADI")</f>
        <v>PT MITRA MADURA DHARMA ABADI</v>
      </c>
      <c r="D58" s="11">
        <f>IFERROR(__xludf.DUMMYFUNCTION("""COMPUTED_VALUE"""),161.8)</f>
        <v>161.8</v>
      </c>
      <c r="E58" s="11" t="str">
        <f>IFERROR(__xludf.DUMMYFUNCTION("""COMPUTED_VALUE"""),"JAUH")</f>
        <v>JAUH</v>
      </c>
      <c r="F58" s="11">
        <f>IFERROR(__xludf.DUMMYFUNCTION("""COMPUTED_VALUE"""),3.0)</f>
        <v>3</v>
      </c>
      <c r="G58" s="11">
        <f>IFERROR(__xludf.DUMMYFUNCTION("""COMPUTED_VALUE"""),7.0)</f>
        <v>7</v>
      </c>
      <c r="H58" s="11">
        <f>IFERROR(__xludf.DUMMYFUNCTION("""COMPUTED_VALUE"""),9.0)</f>
        <v>9</v>
      </c>
      <c r="I58" s="11">
        <v>9.0</v>
      </c>
      <c r="J58" s="11">
        <f>IFERROR(__xludf.DUMMYFUNCTION("""COMPUTED_VALUE"""),23.0)</f>
        <v>23</v>
      </c>
      <c r="K58" s="11" t="str">
        <f>IFERROR(__xludf.DUMMYFUNCTION("""COMPUTED_VALUE"""),"B 9711 SFU")</f>
        <v>B 9711 SFU</v>
      </c>
      <c r="L58" s="11" t="str">
        <f>IFERROR(__xludf.DUMMYFUNCTION("""COMPUTED_VALUE"""),"TLPG TJ WANGI")</f>
        <v>TLPG TJ WANGI</v>
      </c>
      <c r="M58" s="11">
        <f>IFERROR(__xludf.DUMMYFUNCTION("""COMPUTED_VALUE"""),5.0)</f>
        <v>5</v>
      </c>
      <c r="N58" s="11" t="str">
        <f>IFERROR(__xludf.DUMMYFUNCTION("""COMPUTED_VALUE"""),"PT PATRA NIAGA 1")</f>
        <v>PT PATRA NIAGA 1</v>
      </c>
      <c r="O58" s="11" t="str">
        <f>IFERROR(__xludf.DUMMYFUNCTION("""COMPUTED_VALUE"""),"")</f>
        <v/>
      </c>
      <c r="P58" s="32">
        <f>IFERROR(__xludf.DUMMYFUNCTION("""COMPUTED_VALUE"""),23.0)</f>
        <v>23</v>
      </c>
      <c r="Q58" s="32" t="str">
        <f>IFERROR(__xludf.DUMMYFUNCTION("""COMPUTED_VALUE"""),"B 9713 SFU")</f>
        <v>B 9713 SFU</v>
      </c>
      <c r="R58" s="32" t="str">
        <f>IFERROR(__xludf.DUMMYFUNCTION("""COMPUTED_VALUE"""),"TLPG TJ WANGI")</f>
        <v>TLPG TJ WANGI</v>
      </c>
      <c r="S58" s="32">
        <f>IFERROR(__xludf.DUMMYFUNCTION("""COMPUTED_VALUE"""),6.0)</f>
        <v>6</v>
      </c>
      <c r="T58" s="32" t="str">
        <f>IFERROR(__xludf.DUMMYFUNCTION("""COMPUTED_VALUE"""),"PT PATRA NIAGA 1")</f>
        <v>PT PATRA NIAGA 1</v>
      </c>
      <c r="U58" s="11" t="str">
        <f>IFERROR(__xludf.DUMMYFUNCTION("""COMPUTED_VALUE"""),"")</f>
        <v/>
      </c>
      <c r="V58" s="11">
        <f>IFERROR(__xludf.DUMMYFUNCTION("""COMPUTED_VALUE"""),23.0)</f>
        <v>23</v>
      </c>
      <c r="W58" s="11" t="str">
        <f>IFERROR(__xludf.DUMMYFUNCTION("""COMPUTED_VALUE"""),"B 9115 SEI")</f>
        <v>B 9115 SEI</v>
      </c>
      <c r="X58" s="11" t="str">
        <f>IFERROR(__xludf.DUMMYFUNCTION("""COMPUTED_VALUE"""),"TLPG MEM GRESIK")</f>
        <v>TLPG MEM GRESIK</v>
      </c>
      <c r="Y58" s="11">
        <f>IFERROR(__xludf.DUMMYFUNCTION("""COMPUTED_VALUE"""),7.0)</f>
        <v>7</v>
      </c>
      <c r="Z58" s="11" t="str">
        <f>IFERROR(__xludf.DUMMYFUNCTION("""COMPUTED_VALUE"""),"PT PATRA NIAGA")</f>
        <v>PT PATRA NIAGA</v>
      </c>
      <c r="AA58" s="11" t="str">
        <f>IFERROR(__xludf.DUMMYFUNCTION("""COMPUTED_VALUE"""),"")</f>
        <v/>
      </c>
      <c r="AB58" s="32">
        <f>IFERROR(__xludf.DUMMYFUNCTION("""COMPUTED_VALUE"""),23.0)</f>
        <v>23</v>
      </c>
      <c r="AC58" s="32" t="str">
        <f>IFERROR(__xludf.DUMMYFUNCTION("""COMPUTED_VALUE"""),"B 9880 SFU")</f>
        <v>B 9880 SFU</v>
      </c>
      <c r="AD58" s="32" t="str">
        <f>IFERROR(__xludf.DUMMYFUNCTION("""COMPUTED_VALUE"""),"TLPG MEM GRESIK")</f>
        <v>TLPG MEM GRESIK</v>
      </c>
      <c r="AE58" s="32">
        <f>IFERROR(__xludf.DUMMYFUNCTION("""COMPUTED_VALUE"""),8.0)</f>
        <v>8</v>
      </c>
      <c r="AF58" s="32" t="str">
        <f>IFERROR(__xludf.DUMMYFUNCTION("""COMPUTED_VALUE"""),"PT PATRA NIAGA")</f>
        <v>PT PATRA NIAGA</v>
      </c>
    </row>
    <row r="59">
      <c r="A59" s="9" t="str">
        <f>IFERROR(__xludf.DUMMYFUNCTION("""COMPUTED_VALUE"""),"M 9028 UV")</f>
        <v>M 9028 UV</v>
      </c>
      <c r="B59" s="9" t="str">
        <f>IFERROR(__xludf.DUMMYFUNCTION("""COMPUTED_VALUE"""),"TLPG TJ PERAK")</f>
        <v>TLPG TJ PERAK</v>
      </c>
      <c r="C59" s="9" t="str">
        <f>IFERROR(__xludf.DUMMYFUNCTION("""COMPUTED_VALUE"""),"PT MITRA MADURA DHARMA ABADI")</f>
        <v>PT MITRA MADURA DHARMA ABADI</v>
      </c>
      <c r="D59" s="11">
        <f>IFERROR(__xludf.DUMMYFUNCTION("""COMPUTED_VALUE"""),161.8)</f>
        <v>161.8</v>
      </c>
      <c r="E59" s="11" t="str">
        <f>IFERROR(__xludf.DUMMYFUNCTION("""COMPUTED_VALUE"""),"JAUH")</f>
        <v>JAUH</v>
      </c>
      <c r="F59" s="11">
        <f>IFERROR(__xludf.DUMMYFUNCTION("""COMPUTED_VALUE"""),3.0)</f>
        <v>3</v>
      </c>
      <c r="G59" s="11">
        <f>IFERROR(__xludf.DUMMYFUNCTION("""COMPUTED_VALUE"""),7.0)</f>
        <v>7</v>
      </c>
      <c r="H59" s="11">
        <f>IFERROR(__xludf.DUMMYFUNCTION("""COMPUTED_VALUE"""),10.0)</f>
        <v>10</v>
      </c>
      <c r="I59" s="11">
        <v>10.0</v>
      </c>
      <c r="J59" s="11">
        <f>IFERROR(__xludf.DUMMYFUNCTION("""COMPUTED_VALUE"""),24.0)</f>
        <v>24</v>
      </c>
      <c r="K59" s="11" t="str">
        <f>IFERROR(__xludf.DUMMYFUNCTION("""COMPUTED_VALUE"""),"B 9105 SEI")</f>
        <v>B 9105 SEI</v>
      </c>
      <c r="L59" s="11" t="str">
        <f>IFERROR(__xludf.DUMMYFUNCTION("""COMPUTED_VALUE"""),"TLPG MEM GRESIK")</f>
        <v>TLPG MEM GRESIK</v>
      </c>
      <c r="M59" s="11">
        <f>IFERROR(__xludf.DUMMYFUNCTION("""COMPUTED_VALUE"""),5.0)</f>
        <v>5</v>
      </c>
      <c r="N59" s="11" t="str">
        <f>IFERROR(__xludf.DUMMYFUNCTION("""COMPUTED_VALUE"""),"PT PATRA NIAGA")</f>
        <v>PT PATRA NIAGA</v>
      </c>
      <c r="O59" s="11" t="str">
        <f>IFERROR(__xludf.DUMMYFUNCTION("""COMPUTED_VALUE"""),"")</f>
        <v/>
      </c>
      <c r="P59" s="32">
        <f>IFERROR(__xludf.DUMMYFUNCTION("""COMPUTED_VALUE"""),24.0)</f>
        <v>24</v>
      </c>
      <c r="Q59" s="32" t="str">
        <f>IFERROR(__xludf.DUMMYFUNCTION("""COMPUTED_VALUE"""),"B 9869 SFV")</f>
        <v>B 9869 SFV</v>
      </c>
      <c r="R59" s="32" t="str">
        <f>IFERROR(__xludf.DUMMYFUNCTION("""COMPUTED_VALUE"""),"TLPG MEM GRESIK")</f>
        <v>TLPG MEM GRESIK</v>
      </c>
      <c r="S59" s="32">
        <f>IFERROR(__xludf.DUMMYFUNCTION("""COMPUTED_VALUE"""),6.0)</f>
        <v>6</v>
      </c>
      <c r="T59" s="32" t="str">
        <f>IFERROR(__xludf.DUMMYFUNCTION("""COMPUTED_VALUE"""),"PT PATRA LOGISTIK")</f>
        <v>PT PATRA LOGISTIK</v>
      </c>
      <c r="U59" s="11" t="str">
        <f>IFERROR(__xludf.DUMMYFUNCTION("""COMPUTED_VALUE"""),"")</f>
        <v/>
      </c>
      <c r="V59" s="11">
        <f>IFERROR(__xludf.DUMMYFUNCTION("""COMPUTED_VALUE"""),24.0)</f>
        <v>24</v>
      </c>
      <c r="W59" s="11" t="str">
        <f>IFERROR(__xludf.DUMMYFUNCTION("""COMPUTED_VALUE"""),"B 9203 TEK")</f>
        <v>B 9203 TEK</v>
      </c>
      <c r="X59" s="11" t="str">
        <f>IFERROR(__xludf.DUMMYFUNCTION("""COMPUTED_VALUE"""),"TLPG MEM GRESIK")</f>
        <v>TLPG MEM GRESIK</v>
      </c>
      <c r="Y59" s="11">
        <f>IFERROR(__xludf.DUMMYFUNCTION("""COMPUTED_VALUE"""),7.0)</f>
        <v>7</v>
      </c>
      <c r="Z59" s="11" t="str">
        <f>IFERROR(__xludf.DUMMYFUNCTION("""COMPUTED_VALUE"""),"PT ADAM TRANS")</f>
        <v>PT ADAM TRANS</v>
      </c>
      <c r="AA59" s="11" t="str">
        <f>IFERROR(__xludf.DUMMYFUNCTION("""COMPUTED_VALUE"""),"")</f>
        <v/>
      </c>
      <c r="AB59" s="32">
        <f>IFERROR(__xludf.DUMMYFUNCTION("""COMPUTED_VALUE"""),24.0)</f>
        <v>24</v>
      </c>
      <c r="AC59" s="32" t="str">
        <f>IFERROR(__xludf.DUMMYFUNCTION("""COMPUTED_VALUE"""),"L 9837 UJ")</f>
        <v>L 9837 UJ</v>
      </c>
      <c r="AD59" s="32" t="str">
        <f>IFERROR(__xludf.DUMMYFUNCTION("""COMPUTED_VALUE"""),"TLPG MEM GRESIK")</f>
        <v>TLPG MEM GRESIK</v>
      </c>
      <c r="AE59" s="32">
        <f>IFERROR(__xludf.DUMMYFUNCTION("""COMPUTED_VALUE"""),8.0)</f>
        <v>8</v>
      </c>
      <c r="AF59" s="32" t="str">
        <f>IFERROR(__xludf.DUMMYFUNCTION("""COMPUTED_VALUE"""),"PT PATRA NIAGA")</f>
        <v>PT PATRA NIAGA</v>
      </c>
    </row>
    <row r="60">
      <c r="A60" s="9" t="str">
        <f>IFERROR(__xludf.DUMMYFUNCTION("""COMPUTED_VALUE"""),"M 9352 UV")</f>
        <v>M 9352 UV</v>
      </c>
      <c r="B60" s="9" t="str">
        <f>IFERROR(__xludf.DUMMYFUNCTION("""COMPUTED_VALUE"""),"TLPG TJ PERAK")</f>
        <v>TLPG TJ PERAK</v>
      </c>
      <c r="C60" s="9" t="str">
        <f>IFERROR(__xludf.DUMMYFUNCTION("""COMPUTED_VALUE"""),"PT MITRA MADURA DHARMA ABADI")</f>
        <v>PT MITRA MADURA DHARMA ABADI</v>
      </c>
      <c r="D60" s="11">
        <f>IFERROR(__xludf.DUMMYFUNCTION("""COMPUTED_VALUE"""),161.8)</f>
        <v>161.8</v>
      </c>
      <c r="E60" s="11" t="str">
        <f>IFERROR(__xludf.DUMMYFUNCTION("""COMPUTED_VALUE"""),"JAUH")</f>
        <v>JAUH</v>
      </c>
      <c r="F60" s="11">
        <f>IFERROR(__xludf.DUMMYFUNCTION("""COMPUTED_VALUE"""),3.0)</f>
        <v>3</v>
      </c>
      <c r="G60" s="11">
        <f>IFERROR(__xludf.DUMMYFUNCTION("""COMPUTED_VALUE"""),7.0)</f>
        <v>7</v>
      </c>
      <c r="H60" s="11">
        <f>IFERROR(__xludf.DUMMYFUNCTION("""COMPUTED_VALUE"""),11.0)</f>
        <v>11</v>
      </c>
      <c r="I60" s="11">
        <v>11.0</v>
      </c>
      <c r="J60" s="11">
        <f>IFERROR(__xludf.DUMMYFUNCTION("""COMPUTED_VALUE"""),25.0)</f>
        <v>25</v>
      </c>
      <c r="K60" s="11" t="str">
        <f>IFERROR(__xludf.DUMMYFUNCTION("""COMPUTED_VALUE"""),"P 8016 UW")</f>
        <v>P 8016 UW</v>
      </c>
      <c r="L60" s="11" t="str">
        <f>IFERROR(__xludf.DUMMYFUNCTION("""COMPUTED_VALUE"""),"TLPG TJ WANGI")</f>
        <v>TLPG TJ WANGI</v>
      </c>
      <c r="M60" s="11">
        <f>IFERROR(__xludf.DUMMYFUNCTION("""COMPUTED_VALUE"""),5.0)</f>
        <v>5</v>
      </c>
      <c r="N60" s="11" t="str">
        <f>IFERROR(__xludf.DUMMYFUNCTION("""COMPUTED_VALUE"""),"Data Company Belum Ada")</f>
        <v>Data Company Belum Ada</v>
      </c>
      <c r="O60" s="11" t="str">
        <f>IFERROR(__xludf.DUMMYFUNCTION("""COMPUTED_VALUE"""),"")</f>
        <v/>
      </c>
      <c r="P60" s="32">
        <f>IFERROR(__xludf.DUMMYFUNCTION("""COMPUTED_VALUE"""),25.0)</f>
        <v>25</v>
      </c>
      <c r="Q60" s="32" t="str">
        <f>IFERROR(__xludf.DUMMYFUNCTION("""COMPUTED_VALUE"""),"B 9884 SFU")</f>
        <v>B 9884 SFU</v>
      </c>
      <c r="R60" s="32" t="str">
        <f>IFERROR(__xludf.DUMMYFUNCTION("""COMPUTED_VALUE"""),"TLPG MEM GRESIK")</f>
        <v>TLPG MEM GRESIK</v>
      </c>
      <c r="S60" s="32">
        <f>IFERROR(__xludf.DUMMYFUNCTION("""COMPUTED_VALUE"""),6.0)</f>
        <v>6</v>
      </c>
      <c r="T60" s="32" t="str">
        <f>IFERROR(__xludf.DUMMYFUNCTION("""COMPUTED_VALUE"""),"PT PATRA NIAGA")</f>
        <v>PT PATRA NIAGA</v>
      </c>
      <c r="U60" s="11" t="str">
        <f>IFERROR(__xludf.DUMMYFUNCTION("""COMPUTED_VALUE"""),"")</f>
        <v/>
      </c>
      <c r="V60" s="11">
        <f>IFERROR(__xludf.DUMMYFUNCTION("""COMPUTED_VALUE"""),25.0)</f>
        <v>25</v>
      </c>
      <c r="W60" s="11" t="str">
        <f>IFERROR(__xludf.DUMMYFUNCTION("""COMPUTED_VALUE"""),"B 9712 SFU")</f>
        <v>B 9712 SFU</v>
      </c>
      <c r="X60" s="11" t="str">
        <f>IFERROR(__xludf.DUMMYFUNCTION("""COMPUTED_VALUE"""),"TLPG MEM GRESIK")</f>
        <v>TLPG MEM GRESIK</v>
      </c>
      <c r="Y60" s="11">
        <f>IFERROR(__xludf.DUMMYFUNCTION("""COMPUTED_VALUE"""),7.0)</f>
        <v>7</v>
      </c>
      <c r="Z60" s="11" t="str">
        <f>IFERROR(__xludf.DUMMYFUNCTION("""COMPUTED_VALUE"""),"PT PATRA NIAGA")</f>
        <v>PT PATRA NIAGA</v>
      </c>
      <c r="AA60" s="11" t="str">
        <f>IFERROR(__xludf.DUMMYFUNCTION("""COMPUTED_VALUE"""),"")</f>
        <v/>
      </c>
      <c r="AB60" s="32">
        <f>IFERROR(__xludf.DUMMYFUNCTION("""COMPUTED_VALUE"""),25.0)</f>
        <v>25</v>
      </c>
      <c r="AC60" s="32" t="str">
        <f>IFERROR(__xludf.DUMMYFUNCTION("""COMPUTED_VALUE"""),"DR 8481 KO")</f>
        <v>DR 8481 KO</v>
      </c>
      <c r="AD60" s="32" t="str">
        <f>IFERROR(__xludf.DUMMYFUNCTION("""COMPUTED_VALUE"""),"TLPG LOMBOK")</f>
        <v>TLPG LOMBOK</v>
      </c>
      <c r="AE60" s="32">
        <f>IFERROR(__xludf.DUMMYFUNCTION("""COMPUTED_VALUE"""),8.0)</f>
        <v>8</v>
      </c>
      <c r="AF60" s="32" t="str">
        <f>IFERROR(__xludf.DUMMYFUNCTION("""COMPUTED_VALUE"""),"Data Company Belum Ada")</f>
        <v>Data Company Belum Ada</v>
      </c>
    </row>
    <row r="61">
      <c r="A61" s="9" t="str">
        <f>IFERROR(__xludf.DUMMYFUNCTION("""COMPUTED_VALUE"""),"L 8892 UU")</f>
        <v>L 8892 UU</v>
      </c>
      <c r="B61" s="9" t="str">
        <f>IFERROR(__xludf.DUMMYFUNCTION("""COMPUTED_VALUE"""),"TLPG TJ PERAK")</f>
        <v>TLPG TJ PERAK</v>
      </c>
      <c r="C61" s="9" t="str">
        <f>IFERROR(__xludf.DUMMYFUNCTION("""COMPUTED_VALUE"""),"PT MUTUAL MAXEL")</f>
        <v>PT MUTUAL MAXEL</v>
      </c>
      <c r="D61" s="11">
        <f>IFERROR(__xludf.DUMMYFUNCTION("""COMPUTED_VALUE"""),161.5)</f>
        <v>161.5</v>
      </c>
      <c r="E61" s="11" t="str">
        <f>IFERROR(__xludf.DUMMYFUNCTION("""COMPUTED_VALUE"""),"JAUH")</f>
        <v>JAUH</v>
      </c>
      <c r="F61" s="11">
        <f>IFERROR(__xludf.DUMMYFUNCTION("""COMPUTED_VALUE"""),3.0)</f>
        <v>3</v>
      </c>
      <c r="G61" s="11">
        <f>IFERROR(__xludf.DUMMYFUNCTION("""COMPUTED_VALUE"""),6.0)</f>
        <v>6</v>
      </c>
      <c r="H61" s="11">
        <f>IFERROR(__xludf.DUMMYFUNCTION("""COMPUTED_VALUE"""),12.0)</f>
        <v>12</v>
      </c>
      <c r="I61" s="11">
        <v>12.0</v>
      </c>
      <c r="J61" s="11">
        <f>IFERROR(__xludf.DUMMYFUNCTION("""COMPUTED_VALUE"""),26.0)</f>
        <v>26</v>
      </c>
      <c r="K61" s="11" t="str">
        <f>IFERROR(__xludf.DUMMYFUNCTION("""COMPUTED_VALUE"""),"L 8088 UZ")</f>
        <v>L 8088 UZ</v>
      </c>
      <c r="L61" s="11" t="str">
        <f>IFERROR(__xludf.DUMMYFUNCTION("""COMPUTED_VALUE"""),"TLPG MEM GRESIK")</f>
        <v>TLPG MEM GRESIK</v>
      </c>
      <c r="M61" s="11">
        <f>IFERROR(__xludf.DUMMYFUNCTION("""COMPUTED_VALUE"""),5.0)</f>
        <v>5</v>
      </c>
      <c r="N61" s="11" t="str">
        <f>IFERROR(__xludf.DUMMYFUNCTION("""COMPUTED_VALUE"""),"PT PATRA NIAGA")</f>
        <v>PT PATRA NIAGA</v>
      </c>
      <c r="O61" s="11" t="str">
        <f>IFERROR(__xludf.DUMMYFUNCTION("""COMPUTED_VALUE"""),"")</f>
        <v/>
      </c>
      <c r="P61" s="32">
        <f>IFERROR(__xludf.DUMMYFUNCTION("""COMPUTED_VALUE"""),26.0)</f>
        <v>26</v>
      </c>
      <c r="Q61" s="32" t="str">
        <f>IFERROR(__xludf.DUMMYFUNCTION("""COMPUTED_VALUE"""),"L 8099 UR")</f>
        <v>L 8099 UR</v>
      </c>
      <c r="R61" s="32" t="str">
        <f>IFERROR(__xludf.DUMMYFUNCTION("""COMPUTED_VALUE"""),"TLPG MEM GRESIK")</f>
        <v>TLPG MEM GRESIK</v>
      </c>
      <c r="S61" s="32">
        <f>IFERROR(__xludf.DUMMYFUNCTION("""COMPUTED_VALUE"""),6.0)</f>
        <v>6</v>
      </c>
      <c r="T61" s="32" t="str">
        <f>IFERROR(__xludf.DUMMYFUNCTION("""COMPUTED_VALUE"""),"PT PATRA NIAGA")</f>
        <v>PT PATRA NIAGA</v>
      </c>
      <c r="U61" s="11" t="str">
        <f>IFERROR(__xludf.DUMMYFUNCTION("""COMPUTED_VALUE"""),"")</f>
        <v/>
      </c>
      <c r="V61" s="11">
        <f>IFERROR(__xludf.DUMMYFUNCTION("""COMPUTED_VALUE"""),26.0)</f>
        <v>26</v>
      </c>
      <c r="W61" s="11" t="str">
        <f>IFERROR(__xludf.DUMMYFUNCTION("""COMPUTED_VALUE"""),"L 8088 UO")</f>
        <v>L 8088 UO</v>
      </c>
      <c r="X61" s="11" t="str">
        <f>IFERROR(__xludf.DUMMYFUNCTION("""COMPUTED_VALUE"""),"TLPG MEM GRESIK")</f>
        <v>TLPG MEM GRESIK</v>
      </c>
      <c r="Y61" s="11">
        <f>IFERROR(__xludf.DUMMYFUNCTION("""COMPUTED_VALUE"""),7.0)</f>
        <v>7</v>
      </c>
      <c r="Z61" s="11" t="str">
        <f>IFERROR(__xludf.DUMMYFUNCTION("""COMPUTED_VALUE"""),"PT PATRA NIAGA")</f>
        <v>PT PATRA NIAGA</v>
      </c>
      <c r="AA61" s="11" t="str">
        <f>IFERROR(__xludf.DUMMYFUNCTION("""COMPUTED_VALUE"""),"")</f>
        <v/>
      </c>
      <c r="AB61" s="32">
        <f>IFERROR(__xludf.DUMMYFUNCTION("""COMPUTED_VALUE"""),26.0)</f>
        <v>26</v>
      </c>
      <c r="AC61" s="32" t="str">
        <f>IFERROR(__xludf.DUMMYFUNCTION("""COMPUTED_VALUE"""),"P 8018 UF")</f>
        <v>P 8018 UF</v>
      </c>
      <c r="AD61" s="32" t="str">
        <f>IFERROR(__xludf.DUMMYFUNCTION("""COMPUTED_VALUE"""),"TLPG TJ WANGI")</f>
        <v>TLPG TJ WANGI</v>
      </c>
      <c r="AE61" s="32">
        <f>IFERROR(__xludf.DUMMYFUNCTION("""COMPUTED_VALUE"""),8.0)</f>
        <v>8</v>
      </c>
      <c r="AF61" s="32" t="str">
        <f>IFERROR(__xludf.DUMMYFUNCTION("""COMPUTED_VALUE"""),"Data Company Belum Ada")</f>
        <v>Data Company Belum Ada</v>
      </c>
    </row>
    <row r="62">
      <c r="A62" s="9" t="str">
        <f>IFERROR(__xludf.DUMMYFUNCTION("""COMPUTED_VALUE"""),"L 9476 UL")</f>
        <v>L 9476 UL</v>
      </c>
      <c r="B62" s="9" t="str">
        <f>IFERROR(__xludf.DUMMYFUNCTION("""COMPUTED_VALUE"""),"TLPG TJ PERAK")</f>
        <v>TLPG TJ PERAK</v>
      </c>
      <c r="C62" s="9" t="str">
        <f>IFERROR(__xludf.DUMMYFUNCTION("""COMPUTED_VALUE"""),"PT HELA CITRA AGUNG")</f>
        <v>PT HELA CITRA AGUNG</v>
      </c>
      <c r="D62" s="11">
        <f>IFERROR(__xludf.DUMMYFUNCTION("""COMPUTED_VALUE"""),161.5)</f>
        <v>161.5</v>
      </c>
      <c r="E62" s="11" t="str">
        <f>IFERROR(__xludf.DUMMYFUNCTION("""COMPUTED_VALUE"""),"JAUH")</f>
        <v>JAUH</v>
      </c>
      <c r="F62" s="11">
        <f>IFERROR(__xludf.DUMMYFUNCTION("""COMPUTED_VALUE"""),3.0)</f>
        <v>3</v>
      </c>
      <c r="G62" s="11">
        <f>IFERROR(__xludf.DUMMYFUNCTION("""COMPUTED_VALUE"""),6.0)</f>
        <v>6</v>
      </c>
      <c r="H62" s="11">
        <f>IFERROR(__xludf.DUMMYFUNCTION("""COMPUTED_VALUE"""),1.0)</f>
        <v>1</v>
      </c>
      <c r="I62" s="11">
        <v>1.0</v>
      </c>
      <c r="J62" s="11">
        <f>IFERROR(__xludf.DUMMYFUNCTION("""COMPUTED_VALUE"""),27.0)</f>
        <v>27</v>
      </c>
      <c r="K62" s="11" t="str">
        <f>IFERROR(__xludf.DUMMYFUNCTION("""COMPUTED_VALUE"""),"S 8290 AI")</f>
        <v>S 8290 AI</v>
      </c>
      <c r="L62" s="11" t="str">
        <f>IFERROR(__xludf.DUMMYFUNCTION("""COMPUTED_VALUE"""),"TLPG TJ PERAK")</f>
        <v>TLPG TJ PERAK</v>
      </c>
      <c r="M62" s="11">
        <f>IFERROR(__xludf.DUMMYFUNCTION("""COMPUTED_VALUE"""),5.0)</f>
        <v>5</v>
      </c>
      <c r="N62" s="11" t="str">
        <f>IFERROR(__xludf.DUMMYFUNCTION("""COMPUTED_VALUE"""),"Data Company Belum Ada")</f>
        <v>Data Company Belum Ada</v>
      </c>
      <c r="O62" s="11" t="str">
        <f>IFERROR(__xludf.DUMMYFUNCTION("""COMPUTED_VALUE"""),"")</f>
        <v/>
      </c>
      <c r="P62" s="32">
        <f>IFERROR(__xludf.DUMMYFUNCTION("""COMPUTED_VALUE"""),27.0)</f>
        <v>27</v>
      </c>
      <c r="Q62" s="32" t="str">
        <f>IFERROR(__xludf.DUMMYFUNCTION("""COMPUTED_VALUE"""),"DR 8654 AI")</f>
        <v>DR 8654 AI</v>
      </c>
      <c r="R62" s="32" t="str">
        <f>IFERROR(__xludf.DUMMYFUNCTION("""COMPUTED_VALUE"""),"TLPG LOMBOK")</f>
        <v>TLPG LOMBOK</v>
      </c>
      <c r="S62" s="32">
        <f>IFERROR(__xludf.DUMMYFUNCTION("""COMPUTED_VALUE"""),6.0)</f>
        <v>6</v>
      </c>
      <c r="T62" s="32" t="str">
        <f>IFERROR(__xludf.DUMMYFUNCTION("""COMPUTED_VALUE"""),"Data Company Belum Ada")</f>
        <v>Data Company Belum Ada</v>
      </c>
      <c r="U62" s="11" t="str">
        <f>IFERROR(__xludf.DUMMYFUNCTION("""COMPUTED_VALUE"""),"")</f>
        <v/>
      </c>
      <c r="V62" s="11">
        <f>IFERROR(__xludf.DUMMYFUNCTION("""COMPUTED_VALUE"""),27.0)</f>
        <v>27</v>
      </c>
      <c r="W62" s="11" t="str">
        <f>IFERROR(__xludf.DUMMYFUNCTION("""COMPUTED_VALUE"""),"P 8046 Uf")</f>
        <v>P 8046 Uf</v>
      </c>
      <c r="X62" s="11" t="str">
        <f>IFERROR(__xludf.DUMMYFUNCTION("""COMPUTED_VALUE"""),"TLPG TJ WANGI")</f>
        <v>TLPG TJ WANGI</v>
      </c>
      <c r="Y62" s="11">
        <f>IFERROR(__xludf.DUMMYFUNCTION("""COMPUTED_VALUE"""),7.0)</f>
        <v>7</v>
      </c>
      <c r="Z62" s="11" t="str">
        <f>IFERROR(__xludf.DUMMYFUNCTION("""COMPUTED_VALUE"""),"Data Company Belum Ada")</f>
        <v>Data Company Belum Ada</v>
      </c>
      <c r="AA62" s="11" t="str">
        <f>IFERROR(__xludf.DUMMYFUNCTION("""COMPUTED_VALUE"""),"")</f>
        <v/>
      </c>
      <c r="AB62" s="32">
        <f>IFERROR(__xludf.DUMMYFUNCTION("""COMPUTED_VALUE"""),27.0)</f>
        <v>27</v>
      </c>
      <c r="AC62" s="32" t="str">
        <f>IFERROR(__xludf.DUMMYFUNCTION("""COMPUTED_VALUE"""),"EA 8677 SC")</f>
        <v>EA 8677 SC</v>
      </c>
      <c r="AD62" s="32" t="str">
        <f>IFERROR(__xludf.DUMMYFUNCTION("""COMPUTED_VALUE"""),"TLPG BIMA")</f>
        <v>TLPG BIMA</v>
      </c>
      <c r="AE62" s="32">
        <f>IFERROR(__xludf.DUMMYFUNCTION("""COMPUTED_VALUE"""),8.0)</f>
        <v>8</v>
      </c>
      <c r="AF62" s="32" t="str">
        <f>IFERROR(__xludf.DUMMYFUNCTION("""COMPUTED_VALUE"""),"Data Company Belum Ada")</f>
        <v>Data Company Belum Ada</v>
      </c>
    </row>
    <row r="63">
      <c r="A63" s="9" t="str">
        <f>IFERROR(__xludf.DUMMYFUNCTION("""COMPUTED_VALUE"""),"L 9489 UL")</f>
        <v>L 9489 UL</v>
      </c>
      <c r="B63" s="9" t="str">
        <f>IFERROR(__xludf.DUMMYFUNCTION("""COMPUTED_VALUE"""),"TLPG TJ PERAK")</f>
        <v>TLPG TJ PERAK</v>
      </c>
      <c r="C63" s="9" t="str">
        <f>IFERROR(__xludf.DUMMYFUNCTION("""COMPUTED_VALUE"""),"PT HELA CITRA AGUNG")</f>
        <v>PT HELA CITRA AGUNG</v>
      </c>
      <c r="D63" s="11">
        <f>IFERROR(__xludf.DUMMYFUNCTION("""COMPUTED_VALUE"""),161.5)</f>
        <v>161.5</v>
      </c>
      <c r="E63" s="11" t="str">
        <f>IFERROR(__xludf.DUMMYFUNCTION("""COMPUTED_VALUE"""),"JAUH")</f>
        <v>JAUH</v>
      </c>
      <c r="F63" s="11">
        <f>IFERROR(__xludf.DUMMYFUNCTION("""COMPUTED_VALUE"""),3.0)</f>
        <v>3</v>
      </c>
      <c r="G63" s="11">
        <f>IFERROR(__xludf.DUMMYFUNCTION("""COMPUTED_VALUE"""),6.0)</f>
        <v>6</v>
      </c>
      <c r="H63" s="11">
        <f>IFERROR(__xludf.DUMMYFUNCTION("""COMPUTED_VALUE"""),2.0)</f>
        <v>2</v>
      </c>
      <c r="I63" s="11">
        <v>2.0</v>
      </c>
      <c r="J63" s="11">
        <f>IFERROR(__xludf.DUMMYFUNCTION("""COMPUTED_VALUE"""),28.0)</f>
        <v>28</v>
      </c>
      <c r="K63" s="11" t="str">
        <f>IFERROR(__xludf.DUMMYFUNCTION("""COMPUTED_VALUE"""),"S 8561 UC")</f>
        <v>S 8561 UC</v>
      </c>
      <c r="L63" s="11" t="str">
        <f>IFERROR(__xludf.DUMMYFUNCTION("""COMPUTED_VALUE"""),"TLPG TJ PERAK")</f>
        <v>TLPG TJ PERAK</v>
      </c>
      <c r="M63" s="11">
        <f>IFERROR(__xludf.DUMMYFUNCTION("""COMPUTED_VALUE"""),5.0)</f>
        <v>5</v>
      </c>
      <c r="N63" s="11" t="str">
        <f>IFERROR(__xludf.DUMMYFUNCTION("""COMPUTED_VALUE"""),"PT KURNIAWAN MEKAR A.A")</f>
        <v>PT KURNIAWAN MEKAR A.A</v>
      </c>
      <c r="O63" s="11" t="str">
        <f>IFERROR(__xludf.DUMMYFUNCTION("""COMPUTED_VALUE"""),"")</f>
        <v/>
      </c>
      <c r="P63" s="32">
        <f>IFERROR(__xludf.DUMMYFUNCTION("""COMPUTED_VALUE"""),28.0)</f>
        <v>28</v>
      </c>
      <c r="Q63" s="32" t="str">
        <f>IFERROR(__xludf.DUMMYFUNCTION("""COMPUTED_VALUE"""),"L 9828 UJ")</f>
        <v>L 9828 UJ</v>
      </c>
      <c r="R63" s="32" t="str">
        <f>IFERROR(__xludf.DUMMYFUNCTION("""COMPUTED_VALUE"""),"TLPG MEM GRESIK")</f>
        <v>TLPG MEM GRESIK</v>
      </c>
      <c r="S63" s="32">
        <f>IFERROR(__xludf.DUMMYFUNCTION("""COMPUTED_VALUE"""),6.0)</f>
        <v>6</v>
      </c>
      <c r="T63" s="32" t="str">
        <f>IFERROR(__xludf.DUMMYFUNCTION("""COMPUTED_VALUE"""),"PT PATRA NIAGA")</f>
        <v>PT PATRA NIAGA</v>
      </c>
      <c r="U63" s="11" t="str">
        <f>IFERROR(__xludf.DUMMYFUNCTION("""COMPUTED_VALUE"""),"")</f>
        <v/>
      </c>
      <c r="V63" s="11" t="str">
        <f>IFERROR(__xludf.DUMMYFUNCTION("""COMPUTED_VALUE"""),"")</f>
        <v/>
      </c>
      <c r="W63" s="45" t="str">
        <f>IFERROR(__xludf.DUMMYFUNCTION("""COMPUTED_VALUE"""),"")</f>
        <v/>
      </c>
      <c r="X63" s="11" t="str">
        <f>IFERROR(__xludf.DUMMYFUNCTION("""COMPUTED_VALUE"""),"")</f>
        <v/>
      </c>
      <c r="Y63" s="11" t="str">
        <f>IFERROR(__xludf.DUMMYFUNCTION("""COMPUTED_VALUE"""),"")</f>
        <v/>
      </c>
      <c r="Z63" s="11" t="str">
        <f>IFERROR(__xludf.DUMMYFUNCTION("""COMPUTED_VALUE"""),"")</f>
        <v/>
      </c>
      <c r="AA63" s="11" t="str">
        <f>IFERROR(__xludf.DUMMYFUNCTION("""COMPUTED_VALUE"""),"")</f>
        <v/>
      </c>
      <c r="AB63" s="32">
        <f>IFERROR(__xludf.DUMMYFUNCTION("""COMPUTED_VALUE"""),28.0)</f>
        <v>28</v>
      </c>
      <c r="AC63" s="32" t="str">
        <f>IFERROR(__xludf.DUMMYFUNCTION("""COMPUTED_VALUE"""),"B 9868 SFV")</f>
        <v>B 9868 SFV</v>
      </c>
      <c r="AD63" s="32" t="str">
        <f>IFERROR(__xludf.DUMMYFUNCTION("""COMPUTED_VALUE"""),"TLPG MEM GRESIK")</f>
        <v>TLPG MEM GRESIK</v>
      </c>
      <c r="AE63" s="32">
        <f>IFERROR(__xludf.DUMMYFUNCTION("""COMPUTED_VALUE"""),8.0)</f>
        <v>8</v>
      </c>
      <c r="AF63" s="32" t="str">
        <f>IFERROR(__xludf.DUMMYFUNCTION("""COMPUTED_VALUE"""),"PT PATRA LOGISTIK")</f>
        <v>PT PATRA LOGISTIK</v>
      </c>
    </row>
    <row r="64">
      <c r="A64" s="9" t="str">
        <f>IFERROR(__xludf.DUMMYFUNCTION("""COMPUTED_VALUE"""),"L 9507 UL")</f>
        <v>L 9507 UL</v>
      </c>
      <c r="B64" s="9" t="str">
        <f>IFERROR(__xludf.DUMMYFUNCTION("""COMPUTED_VALUE"""),"TLPG TJ PERAK")</f>
        <v>TLPG TJ PERAK</v>
      </c>
      <c r="C64" s="9" t="str">
        <f>IFERROR(__xludf.DUMMYFUNCTION("""COMPUTED_VALUE"""),"PT HELA CITRA AGUNG")</f>
        <v>PT HELA CITRA AGUNG</v>
      </c>
      <c r="D64" s="11">
        <f>IFERROR(__xludf.DUMMYFUNCTION("""COMPUTED_VALUE"""),161.5)</f>
        <v>161.5</v>
      </c>
      <c r="E64" s="11" t="str">
        <f>IFERROR(__xludf.DUMMYFUNCTION("""COMPUTED_VALUE"""),"JAUH")</f>
        <v>JAUH</v>
      </c>
      <c r="F64" s="11">
        <f>IFERROR(__xludf.DUMMYFUNCTION("""COMPUTED_VALUE"""),3.0)</f>
        <v>3</v>
      </c>
      <c r="G64" s="11">
        <f>IFERROR(__xludf.DUMMYFUNCTION("""COMPUTED_VALUE"""),6.0)</f>
        <v>6</v>
      </c>
      <c r="H64" s="11">
        <f>IFERROR(__xludf.DUMMYFUNCTION("""COMPUTED_VALUE"""),3.0)</f>
        <v>3</v>
      </c>
      <c r="I64" s="11">
        <v>3.0</v>
      </c>
      <c r="J64" s="11" t="str">
        <f>IFERROR(__xludf.DUMMYFUNCTION("""COMPUTED_VALUE"""),"")</f>
        <v/>
      </c>
      <c r="K64" s="11" t="str">
        <f>IFERROR(__xludf.DUMMYFUNCTION("""COMPUTED_VALUE"""),"")</f>
        <v/>
      </c>
      <c r="L64" s="11" t="str">
        <f>IFERROR(__xludf.DUMMYFUNCTION("""COMPUTED_VALUE"""),"")</f>
        <v/>
      </c>
      <c r="M64" s="11" t="str">
        <f>IFERROR(__xludf.DUMMYFUNCTION("""COMPUTED_VALUE"""),"")</f>
        <v/>
      </c>
      <c r="N64" s="11" t="str">
        <f>IFERROR(__xludf.DUMMYFUNCTION("""COMPUTED_VALUE"""),"")</f>
        <v/>
      </c>
      <c r="O64" s="11" t="str">
        <f>IFERROR(__xludf.DUMMYFUNCTION("""COMPUTED_VALUE"""),"")</f>
        <v/>
      </c>
      <c r="P64" s="11" t="str">
        <f>IFERROR(__xludf.DUMMYFUNCTION("""COMPUTED_VALUE"""),"")</f>
        <v/>
      </c>
      <c r="Q64" s="11" t="str">
        <f>IFERROR(__xludf.DUMMYFUNCTION("""COMPUTED_VALUE"""),"")</f>
        <v/>
      </c>
      <c r="R64" s="11" t="str">
        <f>IFERROR(__xludf.DUMMYFUNCTION("""COMPUTED_VALUE"""),"")</f>
        <v/>
      </c>
      <c r="S64" s="11" t="str">
        <f>IFERROR(__xludf.DUMMYFUNCTION("""COMPUTED_VALUE"""),"")</f>
        <v/>
      </c>
      <c r="T64" s="11" t="str">
        <f>IFERROR(__xludf.DUMMYFUNCTION("""COMPUTED_VALUE"""),"")</f>
        <v/>
      </c>
      <c r="U64" s="11" t="str">
        <f>IFERROR(__xludf.DUMMYFUNCTION("""COMPUTED_VALUE"""),"")</f>
        <v/>
      </c>
      <c r="V64" s="11" t="str">
        <f>IFERROR(__xludf.DUMMYFUNCTION("""COMPUTED_VALUE"""),"")</f>
        <v/>
      </c>
      <c r="W64" s="11" t="str">
        <f>IFERROR(__xludf.DUMMYFUNCTION("""COMPUTED_VALUE"""),"")</f>
        <v/>
      </c>
      <c r="X64" s="11" t="str">
        <f>IFERROR(__xludf.DUMMYFUNCTION("""COMPUTED_VALUE"""),"")</f>
        <v/>
      </c>
      <c r="Y64" s="11" t="str">
        <f>IFERROR(__xludf.DUMMYFUNCTION("""COMPUTED_VALUE"""),"")</f>
        <v/>
      </c>
      <c r="Z64" s="11" t="str">
        <f>IFERROR(__xludf.DUMMYFUNCTION("""COMPUTED_VALUE"""),"")</f>
        <v/>
      </c>
      <c r="AA64" s="11" t="str">
        <f>IFERROR(__xludf.DUMMYFUNCTION("""COMPUTED_VALUE"""),"")</f>
        <v/>
      </c>
      <c r="AB64" s="11" t="str">
        <f>IFERROR(__xludf.DUMMYFUNCTION("""COMPUTED_VALUE"""),"")</f>
        <v/>
      </c>
      <c r="AC64" s="11" t="str">
        <f>IFERROR(__xludf.DUMMYFUNCTION("""COMPUTED_VALUE"""),"")</f>
        <v/>
      </c>
      <c r="AD64" s="11" t="str">
        <f>IFERROR(__xludf.DUMMYFUNCTION("""COMPUTED_VALUE"""),"")</f>
        <v/>
      </c>
      <c r="AE64" s="11" t="str">
        <f>IFERROR(__xludf.DUMMYFUNCTION("""COMPUTED_VALUE"""),"")</f>
        <v/>
      </c>
      <c r="AF64" s="11" t="str">
        <f>IFERROR(__xludf.DUMMYFUNCTION("""COMPUTED_VALUE"""),"")</f>
        <v/>
      </c>
    </row>
    <row r="65">
      <c r="A65" s="9" t="str">
        <f>IFERROR(__xludf.DUMMYFUNCTION("""COMPUTED_VALUE"""),"L 9521 UL")</f>
        <v>L 9521 UL</v>
      </c>
      <c r="B65" s="9" t="str">
        <f>IFERROR(__xludf.DUMMYFUNCTION("""COMPUTED_VALUE"""),"TLPG TJ PERAK")</f>
        <v>TLPG TJ PERAK</v>
      </c>
      <c r="C65" s="9" t="str">
        <f>IFERROR(__xludf.DUMMYFUNCTION("""COMPUTED_VALUE"""),"PT HELA CITRA AGUNG")</f>
        <v>PT HELA CITRA AGUNG</v>
      </c>
      <c r="D65" s="11">
        <f>IFERROR(__xludf.DUMMYFUNCTION("""COMPUTED_VALUE"""),161.5)</f>
        <v>161.5</v>
      </c>
      <c r="E65" s="11" t="str">
        <f>IFERROR(__xludf.DUMMYFUNCTION("""COMPUTED_VALUE"""),"JAUH")</f>
        <v>JAUH</v>
      </c>
      <c r="F65" s="11">
        <f>IFERROR(__xludf.DUMMYFUNCTION("""COMPUTED_VALUE"""),3.0)</f>
        <v>3</v>
      </c>
      <c r="G65" s="11">
        <f>IFERROR(__xludf.DUMMYFUNCTION("""COMPUTED_VALUE"""),6.0)</f>
        <v>6</v>
      </c>
      <c r="H65" s="11">
        <f>IFERROR(__xludf.DUMMYFUNCTION("""COMPUTED_VALUE"""),4.0)</f>
        <v>4</v>
      </c>
      <c r="I65" s="11">
        <v>4.0</v>
      </c>
      <c r="J65" s="11" t="str">
        <f>IFERROR(__xludf.DUMMYFUNCTION("""COMPUTED_VALUE"""),"")</f>
        <v/>
      </c>
      <c r="K65" s="11" t="str">
        <f>IFERROR(__xludf.DUMMYFUNCTION("""COMPUTED_VALUE"""),"")</f>
        <v/>
      </c>
      <c r="L65" s="11" t="str">
        <f>IFERROR(__xludf.DUMMYFUNCTION("""COMPUTED_VALUE"""),"")</f>
        <v/>
      </c>
      <c r="M65" s="11" t="str">
        <f>IFERROR(__xludf.DUMMYFUNCTION("""COMPUTED_VALUE"""),"")</f>
        <v/>
      </c>
      <c r="N65" s="11" t="str">
        <f>IFERROR(__xludf.DUMMYFUNCTION("""COMPUTED_VALUE"""),"")</f>
        <v/>
      </c>
      <c r="O65" s="11" t="str">
        <f>IFERROR(__xludf.DUMMYFUNCTION("""COMPUTED_VALUE"""),"")</f>
        <v/>
      </c>
      <c r="P65" s="11" t="str">
        <f>IFERROR(__xludf.DUMMYFUNCTION("""COMPUTED_VALUE"""),"")</f>
        <v/>
      </c>
      <c r="Q65" s="11" t="str">
        <f>IFERROR(__xludf.DUMMYFUNCTION("""COMPUTED_VALUE"""),"")</f>
        <v/>
      </c>
      <c r="R65" s="11" t="str">
        <f>IFERROR(__xludf.DUMMYFUNCTION("""COMPUTED_VALUE"""),"")</f>
        <v/>
      </c>
      <c r="S65" s="11" t="str">
        <f>IFERROR(__xludf.DUMMYFUNCTION("""COMPUTED_VALUE"""),"")</f>
        <v/>
      </c>
      <c r="T65" s="11" t="str">
        <f>IFERROR(__xludf.DUMMYFUNCTION("""COMPUTED_VALUE"""),"")</f>
        <v/>
      </c>
      <c r="U65" s="11" t="str">
        <f>IFERROR(__xludf.DUMMYFUNCTION("""COMPUTED_VALUE"""),"")</f>
        <v/>
      </c>
      <c r="V65" s="11" t="str">
        <f>IFERROR(__xludf.DUMMYFUNCTION("""COMPUTED_VALUE"""),"")</f>
        <v/>
      </c>
      <c r="W65" s="11" t="str">
        <f>IFERROR(__xludf.DUMMYFUNCTION("""COMPUTED_VALUE"""),"")</f>
        <v/>
      </c>
      <c r="X65" s="11" t="str">
        <f>IFERROR(__xludf.DUMMYFUNCTION("""COMPUTED_VALUE"""),"")</f>
        <v/>
      </c>
      <c r="Y65" s="11" t="str">
        <f>IFERROR(__xludf.DUMMYFUNCTION("""COMPUTED_VALUE"""),"")</f>
        <v/>
      </c>
      <c r="Z65" s="11" t="str">
        <f>IFERROR(__xludf.DUMMYFUNCTION("""COMPUTED_VALUE"""),"")</f>
        <v/>
      </c>
      <c r="AA65" s="11" t="str">
        <f>IFERROR(__xludf.DUMMYFUNCTION("""COMPUTED_VALUE"""),"")</f>
        <v/>
      </c>
      <c r="AB65" s="11" t="str">
        <f>IFERROR(__xludf.DUMMYFUNCTION("""COMPUTED_VALUE"""),"")</f>
        <v/>
      </c>
      <c r="AC65" s="11" t="str">
        <f>IFERROR(__xludf.DUMMYFUNCTION("""COMPUTED_VALUE"""),"")</f>
        <v/>
      </c>
      <c r="AD65" s="11" t="str">
        <f>IFERROR(__xludf.DUMMYFUNCTION("""COMPUTED_VALUE"""),"")</f>
        <v/>
      </c>
      <c r="AE65" s="11" t="str">
        <f>IFERROR(__xludf.DUMMYFUNCTION("""COMPUTED_VALUE"""),"")</f>
        <v/>
      </c>
      <c r="AF65" s="11" t="str">
        <f>IFERROR(__xludf.DUMMYFUNCTION("""COMPUTED_VALUE"""),"")</f>
        <v/>
      </c>
    </row>
    <row r="66">
      <c r="A66" s="9" t="str">
        <f>IFERROR(__xludf.DUMMYFUNCTION("""COMPUTED_VALUE"""),"L 9532 UL")</f>
        <v>L 9532 UL</v>
      </c>
      <c r="B66" s="9" t="str">
        <f>IFERROR(__xludf.DUMMYFUNCTION("""COMPUTED_VALUE"""),"TLPG TJ PERAK")</f>
        <v>TLPG TJ PERAK</v>
      </c>
      <c r="C66" s="9" t="str">
        <f>IFERROR(__xludf.DUMMYFUNCTION("""COMPUTED_VALUE"""),"PT HELA CITRA AGUNG")</f>
        <v>PT HELA CITRA AGUNG</v>
      </c>
      <c r="D66" s="11">
        <f>IFERROR(__xludf.DUMMYFUNCTION("""COMPUTED_VALUE"""),161.5)</f>
        <v>161.5</v>
      </c>
      <c r="E66" s="11" t="str">
        <f>IFERROR(__xludf.DUMMYFUNCTION("""COMPUTED_VALUE"""),"JAUH")</f>
        <v>JAUH</v>
      </c>
      <c r="F66" s="11">
        <f>IFERROR(__xludf.DUMMYFUNCTION("""COMPUTED_VALUE"""),3.0)</f>
        <v>3</v>
      </c>
      <c r="G66" s="11">
        <f>IFERROR(__xludf.DUMMYFUNCTION("""COMPUTED_VALUE"""),6.0)</f>
        <v>6</v>
      </c>
      <c r="H66" s="11">
        <f>IFERROR(__xludf.DUMMYFUNCTION("""COMPUTED_VALUE"""),5.0)</f>
        <v>5</v>
      </c>
      <c r="I66" s="11">
        <v>5.0</v>
      </c>
      <c r="J66" s="11" t="str">
        <f>IFERROR(__xludf.DUMMYFUNCTION("""COMPUTED_VALUE"""),"")</f>
        <v/>
      </c>
      <c r="K66" s="11" t="str">
        <f>IFERROR(__xludf.DUMMYFUNCTION("""COMPUTED_VALUE"""),"")</f>
        <v/>
      </c>
      <c r="L66" s="11" t="str">
        <f>IFERROR(__xludf.DUMMYFUNCTION("""COMPUTED_VALUE"""),"")</f>
        <v/>
      </c>
      <c r="M66" s="11" t="str">
        <f>IFERROR(__xludf.DUMMYFUNCTION("""COMPUTED_VALUE"""),"")</f>
        <v/>
      </c>
      <c r="N66" s="11" t="str">
        <f>IFERROR(__xludf.DUMMYFUNCTION("""COMPUTED_VALUE"""),"")</f>
        <v/>
      </c>
      <c r="O66" s="11" t="str">
        <f>IFERROR(__xludf.DUMMYFUNCTION("""COMPUTED_VALUE"""),"")</f>
        <v/>
      </c>
      <c r="P66" s="11" t="str">
        <f>IFERROR(__xludf.DUMMYFUNCTION("""COMPUTED_VALUE"""),"")</f>
        <v/>
      </c>
      <c r="Q66" s="11" t="str">
        <f>IFERROR(__xludf.DUMMYFUNCTION("""COMPUTED_VALUE"""),"")</f>
        <v/>
      </c>
      <c r="R66" s="11" t="str">
        <f>IFERROR(__xludf.DUMMYFUNCTION("""COMPUTED_VALUE"""),"")</f>
        <v/>
      </c>
      <c r="S66" s="11" t="str">
        <f>IFERROR(__xludf.DUMMYFUNCTION("""COMPUTED_VALUE"""),"")</f>
        <v/>
      </c>
      <c r="T66" s="11" t="str">
        <f>IFERROR(__xludf.DUMMYFUNCTION("""COMPUTED_VALUE"""),"")</f>
        <v/>
      </c>
      <c r="U66" s="11" t="str">
        <f>IFERROR(__xludf.DUMMYFUNCTION("""COMPUTED_VALUE"""),"")</f>
        <v/>
      </c>
      <c r="V66" s="11" t="str">
        <f>IFERROR(__xludf.DUMMYFUNCTION("""COMPUTED_VALUE"""),"")</f>
        <v/>
      </c>
      <c r="W66" s="11" t="str">
        <f>IFERROR(__xludf.DUMMYFUNCTION("""COMPUTED_VALUE"""),"")</f>
        <v/>
      </c>
      <c r="X66" s="11" t="str">
        <f>IFERROR(__xludf.DUMMYFUNCTION("""COMPUTED_VALUE"""),"")</f>
        <v/>
      </c>
      <c r="Y66" s="11" t="str">
        <f>IFERROR(__xludf.DUMMYFUNCTION("""COMPUTED_VALUE"""),"")</f>
        <v/>
      </c>
      <c r="Z66" s="11" t="str">
        <f>IFERROR(__xludf.DUMMYFUNCTION("""COMPUTED_VALUE"""),"")</f>
        <v/>
      </c>
      <c r="AA66" s="11" t="str">
        <f>IFERROR(__xludf.DUMMYFUNCTION("""COMPUTED_VALUE"""),"")</f>
        <v/>
      </c>
      <c r="AB66" s="11" t="str">
        <f>IFERROR(__xludf.DUMMYFUNCTION("""COMPUTED_VALUE"""),"")</f>
        <v/>
      </c>
      <c r="AC66" s="11" t="str">
        <f>IFERROR(__xludf.DUMMYFUNCTION("""COMPUTED_VALUE"""),"")</f>
        <v/>
      </c>
      <c r="AD66" s="11" t="str">
        <f>IFERROR(__xludf.DUMMYFUNCTION("""COMPUTED_VALUE"""),"")</f>
        <v/>
      </c>
      <c r="AE66" s="11" t="str">
        <f>IFERROR(__xludf.DUMMYFUNCTION("""COMPUTED_VALUE"""),"")</f>
        <v/>
      </c>
      <c r="AF66" s="11" t="str">
        <f>IFERROR(__xludf.DUMMYFUNCTION("""COMPUTED_VALUE"""),"")</f>
        <v/>
      </c>
    </row>
    <row r="67">
      <c r="A67" s="9" t="str">
        <f>IFERROR(__xludf.DUMMYFUNCTION("""COMPUTED_VALUE"""),"M 8978 UV")</f>
        <v>M 8978 UV</v>
      </c>
      <c r="B67" s="9" t="str">
        <f>IFERROR(__xludf.DUMMYFUNCTION("""COMPUTED_VALUE"""),"TLPG TJ PERAK")</f>
        <v>TLPG TJ PERAK</v>
      </c>
      <c r="C67" s="9" t="str">
        <f>IFERROR(__xludf.DUMMYFUNCTION("""COMPUTED_VALUE"""),"PT PERAK POLANA ALOMAMPA")</f>
        <v>PT PERAK POLANA ALOMAMPA</v>
      </c>
      <c r="D67" s="11">
        <f>IFERROR(__xludf.DUMMYFUNCTION("""COMPUTED_VALUE"""),155.6)</f>
        <v>155.6</v>
      </c>
      <c r="E67" s="11" t="str">
        <f>IFERROR(__xludf.DUMMYFUNCTION("""COMPUTED_VALUE"""),"JAUH")</f>
        <v>JAUH</v>
      </c>
      <c r="F67" s="11">
        <f>IFERROR(__xludf.DUMMYFUNCTION("""COMPUTED_VALUE"""),3.0)</f>
        <v>3</v>
      </c>
      <c r="G67" s="11">
        <f>IFERROR(__xludf.DUMMYFUNCTION("""COMPUTED_VALUE"""),7.0)</f>
        <v>7</v>
      </c>
      <c r="H67" s="11">
        <f>IFERROR(__xludf.DUMMYFUNCTION("""COMPUTED_VALUE"""),6.0)</f>
        <v>6</v>
      </c>
      <c r="I67" s="11">
        <v>6.0</v>
      </c>
      <c r="J67" s="11" t="str">
        <f>IFERROR(__xludf.DUMMYFUNCTION("""COMPUTED_VALUE"""),"")</f>
        <v/>
      </c>
      <c r="K67" s="11" t="str">
        <f>IFERROR(__xludf.DUMMYFUNCTION("""COMPUTED_VALUE"""),"")</f>
        <v/>
      </c>
      <c r="L67" s="11" t="str">
        <f>IFERROR(__xludf.DUMMYFUNCTION("""COMPUTED_VALUE"""),"")</f>
        <v/>
      </c>
      <c r="M67" s="11" t="str">
        <f>IFERROR(__xludf.DUMMYFUNCTION("""COMPUTED_VALUE"""),"")</f>
        <v/>
      </c>
      <c r="N67" s="11" t="str">
        <f>IFERROR(__xludf.DUMMYFUNCTION("""COMPUTED_VALUE"""),"")</f>
        <v/>
      </c>
      <c r="O67" s="11" t="str">
        <f>IFERROR(__xludf.DUMMYFUNCTION("""COMPUTED_VALUE"""),"")</f>
        <v/>
      </c>
      <c r="P67" s="11" t="str">
        <f>IFERROR(__xludf.DUMMYFUNCTION("""COMPUTED_VALUE"""),"")</f>
        <v/>
      </c>
      <c r="Q67" s="11" t="str">
        <f>IFERROR(__xludf.DUMMYFUNCTION("""COMPUTED_VALUE"""),"")</f>
        <v/>
      </c>
      <c r="R67" s="11" t="str">
        <f>IFERROR(__xludf.DUMMYFUNCTION("""COMPUTED_VALUE"""),"")</f>
        <v/>
      </c>
      <c r="S67" s="11" t="str">
        <f>IFERROR(__xludf.DUMMYFUNCTION("""COMPUTED_VALUE"""),"")</f>
        <v/>
      </c>
      <c r="T67" s="11" t="str">
        <f>IFERROR(__xludf.DUMMYFUNCTION("""COMPUTED_VALUE"""),"")</f>
        <v/>
      </c>
      <c r="U67" s="11" t="str">
        <f>IFERROR(__xludf.DUMMYFUNCTION("""COMPUTED_VALUE"""),"")</f>
        <v/>
      </c>
      <c r="V67" s="11" t="str">
        <f>IFERROR(__xludf.DUMMYFUNCTION("""COMPUTED_VALUE"""),"")</f>
        <v/>
      </c>
      <c r="W67" s="11" t="str">
        <f>IFERROR(__xludf.DUMMYFUNCTION("""COMPUTED_VALUE"""),"")</f>
        <v/>
      </c>
      <c r="X67" s="11" t="str">
        <f>IFERROR(__xludf.DUMMYFUNCTION("""COMPUTED_VALUE"""),"")</f>
        <v/>
      </c>
      <c r="Y67" s="11" t="str">
        <f>IFERROR(__xludf.DUMMYFUNCTION("""COMPUTED_VALUE"""),"")</f>
        <v/>
      </c>
      <c r="Z67" s="11" t="str">
        <f>IFERROR(__xludf.DUMMYFUNCTION("""COMPUTED_VALUE"""),"")</f>
        <v/>
      </c>
      <c r="AA67" s="11" t="str">
        <f>IFERROR(__xludf.DUMMYFUNCTION("""COMPUTED_VALUE"""),"")</f>
        <v/>
      </c>
      <c r="AB67" s="11" t="str">
        <f>IFERROR(__xludf.DUMMYFUNCTION("""COMPUTED_VALUE"""),"")</f>
        <v/>
      </c>
      <c r="AC67" s="11" t="str">
        <f>IFERROR(__xludf.DUMMYFUNCTION("""COMPUTED_VALUE"""),"")</f>
        <v/>
      </c>
      <c r="AD67" s="11" t="str">
        <f>IFERROR(__xludf.DUMMYFUNCTION("""COMPUTED_VALUE"""),"")</f>
        <v/>
      </c>
      <c r="AE67" s="11" t="str">
        <f>IFERROR(__xludf.DUMMYFUNCTION("""COMPUTED_VALUE"""),"")</f>
        <v/>
      </c>
      <c r="AF67" s="11" t="str">
        <f>IFERROR(__xludf.DUMMYFUNCTION("""COMPUTED_VALUE"""),"")</f>
        <v/>
      </c>
    </row>
    <row r="68">
      <c r="A68" s="9" t="str">
        <f>IFERROR(__xludf.DUMMYFUNCTION("""COMPUTED_VALUE"""),"M 9006 UV")</f>
        <v>M 9006 UV</v>
      </c>
      <c r="B68" s="9" t="str">
        <f>IFERROR(__xludf.DUMMYFUNCTION("""COMPUTED_VALUE"""),"TLPG TJ PERAK")</f>
        <v>TLPG TJ PERAK</v>
      </c>
      <c r="C68" s="9" t="str">
        <f>IFERROR(__xludf.DUMMYFUNCTION("""COMPUTED_VALUE"""),"PT PERAK POLANA ALOMAMPA")</f>
        <v>PT PERAK POLANA ALOMAMPA</v>
      </c>
      <c r="D68" s="11">
        <f>IFERROR(__xludf.DUMMYFUNCTION("""COMPUTED_VALUE"""),155.6)</f>
        <v>155.6</v>
      </c>
      <c r="E68" s="11" t="str">
        <f>IFERROR(__xludf.DUMMYFUNCTION("""COMPUTED_VALUE"""),"JAUH")</f>
        <v>JAUH</v>
      </c>
      <c r="F68" s="11">
        <f>IFERROR(__xludf.DUMMYFUNCTION("""COMPUTED_VALUE"""),3.0)</f>
        <v>3</v>
      </c>
      <c r="G68" s="11">
        <f>IFERROR(__xludf.DUMMYFUNCTION("""COMPUTED_VALUE"""),7.0)</f>
        <v>7</v>
      </c>
      <c r="H68" s="11">
        <f>IFERROR(__xludf.DUMMYFUNCTION("""COMPUTED_VALUE"""),7.0)</f>
        <v>7</v>
      </c>
      <c r="I68" s="11">
        <v>7.0</v>
      </c>
      <c r="J68" s="11" t="str">
        <f>IFERROR(__xludf.DUMMYFUNCTION("""COMPUTED_VALUE"""),"")</f>
        <v/>
      </c>
      <c r="K68" s="11" t="str">
        <f>IFERROR(__xludf.DUMMYFUNCTION("""COMPUTED_VALUE"""),"")</f>
        <v/>
      </c>
      <c r="L68" s="11" t="str">
        <f>IFERROR(__xludf.DUMMYFUNCTION("""COMPUTED_VALUE"""),"")</f>
        <v/>
      </c>
      <c r="M68" s="11" t="str">
        <f>IFERROR(__xludf.DUMMYFUNCTION("""COMPUTED_VALUE"""),"")</f>
        <v/>
      </c>
      <c r="N68" s="11" t="str">
        <f>IFERROR(__xludf.DUMMYFUNCTION("""COMPUTED_VALUE"""),"")</f>
        <v/>
      </c>
      <c r="O68" s="11" t="str">
        <f>IFERROR(__xludf.DUMMYFUNCTION("""COMPUTED_VALUE"""),"")</f>
        <v/>
      </c>
      <c r="P68" s="11" t="str">
        <f>IFERROR(__xludf.DUMMYFUNCTION("""COMPUTED_VALUE"""),"")</f>
        <v/>
      </c>
      <c r="Q68" s="11" t="str">
        <f>IFERROR(__xludf.DUMMYFUNCTION("""COMPUTED_VALUE"""),"")</f>
        <v/>
      </c>
      <c r="R68" s="11" t="str">
        <f>IFERROR(__xludf.DUMMYFUNCTION("""COMPUTED_VALUE"""),"")</f>
        <v/>
      </c>
      <c r="S68" s="11" t="str">
        <f>IFERROR(__xludf.DUMMYFUNCTION("""COMPUTED_VALUE"""),"")</f>
        <v/>
      </c>
      <c r="T68" s="11" t="str">
        <f>IFERROR(__xludf.DUMMYFUNCTION("""COMPUTED_VALUE"""),"")</f>
        <v/>
      </c>
      <c r="U68" s="11" t="str">
        <f>IFERROR(__xludf.DUMMYFUNCTION("""COMPUTED_VALUE"""),"")</f>
        <v/>
      </c>
      <c r="V68" s="11" t="str">
        <f>IFERROR(__xludf.DUMMYFUNCTION("""COMPUTED_VALUE"""),"")</f>
        <v/>
      </c>
      <c r="W68" s="11" t="str">
        <f>IFERROR(__xludf.DUMMYFUNCTION("""COMPUTED_VALUE"""),"")</f>
        <v/>
      </c>
      <c r="X68" s="11" t="str">
        <f>IFERROR(__xludf.DUMMYFUNCTION("""COMPUTED_VALUE"""),"")</f>
        <v/>
      </c>
      <c r="Y68" s="11" t="str">
        <f>IFERROR(__xludf.DUMMYFUNCTION("""COMPUTED_VALUE"""),"")</f>
        <v/>
      </c>
      <c r="Z68" s="11" t="str">
        <f>IFERROR(__xludf.DUMMYFUNCTION("""COMPUTED_VALUE"""),"")</f>
        <v/>
      </c>
      <c r="AA68" s="11" t="str">
        <f>IFERROR(__xludf.DUMMYFUNCTION("""COMPUTED_VALUE"""),"")</f>
        <v/>
      </c>
      <c r="AB68" s="11" t="str">
        <f>IFERROR(__xludf.DUMMYFUNCTION("""COMPUTED_VALUE"""),"")</f>
        <v/>
      </c>
      <c r="AC68" s="11" t="str">
        <f>IFERROR(__xludf.DUMMYFUNCTION("""COMPUTED_VALUE"""),"")</f>
        <v/>
      </c>
      <c r="AD68" s="11" t="str">
        <f>IFERROR(__xludf.DUMMYFUNCTION("""COMPUTED_VALUE"""),"")</f>
        <v/>
      </c>
      <c r="AE68" s="11" t="str">
        <f>IFERROR(__xludf.DUMMYFUNCTION("""COMPUTED_VALUE"""),"")</f>
        <v/>
      </c>
      <c r="AF68" s="11" t="str">
        <f>IFERROR(__xludf.DUMMYFUNCTION("""COMPUTED_VALUE"""),"")</f>
        <v/>
      </c>
    </row>
    <row r="69">
      <c r="A69" s="9" t="str">
        <f>IFERROR(__xludf.DUMMYFUNCTION("""COMPUTED_VALUE"""),"M 9321 UV")</f>
        <v>M 9321 UV</v>
      </c>
      <c r="B69" s="9" t="str">
        <f>IFERROR(__xludf.DUMMYFUNCTION("""COMPUTED_VALUE"""),"TLPG TJ PERAK")</f>
        <v>TLPG TJ PERAK</v>
      </c>
      <c r="C69" s="9" t="str">
        <f>IFERROR(__xludf.DUMMYFUNCTION("""COMPUTED_VALUE"""),"PT PERAK POLANA ALOMAMPA")</f>
        <v>PT PERAK POLANA ALOMAMPA</v>
      </c>
      <c r="D69" s="11">
        <f>IFERROR(__xludf.DUMMYFUNCTION("""COMPUTED_VALUE"""),155.6)</f>
        <v>155.6</v>
      </c>
      <c r="E69" s="11" t="str">
        <f>IFERROR(__xludf.DUMMYFUNCTION("""COMPUTED_VALUE"""),"JAUH")</f>
        <v>JAUH</v>
      </c>
      <c r="F69" s="11">
        <f>IFERROR(__xludf.DUMMYFUNCTION("""COMPUTED_VALUE"""),3.0)</f>
        <v>3</v>
      </c>
      <c r="G69" s="11">
        <f>IFERROR(__xludf.DUMMYFUNCTION("""COMPUTED_VALUE"""),7.0)</f>
        <v>7</v>
      </c>
      <c r="H69" s="11">
        <f>IFERROR(__xludf.DUMMYFUNCTION("""COMPUTED_VALUE"""),8.0)</f>
        <v>8</v>
      </c>
      <c r="I69" s="11">
        <v>8.0</v>
      </c>
      <c r="J69" s="11" t="str">
        <f>IFERROR(__xludf.DUMMYFUNCTION("""COMPUTED_VALUE"""),"NO")</f>
        <v>NO</v>
      </c>
      <c r="K69" s="11" t="str">
        <f>IFERROR(__xludf.DUMMYFUNCTION("""COMPUTED_VALUE"""),"DATA BARU")</f>
        <v>DATA BARU</v>
      </c>
      <c r="L69" s="11" t="str">
        <f>IFERROR(__xludf.DUMMYFUNCTION("""COMPUTED_VALUE"""),"TERMINAL")</f>
        <v>TERMINAL</v>
      </c>
      <c r="M69" s="11" t="str">
        <f>IFERROR(__xludf.DUMMYFUNCTION("""COMPUTED_VALUE"""),"PC")</f>
        <v>PC</v>
      </c>
      <c r="N69" s="11" t="str">
        <f>IFERROR(__xludf.DUMMYFUNCTION("""COMPUTED_VALUE"""),"KETERANGAN")</f>
        <v>KETERANGAN</v>
      </c>
      <c r="O69" s="11" t="str">
        <f>IFERROR(__xludf.DUMMYFUNCTION("""COMPUTED_VALUE"""),"")</f>
        <v/>
      </c>
      <c r="P69" s="20" t="str">
        <f>IFERROR(__xludf.DUMMYFUNCTION("""COMPUTED_VALUE"""),"NO")</f>
        <v>NO</v>
      </c>
      <c r="Q69" s="20" t="str">
        <f>IFERROR(__xludf.DUMMYFUNCTION("""COMPUTED_VALUE"""),"DATA BARU")</f>
        <v>DATA BARU</v>
      </c>
      <c r="R69" s="20" t="str">
        <f>IFERROR(__xludf.DUMMYFUNCTION("""COMPUTED_VALUE"""),"TERMINAL")</f>
        <v>TERMINAL</v>
      </c>
      <c r="S69" s="20" t="str">
        <f>IFERROR(__xludf.DUMMYFUNCTION("""COMPUTED_VALUE"""),"PC")</f>
        <v>PC</v>
      </c>
      <c r="T69" s="20" t="str">
        <f>IFERROR(__xludf.DUMMYFUNCTION("""COMPUTED_VALUE"""),"KETERANGAN")</f>
        <v>KETERANGAN</v>
      </c>
      <c r="U69" s="11" t="str">
        <f>IFERROR(__xludf.DUMMYFUNCTION("""COMPUTED_VALUE"""),"")</f>
        <v/>
      </c>
      <c r="V69" s="11" t="str">
        <f>IFERROR(__xludf.DUMMYFUNCTION("""COMPUTED_VALUE"""),"NO")</f>
        <v>NO</v>
      </c>
      <c r="W69" s="11" t="str">
        <f>IFERROR(__xludf.DUMMYFUNCTION("""COMPUTED_VALUE"""),"DATA BARU")</f>
        <v>DATA BARU</v>
      </c>
      <c r="X69" s="11" t="str">
        <f>IFERROR(__xludf.DUMMYFUNCTION("""COMPUTED_VALUE"""),"TERMINAL")</f>
        <v>TERMINAL</v>
      </c>
      <c r="Y69" s="11" t="str">
        <f>IFERROR(__xludf.DUMMYFUNCTION("""COMPUTED_VALUE"""),"PC")</f>
        <v>PC</v>
      </c>
      <c r="Z69" s="11" t="str">
        <f>IFERROR(__xludf.DUMMYFUNCTION("""COMPUTED_VALUE"""),"KETERANGAN")</f>
        <v>KETERANGAN</v>
      </c>
      <c r="AA69" s="11" t="str">
        <f>IFERROR(__xludf.DUMMYFUNCTION("""COMPUTED_VALUE"""),"")</f>
        <v/>
      </c>
      <c r="AB69" s="32" t="str">
        <f>IFERROR(__xludf.DUMMYFUNCTION("""COMPUTED_VALUE"""),"NO")</f>
        <v>NO</v>
      </c>
      <c r="AC69" s="32" t="str">
        <f>IFERROR(__xludf.DUMMYFUNCTION("""COMPUTED_VALUE"""),"DATA BARU")</f>
        <v>DATA BARU</v>
      </c>
      <c r="AD69" s="32" t="str">
        <f>IFERROR(__xludf.DUMMYFUNCTION("""COMPUTED_VALUE"""),"TERMINAL")</f>
        <v>TERMINAL</v>
      </c>
      <c r="AE69" s="32" t="str">
        <f>IFERROR(__xludf.DUMMYFUNCTION("""COMPUTED_VALUE"""),"PC")</f>
        <v>PC</v>
      </c>
      <c r="AF69" s="32" t="str">
        <f>IFERROR(__xludf.DUMMYFUNCTION("""COMPUTED_VALUE"""),"KETERANGAN")</f>
        <v>KETERANGAN</v>
      </c>
    </row>
    <row r="70">
      <c r="A70" s="9" t="str">
        <f>IFERROR(__xludf.DUMMYFUNCTION("""COMPUTED_VALUE"""),"N 9162 UV")</f>
        <v>N 9162 UV</v>
      </c>
      <c r="B70" s="9" t="str">
        <f>IFERROR(__xludf.DUMMYFUNCTION("""COMPUTED_VALUE"""),"TLPG TJ PERAK")</f>
        <v>TLPG TJ PERAK</v>
      </c>
      <c r="C70" s="9" t="str">
        <f>IFERROR(__xludf.DUMMYFUNCTION("""COMPUTED_VALUE"""),"PT SINAR WAHANA SURYA")</f>
        <v>PT SINAR WAHANA SURYA</v>
      </c>
      <c r="D70" s="11">
        <f>IFERROR(__xludf.DUMMYFUNCTION("""COMPUTED_VALUE"""),146.9)</f>
        <v>146.9</v>
      </c>
      <c r="E70" s="11" t="str">
        <f>IFERROR(__xludf.DUMMYFUNCTION("""COMPUTED_VALUE"""),"SEDANG")</f>
        <v>SEDANG</v>
      </c>
      <c r="F70" s="11">
        <f>IFERROR(__xludf.DUMMYFUNCTION("""COMPUTED_VALUE"""),2.0)</f>
        <v>2</v>
      </c>
      <c r="G70" s="11">
        <f>IFERROR(__xludf.DUMMYFUNCTION("""COMPUTED_VALUE"""),9.0)</f>
        <v>9</v>
      </c>
      <c r="H70" s="11">
        <f>IFERROR(__xludf.DUMMYFUNCTION("""COMPUTED_VALUE"""),9.0)</f>
        <v>9</v>
      </c>
      <c r="I70" s="11">
        <v>9.0</v>
      </c>
      <c r="J70" s="11">
        <f>IFERROR(__xludf.DUMMYFUNCTION("""COMPUTED_VALUE"""),1.0)</f>
        <v>1</v>
      </c>
      <c r="K70" s="11" t="str">
        <f>IFERROR(__xludf.DUMMYFUNCTION("""COMPUTED_VALUE"""),"AE 8857 UT")</f>
        <v>AE 8857 UT</v>
      </c>
      <c r="L70" s="11" t="str">
        <f>IFERROR(__xludf.DUMMYFUNCTION("""COMPUTED_VALUE"""),"TLPG TJ PERAK")</f>
        <v>TLPG TJ PERAK</v>
      </c>
      <c r="M70" s="11">
        <f>IFERROR(__xludf.DUMMYFUNCTION("""COMPUTED_VALUE"""),9.0)</f>
        <v>9</v>
      </c>
      <c r="N70" s="11" t="str">
        <f>IFERROR(__xludf.DUMMYFUNCTION("""COMPUTED_VALUE"""),"PT BUANA KARYA SURYA PRATAMA")</f>
        <v>PT BUANA KARYA SURYA PRATAMA</v>
      </c>
      <c r="O70" s="11" t="str">
        <f>IFERROR(__xludf.DUMMYFUNCTION("""COMPUTED_VALUE"""),"")</f>
        <v/>
      </c>
      <c r="P70" s="20">
        <f>IFERROR(__xludf.DUMMYFUNCTION("""COMPUTED_VALUE"""),1.0)</f>
        <v>1</v>
      </c>
      <c r="Q70" s="20" t="str">
        <f>IFERROR(__xludf.DUMMYFUNCTION("""COMPUTED_VALUE"""),"AE 8086 UT")</f>
        <v>AE 8086 UT</v>
      </c>
      <c r="R70" s="20" t="str">
        <f>IFERROR(__xludf.DUMMYFUNCTION("""COMPUTED_VALUE"""),"TLPG TJ PERAK")</f>
        <v>TLPG TJ PERAK</v>
      </c>
      <c r="S70" s="20">
        <f>IFERROR(__xludf.DUMMYFUNCTION("""COMPUTED_VALUE"""),10.0)</f>
        <v>10</v>
      </c>
      <c r="T70" s="20" t="str">
        <f>IFERROR(__xludf.DUMMYFUNCTION("""COMPUTED_VALUE"""),"PT BUANA KARYA SURYA PRATAMA")</f>
        <v>PT BUANA KARYA SURYA PRATAMA</v>
      </c>
      <c r="U70" s="11" t="str">
        <f>IFERROR(__xludf.DUMMYFUNCTION("""COMPUTED_VALUE"""),"")</f>
        <v/>
      </c>
      <c r="V70" s="11">
        <f>IFERROR(__xludf.DUMMYFUNCTION("""COMPUTED_VALUE"""),1.0)</f>
        <v>1</v>
      </c>
      <c r="W70" s="11" t="str">
        <f>IFERROR(__xludf.DUMMYFUNCTION("""COMPUTED_VALUE"""),"AE 8099 UT")</f>
        <v>AE 8099 UT</v>
      </c>
      <c r="X70" s="11" t="str">
        <f>IFERROR(__xludf.DUMMYFUNCTION("""COMPUTED_VALUE"""),"TLPG TJ PERAK")</f>
        <v>TLPG TJ PERAK</v>
      </c>
      <c r="Y70" s="11">
        <f>IFERROR(__xludf.DUMMYFUNCTION("""COMPUTED_VALUE"""),11.0)</f>
        <v>11</v>
      </c>
      <c r="Z70" s="11" t="str">
        <f>IFERROR(__xludf.DUMMYFUNCTION("""COMPUTED_VALUE"""),"PT GAS ALAM BUMI REOG")</f>
        <v>PT GAS ALAM BUMI REOG</v>
      </c>
      <c r="AA70" s="11" t="str">
        <f>IFERROR(__xludf.DUMMYFUNCTION("""COMPUTED_VALUE"""),"")</f>
        <v/>
      </c>
      <c r="AB70" s="32">
        <f>IFERROR(__xludf.DUMMYFUNCTION("""COMPUTED_VALUE"""),1.0)</f>
        <v>1</v>
      </c>
      <c r="AC70" s="32" t="str">
        <f>IFERROR(__xludf.DUMMYFUNCTION("""COMPUTED_VALUE"""),"N 9910 UN")</f>
        <v>N 9910 UN</v>
      </c>
      <c r="AD70" s="32" t="str">
        <f>IFERROR(__xludf.DUMMYFUNCTION("""COMPUTED_VALUE"""),"TLPG TJ WANGI")</f>
        <v>TLPG TJ WANGI</v>
      </c>
      <c r="AE70" s="32">
        <f>IFERROR(__xludf.DUMMYFUNCTION("""COMPUTED_VALUE"""),12.0)</f>
        <v>12</v>
      </c>
      <c r="AF70" s="32" t="str">
        <f>IFERROR(__xludf.DUMMYFUNCTION("""COMPUTED_VALUE"""),"PT MAHKOTA MIGAS PERKASA")</f>
        <v>PT MAHKOTA MIGAS PERKASA</v>
      </c>
    </row>
    <row r="71">
      <c r="A71" s="9" t="str">
        <f>IFERROR(__xludf.DUMMYFUNCTION("""COMPUTED_VALUE"""),"N 9425 UU")</f>
        <v>N 9425 UU</v>
      </c>
      <c r="B71" s="9" t="str">
        <f>IFERROR(__xludf.DUMMYFUNCTION("""COMPUTED_VALUE"""),"TLPG TJ PERAK")</f>
        <v>TLPG TJ PERAK</v>
      </c>
      <c r="C71" s="9" t="str">
        <f>IFERROR(__xludf.DUMMYFUNCTION("""COMPUTED_VALUE"""),"PT SINAR WAHANA SURYA")</f>
        <v>PT SINAR WAHANA SURYA</v>
      </c>
      <c r="D71" s="11">
        <f>IFERROR(__xludf.DUMMYFUNCTION("""COMPUTED_VALUE"""),146.9)</f>
        <v>146.9</v>
      </c>
      <c r="E71" s="11" t="str">
        <f>IFERROR(__xludf.DUMMYFUNCTION("""COMPUTED_VALUE"""),"SEDANG")</f>
        <v>SEDANG</v>
      </c>
      <c r="F71" s="11">
        <f>IFERROR(__xludf.DUMMYFUNCTION("""COMPUTED_VALUE"""),2.0)</f>
        <v>2</v>
      </c>
      <c r="G71" s="11">
        <f>IFERROR(__xludf.DUMMYFUNCTION("""COMPUTED_VALUE"""),10.0)</f>
        <v>10</v>
      </c>
      <c r="H71" s="11">
        <f>IFERROR(__xludf.DUMMYFUNCTION("""COMPUTED_VALUE"""),10.0)</f>
        <v>10</v>
      </c>
      <c r="I71" s="11">
        <v>10.0</v>
      </c>
      <c r="J71" s="11">
        <f>IFERROR(__xludf.DUMMYFUNCTION("""COMPUTED_VALUE"""),2.0)</f>
        <v>2</v>
      </c>
      <c r="K71" s="11" t="str">
        <f>IFERROR(__xludf.DUMMYFUNCTION("""COMPUTED_VALUE"""),"AE 9634 UJ")</f>
        <v>AE 9634 UJ</v>
      </c>
      <c r="L71" s="11" t="str">
        <f>IFERROR(__xludf.DUMMYFUNCTION("""COMPUTED_VALUE"""),"TLPG TJ PERAK")</f>
        <v>TLPG TJ PERAK</v>
      </c>
      <c r="M71" s="11">
        <f>IFERROR(__xludf.DUMMYFUNCTION("""COMPUTED_VALUE"""),9.0)</f>
        <v>9</v>
      </c>
      <c r="N71" s="11" t="str">
        <f>IFERROR(__xludf.DUMMYFUNCTION("""COMPUTED_VALUE"""),"PT KARYA USAHA MANDIRI LESTARI")</f>
        <v>PT KARYA USAHA MANDIRI LESTARI</v>
      </c>
      <c r="O71" s="11" t="str">
        <f>IFERROR(__xludf.DUMMYFUNCTION("""COMPUTED_VALUE"""),"")</f>
        <v/>
      </c>
      <c r="P71" s="20">
        <f>IFERROR(__xludf.DUMMYFUNCTION("""COMPUTED_VALUE"""),2.0)</f>
        <v>2</v>
      </c>
      <c r="Q71" s="20" t="str">
        <f>IFERROR(__xludf.DUMMYFUNCTION("""COMPUTED_VALUE"""),"AE 8639 UP")</f>
        <v>AE 8639 UP</v>
      </c>
      <c r="R71" s="20" t="str">
        <f>IFERROR(__xludf.DUMMYFUNCTION("""COMPUTED_VALUE"""),"TLPG TJ PERAK")</f>
        <v>TLPG TJ PERAK</v>
      </c>
      <c r="S71" s="20">
        <f>IFERROR(__xludf.DUMMYFUNCTION("""COMPUTED_VALUE"""),10.0)</f>
        <v>10</v>
      </c>
      <c r="T71" s="20" t="str">
        <f>IFERROR(__xludf.DUMMYFUNCTION("""COMPUTED_VALUE"""),"PT TRISINDO ADIKAMULIA")</f>
        <v>PT TRISINDO ADIKAMULIA</v>
      </c>
      <c r="U71" s="11" t="str">
        <f>IFERROR(__xludf.DUMMYFUNCTION("""COMPUTED_VALUE"""),"")</f>
        <v/>
      </c>
      <c r="V71" s="11">
        <f>IFERROR(__xludf.DUMMYFUNCTION("""COMPUTED_VALUE"""),2.0)</f>
        <v>2</v>
      </c>
      <c r="W71" s="11" t="str">
        <f>IFERROR(__xludf.DUMMYFUNCTION("""COMPUTED_VALUE"""),"AE 8641 UP")</f>
        <v>AE 8641 UP</v>
      </c>
      <c r="X71" s="11" t="str">
        <f>IFERROR(__xludf.DUMMYFUNCTION("""COMPUTED_VALUE"""),"TLPG TJ PERAK")</f>
        <v>TLPG TJ PERAK</v>
      </c>
      <c r="Y71" s="11">
        <f>IFERROR(__xludf.DUMMYFUNCTION("""COMPUTED_VALUE"""),11.0)</f>
        <v>11</v>
      </c>
      <c r="Z71" s="11" t="str">
        <f>IFERROR(__xludf.DUMMYFUNCTION("""COMPUTED_VALUE"""),"PT TRISINDO ADIKAMULIA")</f>
        <v>PT TRISINDO ADIKAMULIA</v>
      </c>
      <c r="AA71" s="11" t="str">
        <f>IFERROR(__xludf.DUMMYFUNCTION("""COMPUTED_VALUE"""),"")</f>
        <v/>
      </c>
      <c r="AB71" s="32">
        <f>IFERROR(__xludf.DUMMYFUNCTION("""COMPUTED_VALUE"""),2.0)</f>
        <v>2</v>
      </c>
      <c r="AC71" s="32" t="str">
        <f>IFERROR(__xludf.DUMMYFUNCTION("""COMPUTED_VALUE"""),"AE 8642 UP")</f>
        <v>AE 8642 UP</v>
      </c>
      <c r="AD71" s="32" t="str">
        <f>IFERROR(__xludf.DUMMYFUNCTION("""COMPUTED_VALUE"""),"TLPG TJ PERAK")</f>
        <v>TLPG TJ PERAK</v>
      </c>
      <c r="AE71" s="32">
        <f>IFERROR(__xludf.DUMMYFUNCTION("""COMPUTED_VALUE"""),12.0)</f>
        <v>12</v>
      </c>
      <c r="AF71" s="32" t="str">
        <f>IFERROR(__xludf.DUMMYFUNCTION("""COMPUTED_VALUE"""),"PT TRISINDO ADIKAMULIA")</f>
        <v>PT TRISINDO ADIKAMULIA</v>
      </c>
    </row>
    <row r="72">
      <c r="A72" s="9" t="str">
        <f>IFERROR(__xludf.DUMMYFUNCTION("""COMPUTED_VALUE"""),"N 9262 UF")</f>
        <v>N 9262 UF</v>
      </c>
      <c r="B72" s="9" t="str">
        <f>IFERROR(__xludf.DUMMYFUNCTION("""COMPUTED_VALUE"""),"TLPG MEM GRESIK")</f>
        <v>TLPG MEM GRESIK</v>
      </c>
      <c r="C72" s="9" t="str">
        <f>IFERROR(__xludf.DUMMYFUNCTION("""COMPUTED_VALUE"""),"PT SINAR WAHANA SURYA")</f>
        <v>PT SINAR WAHANA SURYA</v>
      </c>
      <c r="D72" s="11">
        <f>IFERROR(__xludf.DUMMYFUNCTION("""COMPUTED_VALUE"""),142.0)</f>
        <v>142</v>
      </c>
      <c r="E72" s="11" t="str">
        <f>IFERROR(__xludf.DUMMYFUNCTION("""COMPUTED_VALUE"""),"SEDANG")</f>
        <v>SEDANG</v>
      </c>
      <c r="F72" s="11">
        <f>IFERROR(__xludf.DUMMYFUNCTION("""COMPUTED_VALUE"""),2.0)</f>
        <v>2</v>
      </c>
      <c r="G72" s="11">
        <f>IFERROR(__xludf.DUMMYFUNCTION("""COMPUTED_VALUE"""),9.0)</f>
        <v>9</v>
      </c>
      <c r="H72" s="11">
        <f>IFERROR(__xludf.DUMMYFUNCTION("""COMPUTED_VALUE"""),11.0)</f>
        <v>11</v>
      </c>
      <c r="I72" s="11">
        <v>11.0</v>
      </c>
      <c r="J72" s="11">
        <f>IFERROR(__xludf.DUMMYFUNCTION("""COMPUTED_VALUE"""),3.0)</f>
        <v>3</v>
      </c>
      <c r="K72" s="11" t="str">
        <f>IFERROR(__xludf.DUMMYFUNCTION("""COMPUTED_VALUE"""),"AG 8079 UZ")</f>
        <v>AG 8079 UZ</v>
      </c>
      <c r="L72" s="11" t="str">
        <f>IFERROR(__xludf.DUMMYFUNCTION("""COMPUTED_VALUE"""),"TLPG TJ PERAK")</f>
        <v>TLPG TJ PERAK</v>
      </c>
      <c r="M72" s="11">
        <f>IFERROR(__xludf.DUMMYFUNCTION("""COMPUTED_VALUE"""),9.0)</f>
        <v>9</v>
      </c>
      <c r="N72" s="11" t="str">
        <f>IFERROR(__xludf.DUMMYFUNCTION("""COMPUTED_VALUE"""),"PT DIAN EL HADA")</f>
        <v>PT DIAN EL HADA</v>
      </c>
      <c r="O72" s="11" t="str">
        <f>IFERROR(__xludf.DUMMYFUNCTION("""COMPUTED_VALUE"""),"")</f>
        <v/>
      </c>
      <c r="P72" s="20">
        <f>IFERROR(__xludf.DUMMYFUNCTION("""COMPUTED_VALUE"""),3.0)</f>
        <v>3</v>
      </c>
      <c r="Q72" s="20" t="str">
        <f>IFERROR(__xludf.DUMMYFUNCTION("""COMPUTED_VALUE"""),"AG 8654 UZ")</f>
        <v>AG 8654 UZ</v>
      </c>
      <c r="R72" s="20" t="str">
        <f>IFERROR(__xludf.DUMMYFUNCTION("""COMPUTED_VALUE"""),"TLPG TJ PERAK")</f>
        <v>TLPG TJ PERAK</v>
      </c>
      <c r="S72" s="20">
        <f>IFERROR(__xludf.DUMMYFUNCTION("""COMPUTED_VALUE"""),10.0)</f>
        <v>10</v>
      </c>
      <c r="T72" s="20" t="str">
        <f>IFERROR(__xludf.DUMMYFUNCTION("""COMPUTED_VALUE"""),"PT DIAN EL HADA")</f>
        <v>PT DIAN EL HADA</v>
      </c>
      <c r="U72" s="11" t="str">
        <f>IFERROR(__xludf.DUMMYFUNCTION("""COMPUTED_VALUE"""),"")</f>
        <v/>
      </c>
      <c r="V72" s="11">
        <f>IFERROR(__xludf.DUMMYFUNCTION("""COMPUTED_VALUE"""),3.0)</f>
        <v>3</v>
      </c>
      <c r="W72" s="11" t="str">
        <f>IFERROR(__xludf.DUMMYFUNCTION("""COMPUTED_VALUE"""),"N 8041 UZ")</f>
        <v>N 8041 UZ</v>
      </c>
      <c r="X72" s="11" t="str">
        <f>IFERROR(__xludf.DUMMYFUNCTION("""COMPUTED_VALUE"""),"TLPG MEM GRESIK")</f>
        <v>TLPG MEM GRESIK</v>
      </c>
      <c r="Y72" s="11">
        <f>IFERROR(__xludf.DUMMYFUNCTION("""COMPUTED_VALUE"""),11.0)</f>
        <v>11</v>
      </c>
      <c r="Z72" s="11" t="str">
        <f>IFERROR(__xludf.DUMMYFUNCTION("""COMPUTED_VALUE"""),"PT SINAR AGUNG PUTRA ABADI")</f>
        <v>PT SINAR AGUNG PUTRA ABADI</v>
      </c>
      <c r="AA72" s="11" t="str">
        <f>IFERROR(__xludf.DUMMYFUNCTION("""COMPUTED_VALUE"""),"")</f>
        <v/>
      </c>
      <c r="AB72" s="32">
        <f>IFERROR(__xludf.DUMMYFUNCTION("""COMPUTED_VALUE"""),3.0)</f>
        <v>3</v>
      </c>
      <c r="AC72" s="32" t="str">
        <f>IFERROR(__xludf.DUMMYFUNCTION("""COMPUTED_VALUE"""),"N 8025 UZ")</f>
        <v>N 8025 UZ</v>
      </c>
      <c r="AD72" s="32" t="str">
        <f>IFERROR(__xludf.DUMMYFUNCTION("""COMPUTED_VALUE"""),"TLPG MEM GRESIK")</f>
        <v>TLPG MEM GRESIK</v>
      </c>
      <c r="AE72" s="32">
        <f>IFERROR(__xludf.DUMMYFUNCTION("""COMPUTED_VALUE"""),12.0)</f>
        <v>12</v>
      </c>
      <c r="AF72" s="32" t="str">
        <f>IFERROR(__xludf.DUMMYFUNCTION("""COMPUTED_VALUE"""),"PT SINAR AGUNG PUTRA ABADI")</f>
        <v>PT SINAR AGUNG PUTRA ABADI</v>
      </c>
    </row>
    <row r="73">
      <c r="A73" s="9" t="str">
        <f>IFERROR(__xludf.DUMMYFUNCTION("""COMPUTED_VALUE"""),"N 9509 UG")</f>
        <v>N 9509 UG</v>
      </c>
      <c r="B73" s="9" t="str">
        <f>IFERROR(__xludf.DUMMYFUNCTION("""COMPUTED_VALUE"""),"TLPG MEM GRESIK")</f>
        <v>TLPG MEM GRESIK</v>
      </c>
      <c r="C73" s="9" t="str">
        <f>IFERROR(__xludf.DUMMYFUNCTION("""COMPUTED_VALUE"""),"PT SINAR WAHANA SURYA")</f>
        <v>PT SINAR WAHANA SURYA</v>
      </c>
      <c r="D73" s="11">
        <f>IFERROR(__xludf.DUMMYFUNCTION("""COMPUTED_VALUE"""),142.0)</f>
        <v>142</v>
      </c>
      <c r="E73" s="11" t="str">
        <f>IFERROR(__xludf.DUMMYFUNCTION("""COMPUTED_VALUE"""),"SEDANG")</f>
        <v>SEDANG</v>
      </c>
      <c r="F73" s="11">
        <f>IFERROR(__xludf.DUMMYFUNCTION("""COMPUTED_VALUE"""),2.0)</f>
        <v>2</v>
      </c>
      <c r="G73" s="11">
        <f>IFERROR(__xludf.DUMMYFUNCTION("""COMPUTED_VALUE"""),9.0)</f>
        <v>9</v>
      </c>
      <c r="H73" s="11">
        <f>IFERROR(__xludf.DUMMYFUNCTION("""COMPUTED_VALUE"""),12.0)</f>
        <v>12</v>
      </c>
      <c r="I73" s="11">
        <v>12.0</v>
      </c>
      <c r="J73" s="11">
        <f>IFERROR(__xludf.DUMMYFUNCTION("""COMPUTED_VALUE"""),4.0)</f>
        <v>4</v>
      </c>
      <c r="K73" s="11" t="str">
        <f>IFERROR(__xludf.DUMMYFUNCTION("""COMPUTED_VALUE"""),"N 9307 WD")</f>
        <v>N 9307 WD</v>
      </c>
      <c r="L73" s="11" t="str">
        <f>IFERROR(__xludf.DUMMYFUNCTION("""COMPUTED_VALUE"""),"TLPG TJ PERAK")</f>
        <v>TLPG TJ PERAK</v>
      </c>
      <c r="M73" s="11">
        <f>IFERROR(__xludf.DUMMYFUNCTION("""COMPUTED_VALUE"""),9.0)</f>
        <v>9</v>
      </c>
      <c r="N73" s="11" t="str">
        <f>IFERROR(__xludf.DUMMYFUNCTION("""COMPUTED_VALUE"""),"PT TATA BERSAMA")</f>
        <v>PT TATA BERSAMA</v>
      </c>
      <c r="O73" s="11" t="str">
        <f>IFERROR(__xludf.DUMMYFUNCTION("""COMPUTED_VALUE"""),"")</f>
        <v/>
      </c>
      <c r="P73" s="20">
        <f>IFERROR(__xludf.DUMMYFUNCTION("""COMPUTED_VALUE"""),4.0)</f>
        <v>4</v>
      </c>
      <c r="Q73" s="20" t="str">
        <f>IFERROR(__xludf.DUMMYFUNCTION("""COMPUTED_VALUE"""),"AE 8527 UJ")</f>
        <v>AE 8527 UJ</v>
      </c>
      <c r="R73" s="20" t="str">
        <f>IFERROR(__xludf.DUMMYFUNCTION("""COMPUTED_VALUE"""),"TLPG TJ PERAK")</f>
        <v>TLPG TJ PERAK</v>
      </c>
      <c r="S73" s="20">
        <f>IFERROR(__xludf.DUMMYFUNCTION("""COMPUTED_VALUE"""),10.0)</f>
        <v>10</v>
      </c>
      <c r="T73" s="20" t="str">
        <f>IFERROR(__xludf.DUMMYFUNCTION("""COMPUTED_VALUE"""),"PT RAMA MANGGALA GAS")</f>
        <v>PT RAMA MANGGALA GAS</v>
      </c>
      <c r="U73" s="11" t="str">
        <f>IFERROR(__xludf.DUMMYFUNCTION("""COMPUTED_VALUE"""),"")</f>
        <v/>
      </c>
      <c r="V73" s="11">
        <f>IFERROR(__xludf.DUMMYFUNCTION("""COMPUTED_VALUE"""),4.0)</f>
        <v>4</v>
      </c>
      <c r="W73" s="11" t="str">
        <f>IFERROR(__xludf.DUMMYFUNCTION("""COMPUTED_VALUE"""),"AG 8913 UK")</f>
        <v>AG 8913 UK</v>
      </c>
      <c r="X73" s="11" t="str">
        <f>IFERROR(__xludf.DUMMYFUNCTION("""COMPUTED_VALUE"""),"TLPG TJ PERAK")</f>
        <v>TLPG TJ PERAK</v>
      </c>
      <c r="Y73" s="11">
        <f>IFERROR(__xludf.DUMMYFUNCTION("""COMPUTED_VALUE"""),11.0)</f>
        <v>11</v>
      </c>
      <c r="Z73" s="11" t="str">
        <f>IFERROR(__xludf.DUMMYFUNCTION("""COMPUTED_VALUE"""),"PT RACHMASARI BRASS INDONESIA")</f>
        <v>PT RACHMASARI BRASS INDONESIA</v>
      </c>
      <c r="AA73" s="11" t="str">
        <f>IFERROR(__xludf.DUMMYFUNCTION("""COMPUTED_VALUE"""),"")</f>
        <v/>
      </c>
      <c r="AB73" s="32">
        <f>IFERROR(__xludf.DUMMYFUNCTION("""COMPUTED_VALUE"""),4.0)</f>
        <v>4</v>
      </c>
      <c r="AC73" s="32" t="str">
        <f>IFERROR(__xludf.DUMMYFUNCTION("""COMPUTED_VALUE"""),"AG 8817 UT")</f>
        <v>AG 8817 UT</v>
      </c>
      <c r="AD73" s="32" t="str">
        <f>IFERROR(__xludf.DUMMYFUNCTION("""COMPUTED_VALUE"""),"TLPG TJ PERAK")</f>
        <v>TLPG TJ PERAK</v>
      </c>
      <c r="AE73" s="32">
        <f>IFERROR(__xludf.DUMMYFUNCTION("""COMPUTED_VALUE"""),12.0)</f>
        <v>12</v>
      </c>
      <c r="AF73" s="32" t="str">
        <f>IFERROR(__xludf.DUMMYFUNCTION("""COMPUTED_VALUE"""),"PT GANGSAR SENTOSA PETROLIUM")</f>
        <v>PT GANGSAR SENTOSA PETROLIUM</v>
      </c>
    </row>
    <row r="74">
      <c r="A74" s="9" t="str">
        <f>IFERROR(__xludf.DUMMYFUNCTION("""COMPUTED_VALUE"""),"N 9659 UG")</f>
        <v>N 9659 UG</v>
      </c>
      <c r="B74" s="9" t="str">
        <f>IFERROR(__xludf.DUMMYFUNCTION("""COMPUTED_VALUE"""),"TLPG MEM GRESIK")</f>
        <v>TLPG MEM GRESIK</v>
      </c>
      <c r="C74" s="9" t="str">
        <f>IFERROR(__xludf.DUMMYFUNCTION("""COMPUTED_VALUE"""),"PT SINAR WAHANA SURYA")</f>
        <v>PT SINAR WAHANA SURYA</v>
      </c>
      <c r="D74" s="11">
        <f>IFERROR(__xludf.DUMMYFUNCTION("""COMPUTED_VALUE"""),142.0)</f>
        <v>142</v>
      </c>
      <c r="E74" s="11" t="str">
        <f>IFERROR(__xludf.DUMMYFUNCTION("""COMPUTED_VALUE"""),"SEDANG")</f>
        <v>SEDANG</v>
      </c>
      <c r="F74" s="11">
        <f>IFERROR(__xludf.DUMMYFUNCTION("""COMPUTED_VALUE"""),2.0)</f>
        <v>2</v>
      </c>
      <c r="G74" s="11">
        <f>IFERROR(__xludf.DUMMYFUNCTION("""COMPUTED_VALUE"""),9.0)</f>
        <v>9</v>
      </c>
      <c r="H74" s="11">
        <f>IFERROR(__xludf.DUMMYFUNCTION("""COMPUTED_VALUE"""),1.0)</f>
        <v>1</v>
      </c>
      <c r="I74" s="11">
        <v>1.0</v>
      </c>
      <c r="J74" s="11">
        <f>IFERROR(__xludf.DUMMYFUNCTION("""COMPUTED_VALUE"""),5.0)</f>
        <v>5</v>
      </c>
      <c r="K74" s="11" t="str">
        <f>IFERROR(__xludf.DUMMYFUNCTION("""COMPUTED_VALUE"""),"M 9026 UV")</f>
        <v>M 9026 UV</v>
      </c>
      <c r="L74" s="11" t="str">
        <f>IFERROR(__xludf.DUMMYFUNCTION("""COMPUTED_VALUE"""),"TLPG TJ PERAK")</f>
        <v>TLPG TJ PERAK</v>
      </c>
      <c r="M74" s="11">
        <f>IFERROR(__xludf.DUMMYFUNCTION("""COMPUTED_VALUE"""),9.0)</f>
        <v>9</v>
      </c>
      <c r="N74" s="11" t="str">
        <f>IFERROR(__xludf.DUMMYFUNCTION("""COMPUTED_VALUE"""),"PT MITRA MADURA DHARMA ABADI")</f>
        <v>PT MITRA MADURA DHARMA ABADI</v>
      </c>
      <c r="O74" s="11" t="str">
        <f>IFERROR(__xludf.DUMMYFUNCTION("""COMPUTED_VALUE"""),"")</f>
        <v/>
      </c>
      <c r="P74" s="20">
        <f>IFERROR(__xludf.DUMMYFUNCTION("""COMPUTED_VALUE"""),5.0)</f>
        <v>5</v>
      </c>
      <c r="Q74" s="20" t="str">
        <f>IFERROR(__xludf.DUMMYFUNCTION("""COMPUTED_VALUE"""),"M 9028 UV")</f>
        <v>M 9028 UV</v>
      </c>
      <c r="R74" s="20" t="str">
        <f>IFERROR(__xludf.DUMMYFUNCTION("""COMPUTED_VALUE"""),"TLPG TJ PERAK")</f>
        <v>TLPG TJ PERAK</v>
      </c>
      <c r="S74" s="20">
        <f>IFERROR(__xludf.DUMMYFUNCTION("""COMPUTED_VALUE"""),10.0)</f>
        <v>10</v>
      </c>
      <c r="T74" s="20" t="str">
        <f>IFERROR(__xludf.DUMMYFUNCTION("""COMPUTED_VALUE"""),"PT MITRA MADURA DHARMA ABADI")</f>
        <v>PT MITRA MADURA DHARMA ABADI</v>
      </c>
      <c r="U74" s="11" t="str">
        <f>IFERROR(__xludf.DUMMYFUNCTION("""COMPUTED_VALUE"""),"")</f>
        <v/>
      </c>
      <c r="V74" s="11">
        <f>IFERROR(__xludf.DUMMYFUNCTION("""COMPUTED_VALUE"""),5.0)</f>
        <v>5</v>
      </c>
      <c r="W74" s="11" t="str">
        <f>IFERROR(__xludf.DUMMYFUNCTION("""COMPUTED_VALUE"""),"M 9352 UV")</f>
        <v>M 9352 UV</v>
      </c>
      <c r="X74" s="11" t="str">
        <f>IFERROR(__xludf.DUMMYFUNCTION("""COMPUTED_VALUE"""),"TLPG TJ PERAK")</f>
        <v>TLPG TJ PERAK</v>
      </c>
      <c r="Y74" s="11">
        <f>IFERROR(__xludf.DUMMYFUNCTION("""COMPUTED_VALUE"""),11.0)</f>
        <v>11</v>
      </c>
      <c r="Z74" s="11" t="str">
        <f>IFERROR(__xludf.DUMMYFUNCTION("""COMPUTED_VALUE"""),"PT MITRA MADURA DHARMA ABADI")</f>
        <v>PT MITRA MADURA DHARMA ABADI</v>
      </c>
      <c r="AA74" s="11" t="str">
        <f>IFERROR(__xludf.DUMMYFUNCTION("""COMPUTED_VALUE"""),"")</f>
        <v/>
      </c>
      <c r="AB74" s="32">
        <f>IFERROR(__xludf.DUMMYFUNCTION("""COMPUTED_VALUE"""),5.0)</f>
        <v>5</v>
      </c>
      <c r="AC74" s="32" t="str">
        <f>IFERROR(__xludf.DUMMYFUNCTION("""COMPUTED_VALUE"""),"L 8892 UU")</f>
        <v>L 8892 UU</v>
      </c>
      <c r="AD74" s="32" t="str">
        <f>IFERROR(__xludf.DUMMYFUNCTION("""COMPUTED_VALUE"""),"TLPG TJ PERAK")</f>
        <v>TLPG TJ PERAK</v>
      </c>
      <c r="AE74" s="32">
        <f>IFERROR(__xludf.DUMMYFUNCTION("""COMPUTED_VALUE"""),12.0)</f>
        <v>12</v>
      </c>
      <c r="AF74" s="32" t="str">
        <f>IFERROR(__xludf.DUMMYFUNCTION("""COMPUTED_VALUE"""),"PT MUTUAL MAXEL")</f>
        <v>PT MUTUAL MAXEL</v>
      </c>
    </row>
    <row r="75">
      <c r="A75" s="9" t="str">
        <f>IFERROR(__xludf.DUMMYFUNCTION("""COMPUTED_VALUE"""),"N 9661 UG")</f>
        <v>N 9661 UG</v>
      </c>
      <c r="B75" s="9" t="str">
        <f>IFERROR(__xludf.DUMMYFUNCTION("""COMPUTED_VALUE"""),"TLPG MEM GRESIK")</f>
        <v>TLPG MEM GRESIK</v>
      </c>
      <c r="C75" s="9" t="str">
        <f>IFERROR(__xludf.DUMMYFUNCTION("""COMPUTED_VALUE"""),"PT SINAR WAHANA SURYA")</f>
        <v>PT SINAR WAHANA SURYA</v>
      </c>
      <c r="D75" s="11">
        <f>IFERROR(__xludf.DUMMYFUNCTION("""COMPUTED_VALUE"""),142.0)</f>
        <v>142</v>
      </c>
      <c r="E75" s="11" t="str">
        <f>IFERROR(__xludf.DUMMYFUNCTION("""COMPUTED_VALUE"""),"SEDANG")</f>
        <v>SEDANG</v>
      </c>
      <c r="F75" s="11">
        <f>IFERROR(__xludf.DUMMYFUNCTION("""COMPUTED_VALUE"""),2.0)</f>
        <v>2</v>
      </c>
      <c r="G75" s="11">
        <f>IFERROR(__xludf.DUMMYFUNCTION("""COMPUTED_VALUE"""),10.0)</f>
        <v>10</v>
      </c>
      <c r="H75" s="11">
        <f>IFERROR(__xludf.DUMMYFUNCTION("""COMPUTED_VALUE"""),2.0)</f>
        <v>2</v>
      </c>
      <c r="I75" s="11">
        <v>2.0</v>
      </c>
      <c r="J75" s="11">
        <f>IFERROR(__xludf.DUMMYFUNCTION("""COMPUTED_VALUE"""),6.0)</f>
        <v>6</v>
      </c>
      <c r="K75" s="11" t="str">
        <f>IFERROR(__xludf.DUMMYFUNCTION("""COMPUTED_VALUE"""),"N 9162 UV")</f>
        <v>N 9162 UV</v>
      </c>
      <c r="L75" s="11" t="str">
        <f>IFERROR(__xludf.DUMMYFUNCTION("""COMPUTED_VALUE"""),"TLPG TJ PERAK")</f>
        <v>TLPG TJ PERAK</v>
      </c>
      <c r="M75" s="11">
        <f>IFERROR(__xludf.DUMMYFUNCTION("""COMPUTED_VALUE"""),9.0)</f>
        <v>9</v>
      </c>
      <c r="N75" s="11" t="str">
        <f>IFERROR(__xludf.DUMMYFUNCTION("""COMPUTED_VALUE"""),"PT SINAR WAHANA SURYA")</f>
        <v>PT SINAR WAHANA SURYA</v>
      </c>
      <c r="O75" s="11" t="str">
        <f>IFERROR(__xludf.DUMMYFUNCTION("""COMPUTED_VALUE"""),"")</f>
        <v/>
      </c>
      <c r="P75" s="20">
        <f>IFERROR(__xludf.DUMMYFUNCTION("""COMPUTED_VALUE"""),6.0)</f>
        <v>6</v>
      </c>
      <c r="Q75" s="20" t="str">
        <f>IFERROR(__xludf.DUMMYFUNCTION("""COMPUTED_VALUE"""),"N 9425 UU")</f>
        <v>N 9425 UU</v>
      </c>
      <c r="R75" s="20" t="str">
        <f>IFERROR(__xludf.DUMMYFUNCTION("""COMPUTED_VALUE"""),"TLPG TJ PERAK")</f>
        <v>TLPG TJ PERAK</v>
      </c>
      <c r="S75" s="20">
        <f>IFERROR(__xludf.DUMMYFUNCTION("""COMPUTED_VALUE"""),10.0)</f>
        <v>10</v>
      </c>
      <c r="T75" s="20" t="str">
        <f>IFERROR(__xludf.DUMMYFUNCTION("""COMPUTED_VALUE"""),"PT SINAR WAHANA SURYA")</f>
        <v>PT SINAR WAHANA SURYA</v>
      </c>
      <c r="U75" s="11" t="str">
        <f>IFERROR(__xludf.DUMMYFUNCTION("""COMPUTED_VALUE"""),"")</f>
        <v/>
      </c>
      <c r="V75" s="11">
        <f>IFERROR(__xludf.DUMMYFUNCTION("""COMPUTED_VALUE"""),6.0)</f>
        <v>6</v>
      </c>
      <c r="W75" s="11" t="str">
        <f>IFERROR(__xludf.DUMMYFUNCTION("""COMPUTED_VALUE"""),"N 9262 UF")</f>
        <v>N 9262 UF</v>
      </c>
      <c r="X75" s="11" t="str">
        <f>IFERROR(__xludf.DUMMYFUNCTION("""COMPUTED_VALUE"""),"TLPG MEM GRESIK")</f>
        <v>TLPG MEM GRESIK</v>
      </c>
      <c r="Y75" s="11">
        <f>IFERROR(__xludf.DUMMYFUNCTION("""COMPUTED_VALUE"""),11.0)</f>
        <v>11</v>
      </c>
      <c r="Z75" s="11" t="str">
        <f>IFERROR(__xludf.DUMMYFUNCTION("""COMPUTED_VALUE"""),"PT SINAR WAHANA SURYA")</f>
        <v>PT SINAR WAHANA SURYA</v>
      </c>
      <c r="AA75" s="11" t="str">
        <f>IFERROR(__xludf.DUMMYFUNCTION("""COMPUTED_VALUE"""),"")</f>
        <v/>
      </c>
      <c r="AB75" s="32">
        <f>IFERROR(__xludf.DUMMYFUNCTION("""COMPUTED_VALUE"""),6.0)</f>
        <v>6</v>
      </c>
      <c r="AC75" s="32" t="str">
        <f>IFERROR(__xludf.DUMMYFUNCTION("""COMPUTED_VALUE"""),"N 9509 UG")</f>
        <v>N 9509 UG</v>
      </c>
      <c r="AD75" s="32" t="str">
        <f>IFERROR(__xludf.DUMMYFUNCTION("""COMPUTED_VALUE"""),"TLPG MEM GRESIK")</f>
        <v>TLPG MEM GRESIK</v>
      </c>
      <c r="AE75" s="32">
        <f>IFERROR(__xludf.DUMMYFUNCTION("""COMPUTED_VALUE"""),12.0)</f>
        <v>12</v>
      </c>
      <c r="AF75" s="32" t="str">
        <f>IFERROR(__xludf.DUMMYFUNCTION("""COMPUTED_VALUE"""),"PT SINAR WAHANA SURYA")</f>
        <v>PT SINAR WAHANA SURYA</v>
      </c>
    </row>
    <row r="76">
      <c r="A76" s="9" t="str">
        <f>IFERROR(__xludf.DUMMYFUNCTION("""COMPUTED_VALUE"""),"S 8560 UC")</f>
        <v>S 8560 UC</v>
      </c>
      <c r="B76" s="9" t="str">
        <f>IFERROR(__xludf.DUMMYFUNCTION("""COMPUTED_VALUE"""),"TLPG TJ PERAK")</f>
        <v>TLPG TJ PERAK</v>
      </c>
      <c r="C76" s="9" t="str">
        <f>IFERROR(__xludf.DUMMYFUNCTION("""COMPUTED_VALUE"""),"PT KURNIAWAN MEKAR AGUNG ABADI")</f>
        <v>PT KURNIAWAN MEKAR AGUNG ABADI</v>
      </c>
      <c r="D76" s="11">
        <f>IFERROR(__xludf.DUMMYFUNCTION("""COMPUTED_VALUE"""),140.5)</f>
        <v>140.5</v>
      </c>
      <c r="E76" s="11" t="str">
        <f>IFERROR(__xludf.DUMMYFUNCTION("""COMPUTED_VALUE"""),"SEDANG")</f>
        <v>SEDANG</v>
      </c>
      <c r="F76" s="11">
        <f>IFERROR(__xludf.DUMMYFUNCTION("""COMPUTED_VALUE"""),2.0)</f>
        <v>2</v>
      </c>
      <c r="G76" s="11">
        <f>IFERROR(__xludf.DUMMYFUNCTION("""COMPUTED_VALUE"""),11.0)</f>
        <v>11</v>
      </c>
      <c r="H76" s="11">
        <f>IFERROR(__xludf.DUMMYFUNCTION("""COMPUTED_VALUE"""),3.0)</f>
        <v>3</v>
      </c>
      <c r="I76" s="11">
        <v>3.0</v>
      </c>
      <c r="J76" s="11">
        <f>IFERROR(__xludf.DUMMYFUNCTION("""COMPUTED_VALUE"""),7.0)</f>
        <v>7</v>
      </c>
      <c r="K76" s="11" t="str">
        <f>IFERROR(__xludf.DUMMYFUNCTION("""COMPUTED_VALUE"""),"N 9286 UN")</f>
        <v>N 9286 UN</v>
      </c>
      <c r="L76" s="11" t="str">
        <f>IFERROR(__xludf.DUMMYFUNCTION("""COMPUTED_VALUE"""),"TLPG TJ PERAK")</f>
        <v>TLPG TJ PERAK</v>
      </c>
      <c r="M76" s="11">
        <f>IFERROR(__xludf.DUMMYFUNCTION("""COMPUTED_VALUE"""),9.0)</f>
        <v>9</v>
      </c>
      <c r="N76" s="11" t="str">
        <f>IFERROR(__xludf.DUMMYFUNCTION("""COMPUTED_VALUE"""),"PT HAKAMINDO PETROCHEM")</f>
        <v>PT HAKAMINDO PETROCHEM</v>
      </c>
      <c r="O76" s="11" t="str">
        <f>IFERROR(__xludf.DUMMYFUNCTION("""COMPUTED_VALUE"""),"")</f>
        <v/>
      </c>
      <c r="P76" s="20">
        <f>IFERROR(__xludf.DUMMYFUNCTION("""COMPUTED_VALUE"""),7.0)</f>
        <v>7</v>
      </c>
      <c r="Q76" s="20" t="str">
        <f>IFERROR(__xludf.DUMMYFUNCTION("""COMPUTED_VALUE"""),"P 8436 UA")</f>
        <v>P 8436 UA</v>
      </c>
      <c r="R76" s="20" t="str">
        <f>IFERROR(__xludf.DUMMYFUNCTION("""COMPUTED_VALUE"""),"TLPG TJ WANGI")</f>
        <v>TLPG TJ WANGI</v>
      </c>
      <c r="S76" s="20">
        <f>IFERROR(__xludf.DUMMYFUNCTION("""COMPUTED_VALUE"""),10.0)</f>
        <v>10</v>
      </c>
      <c r="T76" s="20" t="str">
        <f>IFERROR(__xludf.DUMMYFUNCTION("""COMPUTED_VALUE"""),"PT ARIA ENERGY PERSADA")</f>
        <v>PT ARIA ENERGY PERSADA</v>
      </c>
      <c r="U76" s="11" t="str">
        <f>IFERROR(__xludf.DUMMYFUNCTION("""COMPUTED_VALUE"""),"")</f>
        <v/>
      </c>
      <c r="V76" s="11">
        <f>IFERROR(__xludf.DUMMYFUNCTION("""COMPUTED_VALUE"""),7.0)</f>
        <v>7</v>
      </c>
      <c r="W76" s="11" t="str">
        <f>IFERROR(__xludf.DUMMYFUNCTION("""COMPUTED_VALUE"""),"AG 8016 UC")</f>
        <v>AG 8016 UC</v>
      </c>
      <c r="X76" s="11" t="str">
        <f>IFERROR(__xludf.DUMMYFUNCTION("""COMPUTED_VALUE"""),"TLPG TJ PERAK")</f>
        <v>TLPG TJ PERAK</v>
      </c>
      <c r="Y76" s="11">
        <f>IFERROR(__xludf.DUMMYFUNCTION("""COMPUTED_VALUE"""),11.0)</f>
        <v>11</v>
      </c>
      <c r="Z76" s="11" t="str">
        <f>IFERROR(__xludf.DUMMYFUNCTION("""COMPUTED_VALUE"""),"PT LIRBOYO INSAN GLOBAL")</f>
        <v>PT LIRBOYO INSAN GLOBAL</v>
      </c>
      <c r="AA76" s="11" t="str">
        <f>IFERROR(__xludf.DUMMYFUNCTION("""COMPUTED_VALUE"""),"")</f>
        <v/>
      </c>
      <c r="AB76" s="32">
        <f>IFERROR(__xludf.DUMMYFUNCTION("""COMPUTED_VALUE"""),7.0)</f>
        <v>7</v>
      </c>
      <c r="AC76" s="32" t="str">
        <f>IFERROR(__xludf.DUMMYFUNCTION("""COMPUTED_VALUE"""),"AG 8106 UC")</f>
        <v>AG 8106 UC</v>
      </c>
      <c r="AD76" s="32" t="str">
        <f>IFERROR(__xludf.DUMMYFUNCTION("""COMPUTED_VALUE"""),"TLPG TJ PERAK")</f>
        <v>TLPG TJ PERAK</v>
      </c>
      <c r="AE76" s="32">
        <f>IFERROR(__xludf.DUMMYFUNCTION("""COMPUTED_VALUE"""),12.0)</f>
        <v>12</v>
      </c>
      <c r="AF76" s="32" t="str">
        <f>IFERROR(__xludf.DUMMYFUNCTION("""COMPUTED_VALUE"""),"PT LIRBOYO INSAN GLOBAL")</f>
        <v>PT LIRBOYO INSAN GLOBAL</v>
      </c>
    </row>
    <row r="77">
      <c r="A77" s="9" t="str">
        <f>IFERROR(__xludf.DUMMYFUNCTION("""COMPUTED_VALUE"""),"AG 8126 UF")</f>
        <v>AG 8126 UF</v>
      </c>
      <c r="B77" s="9" t="str">
        <f>IFERROR(__xludf.DUMMYFUNCTION("""COMPUTED_VALUE"""),"TLPG TJ PERAK")</f>
        <v>TLPG TJ PERAK</v>
      </c>
      <c r="C77" s="9" t="str">
        <f>IFERROR(__xludf.DUMMYFUNCTION("""COMPUTED_VALUE"""),"PT NARA RIZKA MANUNGGAL")</f>
        <v>PT NARA RIZKA MANUNGGAL</v>
      </c>
      <c r="D77" s="11">
        <f>IFERROR(__xludf.DUMMYFUNCTION("""COMPUTED_VALUE"""),137.8)</f>
        <v>137.8</v>
      </c>
      <c r="E77" s="11" t="str">
        <f>IFERROR(__xludf.DUMMYFUNCTION("""COMPUTED_VALUE"""),"SEDANG")</f>
        <v>SEDANG</v>
      </c>
      <c r="F77" s="11">
        <f>IFERROR(__xludf.DUMMYFUNCTION("""COMPUTED_VALUE"""),2.0)</f>
        <v>2</v>
      </c>
      <c r="G77" s="11">
        <f>IFERROR(__xludf.DUMMYFUNCTION("""COMPUTED_VALUE"""),3.0)</f>
        <v>3</v>
      </c>
      <c r="H77" s="11">
        <f>IFERROR(__xludf.DUMMYFUNCTION("""COMPUTED_VALUE"""),4.0)</f>
        <v>4</v>
      </c>
      <c r="I77" s="11">
        <v>4.0</v>
      </c>
      <c r="J77" s="11">
        <f>IFERROR(__xludf.DUMMYFUNCTION("""COMPUTED_VALUE"""),8.0)</f>
        <v>8</v>
      </c>
      <c r="K77" s="11" t="str">
        <f>IFERROR(__xludf.DUMMYFUNCTION("""COMPUTED_VALUE"""),"AG 8086 UF")</f>
        <v>AG 8086 UF</v>
      </c>
      <c r="L77" s="11" t="str">
        <f>IFERROR(__xludf.DUMMYFUNCTION("""COMPUTED_VALUE"""),"TLPG TJ PERAK")</f>
        <v>TLPG TJ PERAK</v>
      </c>
      <c r="M77" s="11">
        <f>IFERROR(__xludf.DUMMYFUNCTION("""COMPUTED_VALUE"""),9.0)</f>
        <v>9</v>
      </c>
      <c r="N77" s="11" t="str">
        <f>IFERROR(__xludf.DUMMYFUNCTION("""COMPUTED_VALUE"""),"PT DIAN RAMA GAS")</f>
        <v>PT DIAN RAMA GAS</v>
      </c>
      <c r="O77" s="11" t="str">
        <f>IFERROR(__xludf.DUMMYFUNCTION("""COMPUTED_VALUE"""),"")</f>
        <v/>
      </c>
      <c r="P77" s="20">
        <f>IFERROR(__xludf.DUMMYFUNCTION("""COMPUTED_VALUE"""),8.0)</f>
        <v>8</v>
      </c>
      <c r="Q77" s="20" t="str">
        <f>IFERROR(__xludf.DUMMYFUNCTION("""COMPUTED_VALUE"""),"AG 8087 UF")</f>
        <v>AG 8087 UF</v>
      </c>
      <c r="R77" s="20" t="str">
        <f>IFERROR(__xludf.DUMMYFUNCTION("""COMPUTED_VALUE"""),"TLPG TJ PERAK")</f>
        <v>TLPG TJ PERAK</v>
      </c>
      <c r="S77" s="20">
        <f>IFERROR(__xludf.DUMMYFUNCTION("""COMPUTED_VALUE"""),10.0)</f>
        <v>10</v>
      </c>
      <c r="T77" s="20" t="str">
        <f>IFERROR(__xludf.DUMMYFUNCTION("""COMPUTED_VALUE"""),"PT DIAN RAMA GAS")</f>
        <v>PT DIAN RAMA GAS</v>
      </c>
      <c r="U77" s="11" t="str">
        <f>IFERROR(__xludf.DUMMYFUNCTION("""COMPUTED_VALUE"""),"")</f>
        <v/>
      </c>
      <c r="V77" s="11">
        <f>IFERROR(__xludf.DUMMYFUNCTION("""COMPUTED_VALUE"""),8.0)</f>
        <v>8</v>
      </c>
      <c r="W77" s="11" t="str">
        <f>IFERROR(__xludf.DUMMYFUNCTION("""COMPUTED_VALUE"""),"AG 8088 UF")</f>
        <v>AG 8088 UF</v>
      </c>
      <c r="X77" s="11" t="str">
        <f>IFERROR(__xludf.DUMMYFUNCTION("""COMPUTED_VALUE"""),"TLPG TJ PERAK")</f>
        <v>TLPG TJ PERAK</v>
      </c>
      <c r="Y77" s="11">
        <f>IFERROR(__xludf.DUMMYFUNCTION("""COMPUTED_VALUE"""),11.0)</f>
        <v>11</v>
      </c>
      <c r="Z77" s="11" t="str">
        <f>IFERROR(__xludf.DUMMYFUNCTION("""COMPUTED_VALUE"""),"PT DIAN RAMA GAS")</f>
        <v>PT DIAN RAMA GAS</v>
      </c>
      <c r="AA77" s="11" t="str">
        <f>IFERROR(__xludf.DUMMYFUNCTION("""COMPUTED_VALUE"""),"")</f>
        <v/>
      </c>
      <c r="AB77" s="32">
        <f>IFERROR(__xludf.DUMMYFUNCTION("""COMPUTED_VALUE"""),8.0)</f>
        <v>8</v>
      </c>
      <c r="AC77" s="32" t="str">
        <f>IFERROR(__xludf.DUMMYFUNCTION("""COMPUTED_VALUE"""),"L 8036 UUB")</f>
        <v>L 8036 UUB</v>
      </c>
      <c r="AD77" s="32" t="str">
        <f>IFERROR(__xludf.DUMMYFUNCTION("""COMPUTED_VALUE"""),"TLPG MEM GRESIK")</f>
        <v>TLPG MEM GRESIK</v>
      </c>
      <c r="AE77" s="32">
        <f>IFERROR(__xludf.DUMMYFUNCTION("""COMPUTED_VALUE"""),12.0)</f>
        <v>12</v>
      </c>
      <c r="AF77" s="32" t="str">
        <f>IFERROR(__xludf.DUMMYFUNCTION("""COMPUTED_VALUE"""),"PT KARYA USAHA LESTARI")</f>
        <v>PT KARYA USAHA LESTARI</v>
      </c>
    </row>
    <row r="78">
      <c r="A78" s="9" t="str">
        <f>IFERROR(__xludf.DUMMYFUNCTION("""COMPUTED_VALUE"""),"AG 8128 UF")</f>
        <v>AG 8128 UF</v>
      </c>
      <c r="B78" s="9" t="str">
        <f>IFERROR(__xludf.DUMMYFUNCTION("""COMPUTED_VALUE"""),"TLPG TJ PERAK")</f>
        <v>TLPG TJ PERAK</v>
      </c>
      <c r="C78" s="9" t="str">
        <f>IFERROR(__xludf.DUMMYFUNCTION("""COMPUTED_VALUE"""),"PT NARA RIZKA MANUNGGAL")</f>
        <v>PT NARA RIZKA MANUNGGAL</v>
      </c>
      <c r="D78" s="11">
        <f>IFERROR(__xludf.DUMMYFUNCTION("""COMPUTED_VALUE"""),137.8)</f>
        <v>137.8</v>
      </c>
      <c r="E78" s="11" t="str">
        <f>IFERROR(__xludf.DUMMYFUNCTION("""COMPUTED_VALUE"""),"SEDANG")</f>
        <v>SEDANG</v>
      </c>
      <c r="F78" s="11">
        <f>IFERROR(__xludf.DUMMYFUNCTION("""COMPUTED_VALUE"""),2.0)</f>
        <v>2</v>
      </c>
      <c r="G78" s="11">
        <f>IFERROR(__xludf.DUMMYFUNCTION("""COMPUTED_VALUE"""),3.0)</f>
        <v>3</v>
      </c>
      <c r="H78" s="11">
        <f>IFERROR(__xludf.DUMMYFUNCTION("""COMPUTED_VALUE"""),5.0)</f>
        <v>5</v>
      </c>
      <c r="I78" s="11">
        <v>5.0</v>
      </c>
      <c r="J78" s="11">
        <f>IFERROR(__xludf.DUMMYFUNCTION("""COMPUTED_VALUE"""),9.0)</f>
        <v>9</v>
      </c>
      <c r="K78" s="11" t="str">
        <f>IFERROR(__xludf.DUMMYFUNCTION("""COMPUTED_VALUE"""),"P 8312 UG")</f>
        <v>P 8312 UG</v>
      </c>
      <c r="L78" s="11" t="str">
        <f>IFERROR(__xludf.DUMMYFUNCTION("""COMPUTED_VALUE"""),"TLPG TJ WANGI")</f>
        <v>TLPG TJ WANGI</v>
      </c>
      <c r="M78" s="11">
        <f>IFERROR(__xludf.DUMMYFUNCTION("""COMPUTED_VALUE"""),9.0)</f>
        <v>9</v>
      </c>
      <c r="N78" s="11" t="str">
        <f>IFERROR(__xludf.DUMMYFUNCTION("""COMPUTED_VALUE"""),"PT MEGA HULU ENERGI")</f>
        <v>PT MEGA HULU ENERGI</v>
      </c>
      <c r="O78" s="11" t="str">
        <f>IFERROR(__xludf.DUMMYFUNCTION("""COMPUTED_VALUE"""),"")</f>
        <v/>
      </c>
      <c r="P78" s="20">
        <f>IFERROR(__xludf.DUMMYFUNCTION("""COMPUTED_VALUE"""),9.0)</f>
        <v>9</v>
      </c>
      <c r="Q78" s="20" t="str">
        <f>IFERROR(__xludf.DUMMYFUNCTION("""COMPUTED_VALUE"""),"AG 8225 UG")</f>
        <v>AG 8225 UG</v>
      </c>
      <c r="R78" s="20" t="str">
        <f>IFERROR(__xludf.DUMMYFUNCTION("""COMPUTED_VALUE"""),"TLPG TJ PERAK")</f>
        <v>TLPG TJ PERAK</v>
      </c>
      <c r="S78" s="20">
        <f>IFERROR(__xludf.DUMMYFUNCTION("""COMPUTED_VALUE"""),10.0)</f>
        <v>10</v>
      </c>
      <c r="T78" s="20" t="str">
        <f>IFERROR(__xludf.DUMMYFUNCTION("""COMPUTED_VALUE"""),"PT SINAR HASIL BUANA")</f>
        <v>PT SINAR HASIL BUANA</v>
      </c>
      <c r="U78" s="11" t="str">
        <f>IFERROR(__xludf.DUMMYFUNCTION("""COMPUTED_VALUE"""),"")</f>
        <v/>
      </c>
      <c r="V78" s="11">
        <f>IFERROR(__xludf.DUMMYFUNCTION("""COMPUTED_VALUE"""),9.0)</f>
        <v>9</v>
      </c>
      <c r="W78" s="11" t="str">
        <f>IFERROR(__xludf.DUMMYFUNCTION("""COMPUTED_VALUE"""),"AG 8374 UG")</f>
        <v>AG 8374 UG</v>
      </c>
      <c r="X78" s="11" t="str">
        <f>IFERROR(__xludf.DUMMYFUNCTION("""COMPUTED_VALUE"""),"TLPG TJ PERAK")</f>
        <v>TLPG TJ PERAK</v>
      </c>
      <c r="Y78" s="11">
        <f>IFERROR(__xludf.DUMMYFUNCTION("""COMPUTED_VALUE"""),11.0)</f>
        <v>11</v>
      </c>
      <c r="Z78" s="11" t="str">
        <f>IFERROR(__xludf.DUMMYFUNCTION("""COMPUTED_VALUE"""),"PT PANDU MANUNGGAL KARSA")</f>
        <v>PT PANDU MANUNGGAL KARSA</v>
      </c>
      <c r="AA78" s="11" t="str">
        <f>IFERROR(__xludf.DUMMYFUNCTION("""COMPUTED_VALUE"""),"")</f>
        <v/>
      </c>
      <c r="AB78" s="32">
        <f>IFERROR(__xludf.DUMMYFUNCTION("""COMPUTED_VALUE"""),9.0)</f>
        <v>9</v>
      </c>
      <c r="AC78" s="32" t="str">
        <f>IFERROR(__xludf.DUMMYFUNCTION("""COMPUTED_VALUE"""),"N 8777 UG")</f>
        <v>N 8777 UG</v>
      </c>
      <c r="AD78" s="32" t="str">
        <f>IFERROR(__xludf.DUMMYFUNCTION("""COMPUTED_VALUE"""),"TLPG TJ PERAK")</f>
        <v>TLPG TJ PERAK</v>
      </c>
      <c r="AE78" s="32">
        <f>IFERROR(__xludf.DUMMYFUNCTION("""COMPUTED_VALUE"""),12.0)</f>
        <v>12</v>
      </c>
      <c r="AF78" s="32" t="str">
        <f>IFERROR(__xludf.DUMMYFUNCTION("""COMPUTED_VALUE"""),"PT SOLUSINDO INNOVATIVE")</f>
        <v>PT SOLUSINDO INNOVATIVE</v>
      </c>
    </row>
    <row r="79">
      <c r="A79" s="9" t="str">
        <f>IFERROR(__xludf.DUMMYFUNCTION("""COMPUTED_VALUE"""),"AG 8129 UF")</f>
        <v>AG 8129 UF</v>
      </c>
      <c r="B79" s="9" t="str">
        <f>IFERROR(__xludf.DUMMYFUNCTION("""COMPUTED_VALUE"""),"TLPG TJ PERAK")</f>
        <v>TLPG TJ PERAK</v>
      </c>
      <c r="C79" s="9" t="str">
        <f>IFERROR(__xludf.DUMMYFUNCTION("""COMPUTED_VALUE"""),"PT NARA RIZKA MANUNGGAL")</f>
        <v>PT NARA RIZKA MANUNGGAL</v>
      </c>
      <c r="D79" s="11">
        <f>IFERROR(__xludf.DUMMYFUNCTION("""COMPUTED_VALUE"""),137.8)</f>
        <v>137.8</v>
      </c>
      <c r="E79" s="11" t="str">
        <f>IFERROR(__xludf.DUMMYFUNCTION("""COMPUTED_VALUE"""),"SEDANG")</f>
        <v>SEDANG</v>
      </c>
      <c r="F79" s="11">
        <f>IFERROR(__xludf.DUMMYFUNCTION("""COMPUTED_VALUE"""),2.0)</f>
        <v>2</v>
      </c>
      <c r="G79" s="11">
        <f>IFERROR(__xludf.DUMMYFUNCTION("""COMPUTED_VALUE"""),3.0)</f>
        <v>3</v>
      </c>
      <c r="H79" s="11">
        <f>IFERROR(__xludf.DUMMYFUNCTION("""COMPUTED_VALUE"""),6.0)</f>
        <v>6</v>
      </c>
      <c r="I79" s="11">
        <v>6.0</v>
      </c>
      <c r="J79" s="11">
        <f>IFERROR(__xludf.DUMMYFUNCTION("""COMPUTED_VALUE"""),10.0)</f>
        <v>10</v>
      </c>
      <c r="K79" s="11" t="str">
        <f>IFERROR(__xludf.DUMMYFUNCTION("""COMPUTED_VALUE"""),"DK 8029 UK")</f>
        <v>DK 8029 UK</v>
      </c>
      <c r="L79" s="11" t="str">
        <f>IFERROR(__xludf.DUMMYFUNCTION("""COMPUTED_VALUE"""),"TLPG MANGGIS")</f>
        <v>TLPG MANGGIS</v>
      </c>
      <c r="M79" s="11">
        <f>IFERROR(__xludf.DUMMYFUNCTION("""COMPUTED_VALUE"""),9.0)</f>
        <v>9</v>
      </c>
      <c r="N79" s="11" t="str">
        <f>IFERROR(__xludf.DUMMYFUNCTION("""COMPUTED_VALUE"""),"SPPBE-PT. Ayu Sari Pertiwi")</f>
        <v>SPPBE-PT. Ayu Sari Pertiwi</v>
      </c>
      <c r="O79" s="11" t="str">
        <f>IFERROR(__xludf.DUMMYFUNCTION("""COMPUTED_VALUE"""),"")</f>
        <v/>
      </c>
      <c r="P79" s="20">
        <f>IFERROR(__xludf.DUMMYFUNCTION("""COMPUTED_VALUE"""),10.0)</f>
        <v>10</v>
      </c>
      <c r="Q79" s="20" t="str">
        <f>IFERROR(__xludf.DUMMYFUNCTION("""COMPUTED_VALUE"""),"DK 8170 UB")</f>
        <v>DK 8170 UB</v>
      </c>
      <c r="R79" s="20" t="str">
        <f>IFERROR(__xludf.DUMMYFUNCTION("""COMPUTED_VALUE"""),"TLPG MANGGIS")</f>
        <v>TLPG MANGGIS</v>
      </c>
      <c r="S79" s="20">
        <f>IFERROR(__xludf.DUMMYFUNCTION("""COMPUTED_VALUE"""),10.0)</f>
        <v>10</v>
      </c>
      <c r="T79" s="20" t="str">
        <f>IFERROR(__xludf.DUMMYFUNCTION("""COMPUTED_VALUE"""),"PT. Ayu Sari Pertiwi")</f>
        <v>PT. Ayu Sari Pertiwi</v>
      </c>
      <c r="U79" s="11" t="str">
        <f>IFERROR(__xludf.DUMMYFUNCTION("""COMPUTED_VALUE"""),"")</f>
        <v/>
      </c>
      <c r="V79" s="11">
        <f>IFERROR(__xludf.DUMMYFUNCTION("""COMPUTED_VALUE"""),10.0)</f>
        <v>10</v>
      </c>
      <c r="W79" s="11" t="str">
        <f>IFERROR(__xludf.DUMMYFUNCTION("""COMPUTED_VALUE"""),"DK 8640 VM")</f>
        <v>DK 8640 VM</v>
      </c>
      <c r="X79" s="11" t="str">
        <f>IFERROR(__xludf.DUMMYFUNCTION("""COMPUTED_VALUE"""),"TLPG MANGGIS")</f>
        <v>TLPG MANGGIS</v>
      </c>
      <c r="Y79" s="11">
        <f>IFERROR(__xludf.DUMMYFUNCTION("""COMPUTED_VALUE"""),11.0)</f>
        <v>11</v>
      </c>
      <c r="Z79" s="11" t="str">
        <f>IFERROR(__xludf.DUMMYFUNCTION("""COMPUTED_VALUE"""),"PT. Ayu Sari Pertiwi")</f>
        <v>PT. Ayu Sari Pertiwi</v>
      </c>
      <c r="AA79" s="11" t="str">
        <f>IFERROR(__xludf.DUMMYFUNCTION("""COMPUTED_VALUE"""),"")</f>
        <v/>
      </c>
      <c r="AB79" s="32">
        <f>IFERROR(__xludf.DUMMYFUNCTION("""COMPUTED_VALUE"""),10.0)</f>
        <v>10</v>
      </c>
      <c r="AC79" s="32" t="str">
        <f>IFERROR(__xludf.DUMMYFUNCTION("""COMPUTED_VALUE"""),"L 8063 BL")</f>
        <v>L 8063 BL</v>
      </c>
      <c r="AD79" s="32" t="str">
        <f>IFERROR(__xludf.DUMMYFUNCTION("""COMPUTED_VALUE"""),"TLPG TJ PERAK")</f>
        <v>TLPG TJ PERAK</v>
      </c>
      <c r="AE79" s="32">
        <f>IFERROR(__xludf.DUMMYFUNCTION("""COMPUTED_VALUE"""),12.0)</f>
        <v>12</v>
      </c>
      <c r="AF79" s="32" t="str">
        <f>IFERROR(__xludf.DUMMYFUNCTION("""COMPUTED_VALUE"""),"PT DHARMA TECH INFOMEDIA")</f>
        <v>PT DHARMA TECH INFOMEDIA</v>
      </c>
    </row>
    <row r="80">
      <c r="A80" s="9" t="str">
        <f>IFERROR(__xludf.DUMMYFUNCTION("""COMPUTED_VALUE"""),"S 8848 UF")</f>
        <v>S 8848 UF</v>
      </c>
      <c r="B80" s="9" t="str">
        <f>IFERROR(__xludf.DUMMYFUNCTION("""COMPUTED_VALUE"""),"TLPG MEM GRESIK")</f>
        <v>TLPG MEM GRESIK</v>
      </c>
      <c r="C80" s="9" t="str">
        <f>IFERROR(__xludf.DUMMYFUNCTION("""COMPUTED_VALUE"""),"PT NAUMI ARUMAH ZOE")</f>
        <v>PT NAUMI ARUMAH ZOE</v>
      </c>
      <c r="D80" s="11">
        <f>IFERROR(__xludf.DUMMYFUNCTION("""COMPUTED_VALUE"""),132.2)</f>
        <v>132.2</v>
      </c>
      <c r="E80" s="11" t="str">
        <f>IFERROR(__xludf.DUMMYFUNCTION("""COMPUTED_VALUE"""),"SEDANG")</f>
        <v>SEDANG</v>
      </c>
      <c r="F80" s="11">
        <f>IFERROR(__xludf.DUMMYFUNCTION("""COMPUTED_VALUE"""),2.0)</f>
        <v>2</v>
      </c>
      <c r="G80" s="11">
        <f>IFERROR(__xludf.DUMMYFUNCTION("""COMPUTED_VALUE"""),11.0)</f>
        <v>11</v>
      </c>
      <c r="H80" s="11">
        <f>IFERROR(__xludf.DUMMYFUNCTION("""COMPUTED_VALUE"""),7.0)</f>
        <v>7</v>
      </c>
      <c r="I80" s="11">
        <v>7.0</v>
      </c>
      <c r="J80" s="11">
        <f>IFERROR(__xludf.DUMMYFUNCTION("""COMPUTED_VALUE"""),11.0)</f>
        <v>11</v>
      </c>
      <c r="K80" s="11" t="str">
        <f>IFERROR(__xludf.DUMMYFUNCTION("""COMPUTED_VALUE"""),"L 8083 CA")</f>
        <v>L 8083 CA</v>
      </c>
      <c r="L80" s="11" t="str">
        <f>IFERROR(__xludf.DUMMYFUNCTION("""COMPUTED_VALUE"""),"TLPG TJ WANGI")</f>
        <v>TLPG TJ WANGI</v>
      </c>
      <c r="M80" s="11">
        <f>IFERROR(__xludf.DUMMYFUNCTION("""COMPUTED_VALUE"""),9.0)</f>
        <v>9</v>
      </c>
      <c r="N80" s="11" t="str">
        <f>IFERROR(__xludf.DUMMYFUNCTION("""COMPUTED_VALUE"""),"PT KARYA GEMILANG GAS SEJAHTERA")</f>
        <v>PT KARYA GEMILANG GAS SEJAHTERA</v>
      </c>
      <c r="O80" s="11" t="str">
        <f>IFERROR(__xludf.DUMMYFUNCTION("""COMPUTED_VALUE"""),"")</f>
        <v/>
      </c>
      <c r="P80" s="20">
        <f>IFERROR(__xludf.DUMMYFUNCTION("""COMPUTED_VALUE"""),11.0)</f>
        <v>11</v>
      </c>
      <c r="Q80" s="20" t="str">
        <f>IFERROR(__xludf.DUMMYFUNCTION("""COMPUTED_VALUE"""),"DR 8105 LJ")</f>
        <v>DR 8105 LJ</v>
      </c>
      <c r="R80" s="20" t="str">
        <f>IFERROR(__xludf.DUMMYFUNCTION("""COMPUTED_VALUE"""),"TLPG LOMBOK")</f>
        <v>TLPG LOMBOK</v>
      </c>
      <c r="S80" s="20">
        <f>IFERROR(__xludf.DUMMYFUNCTION("""COMPUTED_VALUE"""),10.0)</f>
        <v>10</v>
      </c>
      <c r="T80" s="20" t="str">
        <f>IFERROR(__xludf.DUMMYFUNCTION("""COMPUTED_VALUE"""),"SPPBE-PT. Anugrah Narwastu Raya")</f>
        <v>SPPBE-PT. Anugrah Narwastu Raya</v>
      </c>
      <c r="U80" s="11" t="str">
        <f>IFERROR(__xludf.DUMMYFUNCTION("""COMPUTED_VALUE"""),"")</f>
        <v/>
      </c>
      <c r="V80" s="11">
        <f>IFERROR(__xludf.DUMMYFUNCTION("""COMPUTED_VALUE"""),11.0)</f>
        <v>11</v>
      </c>
      <c r="W80" s="11" t="str">
        <f>IFERROR(__xludf.DUMMYFUNCTION("""COMPUTED_VALUE"""),"DR 8792 KC")</f>
        <v>DR 8792 KC</v>
      </c>
      <c r="X80" s="11" t="str">
        <f>IFERROR(__xludf.DUMMYFUNCTION("""COMPUTED_VALUE"""),"TLPG LOMBOK")</f>
        <v>TLPG LOMBOK</v>
      </c>
      <c r="Y80" s="11">
        <f>IFERROR(__xludf.DUMMYFUNCTION("""COMPUTED_VALUE"""),11.0)</f>
        <v>11</v>
      </c>
      <c r="Z80" s="11" t="str">
        <f>IFERROR(__xludf.DUMMYFUNCTION("""COMPUTED_VALUE"""),"SPPBE-PT. Anugrah Narwastu Raya")</f>
        <v>SPPBE-PT. Anugrah Narwastu Raya</v>
      </c>
      <c r="AA80" s="11" t="str">
        <f>IFERROR(__xludf.DUMMYFUNCTION("""COMPUTED_VALUE"""),"")</f>
        <v/>
      </c>
      <c r="AB80" s="32">
        <f>IFERROR(__xludf.DUMMYFUNCTION("""COMPUTED_VALUE"""),11.0)</f>
        <v>11</v>
      </c>
      <c r="AC80" s="32" t="str">
        <f>IFERROR(__xludf.DUMMYFUNCTION("""COMPUTED_VALUE"""),"S 8316 AI")</f>
        <v>S 8316 AI</v>
      </c>
      <c r="AD80" s="32" t="str">
        <f>IFERROR(__xludf.DUMMYFUNCTION("""COMPUTED_VALUE"""),"TLPG TJ PERAK")</f>
        <v>TLPG TJ PERAK</v>
      </c>
      <c r="AE80" s="32">
        <f>IFERROR(__xludf.DUMMYFUNCTION("""COMPUTED_VALUE"""),12.0)</f>
        <v>12</v>
      </c>
      <c r="AF80" s="32" t="str">
        <f>IFERROR(__xludf.DUMMYFUNCTION("""COMPUTED_VALUE"""),"PT SWARNA BINA UTAMA")</f>
        <v>PT SWARNA BINA UTAMA</v>
      </c>
    </row>
    <row r="81">
      <c r="A81" s="9" t="str">
        <f>IFERROR(__xludf.DUMMYFUNCTION("""COMPUTED_VALUE"""),"S 8940 UF")</f>
        <v>S 8940 UF</v>
      </c>
      <c r="B81" s="9" t="str">
        <f>IFERROR(__xludf.DUMMYFUNCTION("""COMPUTED_VALUE"""),"TLPG MEM GRESIK")</f>
        <v>TLPG MEM GRESIK</v>
      </c>
      <c r="C81" s="9" t="str">
        <f>IFERROR(__xludf.DUMMYFUNCTION("""COMPUTED_VALUE"""),"PT NAUMI ARUMAH ZOE")</f>
        <v>PT NAUMI ARUMAH ZOE</v>
      </c>
      <c r="D81" s="11">
        <f>IFERROR(__xludf.DUMMYFUNCTION("""COMPUTED_VALUE"""),132.2)</f>
        <v>132.2</v>
      </c>
      <c r="E81" s="11" t="str">
        <f>IFERROR(__xludf.DUMMYFUNCTION("""COMPUTED_VALUE"""),"SEDANG")</f>
        <v>SEDANG</v>
      </c>
      <c r="F81" s="11">
        <f>IFERROR(__xludf.DUMMYFUNCTION("""COMPUTED_VALUE"""),2.0)</f>
        <v>2</v>
      </c>
      <c r="G81" s="11">
        <f>IFERROR(__xludf.DUMMYFUNCTION("""COMPUTED_VALUE"""),12.0)</f>
        <v>12</v>
      </c>
      <c r="H81" s="11">
        <f>IFERROR(__xludf.DUMMYFUNCTION("""COMPUTED_VALUE"""),8.0)</f>
        <v>8</v>
      </c>
      <c r="I81" s="11">
        <v>8.0</v>
      </c>
      <c r="J81" s="11">
        <f>IFERROR(__xludf.DUMMYFUNCTION("""COMPUTED_VALUE"""),12.0)</f>
        <v>12</v>
      </c>
      <c r="K81" s="11" t="str">
        <f>IFERROR(__xludf.DUMMYFUNCTION("""COMPUTED_VALUE"""),"S 8052 UZ")</f>
        <v>S 8052 UZ</v>
      </c>
      <c r="L81" s="11" t="str">
        <f>IFERROR(__xludf.DUMMYFUNCTION("""COMPUTED_VALUE"""),"TLPG TJ PERAK")</f>
        <v>TLPG TJ PERAK</v>
      </c>
      <c r="M81" s="11">
        <f>IFERROR(__xludf.DUMMYFUNCTION("""COMPUTED_VALUE"""),9.0)</f>
        <v>9</v>
      </c>
      <c r="N81" s="11" t="str">
        <f>IFERROR(__xludf.DUMMYFUNCTION("""COMPUTED_VALUE"""),"PT SUMBER BINA USAHA MANDIRI")</f>
        <v>PT SUMBER BINA USAHA MANDIRI</v>
      </c>
      <c r="O81" s="11" t="str">
        <f>IFERROR(__xludf.DUMMYFUNCTION("""COMPUTED_VALUE"""),"")</f>
        <v/>
      </c>
      <c r="P81" s="20">
        <f>IFERROR(__xludf.DUMMYFUNCTION("""COMPUTED_VALUE"""),12.0)</f>
        <v>12</v>
      </c>
      <c r="Q81" s="20" t="str">
        <f>IFERROR(__xludf.DUMMYFUNCTION("""COMPUTED_VALUE"""),"S 8141 UZ")</f>
        <v>S 8141 UZ</v>
      </c>
      <c r="R81" s="20" t="str">
        <f>IFERROR(__xludf.DUMMYFUNCTION("""COMPUTED_VALUE"""),"TLPG TJ PERAK")</f>
        <v>TLPG TJ PERAK</v>
      </c>
      <c r="S81" s="20">
        <f>IFERROR(__xludf.DUMMYFUNCTION("""COMPUTED_VALUE"""),10.0)</f>
        <v>10</v>
      </c>
      <c r="T81" s="20" t="str">
        <f>IFERROR(__xludf.DUMMYFUNCTION("""COMPUTED_VALUE"""),"PT SUMBER BINA USAHA MANDIRI")</f>
        <v>PT SUMBER BINA USAHA MANDIRI</v>
      </c>
      <c r="U81" s="11" t="str">
        <f>IFERROR(__xludf.DUMMYFUNCTION("""COMPUTED_VALUE"""),"")</f>
        <v/>
      </c>
      <c r="V81" s="11">
        <f>IFERROR(__xludf.DUMMYFUNCTION("""COMPUTED_VALUE"""),12.0)</f>
        <v>12</v>
      </c>
      <c r="W81" s="11" t="str">
        <f>IFERROR(__xludf.DUMMYFUNCTION("""COMPUTED_VALUE"""),"L 9161 UB")</f>
        <v>L 9161 UB</v>
      </c>
      <c r="X81" s="11" t="str">
        <f>IFERROR(__xludf.DUMMYFUNCTION("""COMPUTED_VALUE"""),"TLPG TJ PERAK")</f>
        <v>TLPG TJ PERAK</v>
      </c>
      <c r="Y81" s="11">
        <f>IFERROR(__xludf.DUMMYFUNCTION("""COMPUTED_VALUE"""),11.0)</f>
        <v>11</v>
      </c>
      <c r="Z81" s="11" t="str">
        <f>IFERROR(__xludf.DUMMYFUNCTION("""COMPUTED_VALUE"""),"PT GEHA INTI CITRA")</f>
        <v>PT GEHA INTI CITRA</v>
      </c>
      <c r="AA81" s="11" t="str">
        <f>IFERROR(__xludf.DUMMYFUNCTION("""COMPUTED_VALUE"""),"")</f>
        <v/>
      </c>
      <c r="AB81" s="32">
        <f>IFERROR(__xludf.DUMMYFUNCTION("""COMPUTED_VALUE"""),12.0)</f>
        <v>12</v>
      </c>
      <c r="AC81" s="32" t="str">
        <f>IFERROR(__xludf.DUMMYFUNCTION("""COMPUTED_VALUE"""),"L 9290 UQ")</f>
        <v>L 9290 UQ</v>
      </c>
      <c r="AD81" s="32" t="str">
        <f>IFERROR(__xludf.DUMMYFUNCTION("""COMPUTED_VALUE"""),"TLPG TJ PERAK")</f>
        <v>TLPG TJ PERAK</v>
      </c>
      <c r="AE81" s="32">
        <f>IFERROR(__xludf.DUMMYFUNCTION("""COMPUTED_VALUE"""),12.0)</f>
        <v>12</v>
      </c>
      <c r="AF81" s="32" t="str">
        <f>IFERROR(__xludf.DUMMYFUNCTION("""COMPUTED_VALUE"""),"PT GEHA INTI CITRA")</f>
        <v>PT GEHA INTI CITRA</v>
      </c>
    </row>
    <row r="82">
      <c r="A82" s="9" t="str">
        <f>IFERROR(__xludf.DUMMYFUNCTION("""COMPUTED_VALUE"""),"N 9286 UN")</f>
        <v>N 9286 UN</v>
      </c>
      <c r="B82" s="9" t="str">
        <f>IFERROR(__xludf.DUMMYFUNCTION("""COMPUTED_VALUE"""),"TLPG TJ PERAK")</f>
        <v>TLPG TJ PERAK</v>
      </c>
      <c r="C82" s="9" t="str">
        <f>IFERROR(__xludf.DUMMYFUNCTION("""COMPUTED_VALUE"""),"PT HAKAMINDO PETROCHEM")</f>
        <v>PT HAKAMINDO PETROCHEM</v>
      </c>
      <c r="D82" s="11">
        <f>IFERROR(__xludf.DUMMYFUNCTION("""COMPUTED_VALUE"""),131.7)</f>
        <v>131.7</v>
      </c>
      <c r="E82" s="11" t="str">
        <f>IFERROR(__xludf.DUMMYFUNCTION("""COMPUTED_VALUE"""),"SEDANG")</f>
        <v>SEDANG</v>
      </c>
      <c r="F82" s="11">
        <f>IFERROR(__xludf.DUMMYFUNCTION("""COMPUTED_VALUE"""),2.0)</f>
        <v>2</v>
      </c>
      <c r="G82" s="11">
        <f>IFERROR(__xludf.DUMMYFUNCTION("""COMPUTED_VALUE"""),9.0)</f>
        <v>9</v>
      </c>
      <c r="H82" s="11">
        <f>IFERROR(__xludf.DUMMYFUNCTION("""COMPUTED_VALUE"""),9.0)</f>
        <v>9</v>
      </c>
      <c r="I82" s="11">
        <v>9.0</v>
      </c>
      <c r="J82" s="11">
        <f>IFERROR(__xludf.DUMMYFUNCTION("""COMPUTED_VALUE"""),13.0)</f>
        <v>13</v>
      </c>
      <c r="K82" s="11" t="str">
        <f>IFERROR(__xludf.DUMMYFUNCTION("""COMPUTED_VALUE"""),"S 9343 UZ")</f>
        <v>S 9343 UZ</v>
      </c>
      <c r="L82" s="11" t="str">
        <f>IFERROR(__xludf.DUMMYFUNCTION("""COMPUTED_VALUE"""),"TLPG TJ PERAK")</f>
        <v>TLPG TJ PERAK</v>
      </c>
      <c r="M82" s="11">
        <f>IFERROR(__xludf.DUMMYFUNCTION("""COMPUTED_VALUE"""),9.0)</f>
        <v>9</v>
      </c>
      <c r="N82" s="11" t="str">
        <f>IFERROR(__xludf.DUMMYFUNCTION("""COMPUTED_VALUE"""),"PT DIVA GAS")</f>
        <v>PT DIVA GAS</v>
      </c>
      <c r="O82" s="11" t="str">
        <f>IFERROR(__xludf.DUMMYFUNCTION("""COMPUTED_VALUE"""),"")</f>
        <v/>
      </c>
      <c r="P82" s="20">
        <f>IFERROR(__xludf.DUMMYFUNCTION("""COMPUTED_VALUE"""),13.0)</f>
        <v>13</v>
      </c>
      <c r="Q82" s="20" t="str">
        <f>IFERROR(__xludf.DUMMYFUNCTION("""COMPUTED_VALUE"""),"S 8061 UC")</f>
        <v>S 8061 UC</v>
      </c>
      <c r="R82" s="20" t="str">
        <f>IFERROR(__xludf.DUMMYFUNCTION("""COMPUTED_VALUE"""),"TLPG TJ PERAK")</f>
        <v>TLPG TJ PERAK</v>
      </c>
      <c r="S82" s="20">
        <f>IFERROR(__xludf.DUMMYFUNCTION("""COMPUTED_VALUE"""),10.0)</f>
        <v>10</v>
      </c>
      <c r="T82" s="20" t="str">
        <f>IFERROR(__xludf.DUMMYFUNCTION("""COMPUTED_VALUE"""),"PT LA TUNSA")</f>
        <v>PT LA TUNSA</v>
      </c>
      <c r="U82" s="11" t="str">
        <f>IFERROR(__xludf.DUMMYFUNCTION("""COMPUTED_VALUE"""),"")</f>
        <v/>
      </c>
      <c r="V82" s="11">
        <f>IFERROR(__xludf.DUMMYFUNCTION("""COMPUTED_VALUE"""),13.0)</f>
        <v>13</v>
      </c>
      <c r="W82" s="11" t="str">
        <f>IFERROR(__xludf.DUMMYFUNCTION("""COMPUTED_VALUE"""),"S 8752 UC")</f>
        <v>S 8752 UC</v>
      </c>
      <c r="X82" s="11" t="str">
        <f>IFERROR(__xludf.DUMMYFUNCTION("""COMPUTED_VALUE"""),"TLPG TJ PERAK")</f>
        <v>TLPG TJ PERAK</v>
      </c>
      <c r="Y82" s="11">
        <f>IFERROR(__xludf.DUMMYFUNCTION("""COMPUTED_VALUE"""),11.0)</f>
        <v>11</v>
      </c>
      <c r="Z82" s="11" t="str">
        <f>IFERROR(__xludf.DUMMYFUNCTION("""COMPUTED_VALUE"""),"PT LA TUNSA")</f>
        <v>PT LA TUNSA</v>
      </c>
      <c r="AA82" s="11" t="str">
        <f>IFERROR(__xludf.DUMMYFUNCTION("""COMPUTED_VALUE"""),"")</f>
        <v/>
      </c>
      <c r="AB82" s="32">
        <f>IFERROR(__xludf.DUMMYFUNCTION("""COMPUTED_VALUE"""),13.0)</f>
        <v>13</v>
      </c>
      <c r="AC82" s="32" t="str">
        <f>IFERROR(__xludf.DUMMYFUNCTION("""COMPUTED_VALUE"""),"N 8582 UE")</f>
        <v>N 8582 UE</v>
      </c>
      <c r="AD82" s="32" t="str">
        <f>IFERROR(__xludf.DUMMYFUNCTION("""COMPUTED_VALUE"""),"TLPG TJ PERAK")</f>
        <v>TLPG TJ PERAK</v>
      </c>
      <c r="AE82" s="32">
        <f>IFERROR(__xludf.DUMMYFUNCTION("""COMPUTED_VALUE"""),12.0)</f>
        <v>12</v>
      </c>
      <c r="AF82" s="32" t="str">
        <f>IFERROR(__xludf.DUMMYFUNCTION("""COMPUTED_VALUE"""),"PT TRIEN GASMIKU")</f>
        <v>PT TRIEN GASMIKU</v>
      </c>
    </row>
    <row r="83">
      <c r="A83" s="9" t="str">
        <f>IFERROR(__xludf.DUMMYFUNCTION("""COMPUTED_VALUE"""),"P 8436 UA")</f>
        <v>P 8436 UA</v>
      </c>
      <c r="B83" s="9" t="str">
        <f>IFERROR(__xludf.DUMMYFUNCTION("""COMPUTED_VALUE"""),"TLPG TJ WANGI")</f>
        <v>TLPG TJ WANGI</v>
      </c>
      <c r="C83" s="9" t="str">
        <f>IFERROR(__xludf.DUMMYFUNCTION("""COMPUTED_VALUE"""),"PT ARIA ENERGY PERSADA")</f>
        <v>PT ARIA ENERGY PERSADA</v>
      </c>
      <c r="D83" s="11">
        <f>IFERROR(__xludf.DUMMYFUNCTION("""COMPUTED_VALUE"""),130.1)</f>
        <v>130.1</v>
      </c>
      <c r="E83" s="11" t="str">
        <f>IFERROR(__xludf.DUMMYFUNCTION("""COMPUTED_VALUE"""),"SEDANG")</f>
        <v>SEDANG</v>
      </c>
      <c r="F83" s="11">
        <f>IFERROR(__xludf.DUMMYFUNCTION("""COMPUTED_VALUE"""),2.0)</f>
        <v>2</v>
      </c>
      <c r="G83" s="11">
        <f>IFERROR(__xludf.DUMMYFUNCTION("""COMPUTED_VALUE"""),9.0)</f>
        <v>9</v>
      </c>
      <c r="H83" s="11">
        <f>IFERROR(__xludf.DUMMYFUNCTION("""COMPUTED_VALUE"""),10.0)</f>
        <v>10</v>
      </c>
      <c r="I83" s="11">
        <v>10.0</v>
      </c>
      <c r="J83" s="11">
        <f>IFERROR(__xludf.DUMMYFUNCTION("""COMPUTED_VALUE"""),14.0)</f>
        <v>14</v>
      </c>
      <c r="K83" s="11" t="str">
        <f>IFERROR(__xludf.DUMMYFUNCTION("""COMPUTED_VALUE"""),"N 8674 UV")</f>
        <v>N 8674 UV</v>
      </c>
      <c r="L83" s="11" t="str">
        <f>IFERROR(__xludf.DUMMYFUNCTION("""COMPUTED_VALUE"""),"TLPG TJ PERAK")</f>
        <v>TLPG TJ PERAK</v>
      </c>
      <c r="M83" s="11">
        <f>IFERROR(__xludf.DUMMYFUNCTION("""COMPUTED_VALUE"""),9.0)</f>
        <v>9</v>
      </c>
      <c r="N83" s="11" t="str">
        <f>IFERROR(__xludf.DUMMYFUNCTION("""COMPUTED_VALUE"""),"PT BUANATAMA CAHAYA LESTARI")</f>
        <v>PT BUANATAMA CAHAYA LESTARI</v>
      </c>
      <c r="O83" s="11" t="str">
        <f>IFERROR(__xludf.DUMMYFUNCTION("""COMPUTED_VALUE"""),"")</f>
        <v/>
      </c>
      <c r="P83" s="20">
        <f>IFERROR(__xludf.DUMMYFUNCTION("""COMPUTED_VALUE"""),14.0)</f>
        <v>14</v>
      </c>
      <c r="Q83" s="20" t="str">
        <f>IFERROR(__xludf.DUMMYFUNCTION("""COMPUTED_VALUE"""),"S 8319 UZ")</f>
        <v>S 8319 UZ</v>
      </c>
      <c r="R83" s="20" t="str">
        <f>IFERROR(__xludf.DUMMYFUNCTION("""COMPUTED_VALUE"""),"TLPG TJ PERAK")</f>
        <v>TLPG TJ PERAK</v>
      </c>
      <c r="S83" s="20">
        <f>IFERROR(__xludf.DUMMYFUNCTION("""COMPUTED_VALUE"""),10.0)</f>
        <v>10</v>
      </c>
      <c r="T83" s="20" t="str">
        <f>IFERROR(__xludf.DUMMYFUNCTION("""COMPUTED_VALUE"""),"PT TRIJAYA ADYMIX MANDIRI")</f>
        <v>PT TRIJAYA ADYMIX MANDIRI</v>
      </c>
      <c r="U83" s="11" t="str">
        <f>IFERROR(__xludf.DUMMYFUNCTION("""COMPUTED_VALUE"""),"")</f>
        <v/>
      </c>
      <c r="V83" s="11">
        <f>IFERROR(__xludf.DUMMYFUNCTION("""COMPUTED_VALUE"""),14.0)</f>
        <v>14</v>
      </c>
      <c r="W83" s="11" t="str">
        <f>IFERROR(__xludf.DUMMYFUNCTION("""COMPUTED_VALUE"""),"N 8079 US")</f>
        <v>N 8079 US</v>
      </c>
      <c r="X83" s="11" t="str">
        <f>IFERROR(__xludf.DUMMYFUNCTION("""COMPUTED_VALUE"""),"TLPG TJ PERAK")</f>
        <v>TLPG TJ PERAK</v>
      </c>
      <c r="Y83" s="11">
        <f>IFERROR(__xludf.DUMMYFUNCTION("""COMPUTED_VALUE"""),11.0)</f>
        <v>11</v>
      </c>
      <c r="Z83" s="11" t="str">
        <f>IFERROR(__xludf.DUMMYFUNCTION("""COMPUTED_VALUE"""),"PT ANUGERAH SUMBER BERKAT")</f>
        <v>PT ANUGERAH SUMBER BERKAT</v>
      </c>
      <c r="AA83" s="11" t="str">
        <f>IFERROR(__xludf.DUMMYFUNCTION("""COMPUTED_VALUE"""),"")</f>
        <v/>
      </c>
      <c r="AB83" s="32">
        <f>IFERROR(__xludf.DUMMYFUNCTION("""COMPUTED_VALUE"""),14.0)</f>
        <v>14</v>
      </c>
      <c r="AC83" s="32" t="str">
        <f>IFERROR(__xludf.DUMMYFUNCTION("""COMPUTED_VALUE"""),"N 8799 UG")</f>
        <v>N 8799 UG</v>
      </c>
      <c r="AD83" s="32" t="str">
        <f>IFERROR(__xludf.DUMMYFUNCTION("""COMPUTED_VALUE"""),"TLPG TJ PERAK")</f>
        <v>TLPG TJ PERAK</v>
      </c>
      <c r="AE83" s="32">
        <f>IFERROR(__xludf.DUMMYFUNCTION("""COMPUTED_VALUE"""),12.0)</f>
        <v>12</v>
      </c>
      <c r="AF83" s="32" t="str">
        <f>IFERROR(__xludf.DUMMYFUNCTION("""COMPUTED_VALUE"""),"PT ANUGERAH SUMBER BERKAT")</f>
        <v>PT ANUGERAH SUMBER BERKAT</v>
      </c>
    </row>
    <row r="84">
      <c r="A84" s="9" t="str">
        <f>IFERROR(__xludf.DUMMYFUNCTION("""COMPUTED_VALUE"""),"AG 8016 UC")</f>
        <v>AG 8016 UC</v>
      </c>
      <c r="B84" s="9" t="str">
        <f>IFERROR(__xludf.DUMMYFUNCTION("""COMPUTED_VALUE"""),"TLPG TJ PERAK")</f>
        <v>TLPG TJ PERAK</v>
      </c>
      <c r="C84" s="9" t="str">
        <f>IFERROR(__xludf.DUMMYFUNCTION("""COMPUTED_VALUE"""),"PT LIRBOYO INSAN GLOBAL")</f>
        <v>PT LIRBOYO INSAN GLOBAL</v>
      </c>
      <c r="D84" s="11">
        <f>IFERROR(__xludf.DUMMYFUNCTION("""COMPUTED_VALUE"""),129.7)</f>
        <v>129.7</v>
      </c>
      <c r="E84" s="11" t="str">
        <f>IFERROR(__xludf.DUMMYFUNCTION("""COMPUTED_VALUE"""),"SEDANG")</f>
        <v>SEDANG</v>
      </c>
      <c r="F84" s="11">
        <f>IFERROR(__xludf.DUMMYFUNCTION("""COMPUTED_VALUE"""),2.0)</f>
        <v>2</v>
      </c>
      <c r="G84" s="11">
        <f>IFERROR(__xludf.DUMMYFUNCTION("""COMPUTED_VALUE"""),2.0)</f>
        <v>2</v>
      </c>
      <c r="H84" s="11">
        <f>IFERROR(__xludf.DUMMYFUNCTION("""COMPUTED_VALUE"""),11.0)</f>
        <v>11</v>
      </c>
      <c r="I84" s="11">
        <v>11.0</v>
      </c>
      <c r="J84" s="11">
        <f>IFERROR(__xludf.DUMMYFUNCTION("""COMPUTED_VALUE"""),15.0)</f>
        <v>15</v>
      </c>
      <c r="K84" s="11" t="str">
        <f>IFERROR(__xludf.DUMMYFUNCTION("""COMPUTED_VALUE"""),"S 9973 UQ")</f>
        <v>S 9973 UQ</v>
      </c>
      <c r="L84" s="11" t="str">
        <f>IFERROR(__xludf.DUMMYFUNCTION("""COMPUTED_VALUE"""),"TLPG TJ PERAK")</f>
        <v>TLPG TJ PERAK</v>
      </c>
      <c r="M84" s="11">
        <f>IFERROR(__xludf.DUMMYFUNCTION("""COMPUTED_VALUE"""),9.0)</f>
        <v>9</v>
      </c>
      <c r="N84" s="11" t="str">
        <f>IFERROR(__xludf.DUMMYFUNCTION("""COMPUTED_VALUE"""),"PT PATERMAN PETRONIAGA")</f>
        <v>PT PATERMAN PETRONIAGA</v>
      </c>
      <c r="O84" s="11" t="str">
        <f>IFERROR(__xludf.DUMMYFUNCTION("""COMPUTED_VALUE"""),"")</f>
        <v/>
      </c>
      <c r="P84" s="20">
        <f>IFERROR(__xludf.DUMMYFUNCTION("""COMPUTED_VALUE"""),15.0)</f>
        <v>15</v>
      </c>
      <c r="Q84" s="20" t="str">
        <f>IFERROR(__xludf.DUMMYFUNCTION("""COMPUTED_VALUE"""),"N 9478 UG")</f>
        <v>N 9478 UG</v>
      </c>
      <c r="R84" s="20" t="str">
        <f>IFERROR(__xludf.DUMMYFUNCTION("""COMPUTED_VALUE"""),"TLPG TJ PERAK")</f>
        <v>TLPG TJ PERAK</v>
      </c>
      <c r="S84" s="20">
        <f>IFERROR(__xludf.DUMMYFUNCTION("""COMPUTED_VALUE"""),10.0)</f>
        <v>10</v>
      </c>
      <c r="T84" s="20" t="str">
        <f>IFERROR(__xludf.DUMMYFUNCTION("""COMPUTED_VALUE"""),"PT BINA ANUGERAH INTI KIMIA")</f>
        <v>PT BINA ANUGERAH INTI KIMIA</v>
      </c>
      <c r="U84" s="11" t="str">
        <f>IFERROR(__xludf.DUMMYFUNCTION("""COMPUTED_VALUE"""),"")</f>
        <v/>
      </c>
      <c r="V84" s="11">
        <f>IFERROR(__xludf.DUMMYFUNCTION("""COMPUTED_VALUE"""),15.0)</f>
        <v>15</v>
      </c>
      <c r="W84" s="11" t="str">
        <f>IFERROR(__xludf.DUMMYFUNCTION("""COMPUTED_VALUE"""),"N 9578 US")</f>
        <v>N 9578 US</v>
      </c>
      <c r="X84" s="11" t="str">
        <f>IFERROR(__xludf.DUMMYFUNCTION("""COMPUTED_VALUE"""),"TLPG TJ PERAK")</f>
        <v>TLPG TJ PERAK</v>
      </c>
      <c r="Y84" s="11">
        <f>IFERROR(__xludf.DUMMYFUNCTION("""COMPUTED_VALUE"""),11.0)</f>
        <v>11</v>
      </c>
      <c r="Z84" s="11" t="str">
        <f>IFERROR(__xludf.DUMMYFUNCTION("""COMPUTED_VALUE"""),"PT BINA ANUGERAH INTI KIMIA")</f>
        <v>PT BINA ANUGERAH INTI KIMIA</v>
      </c>
      <c r="AA84" s="11" t="str">
        <f>IFERROR(__xludf.DUMMYFUNCTION("""COMPUTED_VALUE"""),"")</f>
        <v/>
      </c>
      <c r="AB84" s="32">
        <f>IFERROR(__xludf.DUMMYFUNCTION("""COMPUTED_VALUE"""),15.0)</f>
        <v>15</v>
      </c>
      <c r="AC84" s="32" t="str">
        <f>IFERROR(__xludf.DUMMYFUNCTION("""COMPUTED_VALUE"""),"S 8543 UN")</f>
        <v>S 8543 UN</v>
      </c>
      <c r="AD84" s="32" t="str">
        <f>IFERROR(__xludf.DUMMYFUNCTION("""COMPUTED_VALUE"""),"TLPG TJ PERAK")</f>
        <v>TLPG TJ PERAK</v>
      </c>
      <c r="AE84" s="32">
        <f>IFERROR(__xludf.DUMMYFUNCTION("""COMPUTED_VALUE"""),12.0)</f>
        <v>12</v>
      </c>
      <c r="AF84" s="32" t="str">
        <f>IFERROR(__xludf.DUMMYFUNCTION("""COMPUTED_VALUE"""),"PT AMANATUL UMMAH GAS")</f>
        <v>PT AMANATUL UMMAH GAS</v>
      </c>
    </row>
    <row r="85">
      <c r="A85" s="9" t="str">
        <f>IFERROR(__xludf.DUMMYFUNCTION("""COMPUTED_VALUE"""),"AG 8106 UC")</f>
        <v>AG 8106 UC</v>
      </c>
      <c r="B85" s="9" t="str">
        <f>IFERROR(__xludf.DUMMYFUNCTION("""COMPUTED_VALUE"""),"TLPG TJ PERAK")</f>
        <v>TLPG TJ PERAK</v>
      </c>
      <c r="C85" s="9" t="str">
        <f>IFERROR(__xludf.DUMMYFUNCTION("""COMPUTED_VALUE"""),"PT LIRBOYO INSAN GLOBAL")</f>
        <v>PT LIRBOYO INSAN GLOBAL</v>
      </c>
      <c r="D85" s="11">
        <f>IFERROR(__xludf.DUMMYFUNCTION("""COMPUTED_VALUE"""),129.7)</f>
        <v>129.7</v>
      </c>
      <c r="E85" s="11" t="str">
        <f>IFERROR(__xludf.DUMMYFUNCTION("""COMPUTED_VALUE"""),"SEDANG")</f>
        <v>SEDANG</v>
      </c>
      <c r="F85" s="11">
        <f>IFERROR(__xludf.DUMMYFUNCTION("""COMPUTED_VALUE"""),2.0)</f>
        <v>2</v>
      </c>
      <c r="G85" s="11">
        <f>IFERROR(__xludf.DUMMYFUNCTION("""COMPUTED_VALUE"""),3.0)</f>
        <v>3</v>
      </c>
      <c r="H85" s="11">
        <f>IFERROR(__xludf.DUMMYFUNCTION("""COMPUTED_VALUE"""),12.0)</f>
        <v>12</v>
      </c>
      <c r="I85" s="11">
        <v>12.0</v>
      </c>
      <c r="J85" s="11">
        <f>IFERROR(__xludf.DUMMYFUNCTION("""COMPUTED_VALUE"""),16.0)</f>
        <v>16</v>
      </c>
      <c r="K85" s="11" t="str">
        <f>IFERROR(__xludf.DUMMYFUNCTION("""COMPUTED_VALUE"""),"DK 8236 GH")</f>
        <v>DK 8236 GH</v>
      </c>
      <c r="L85" s="11" t="str">
        <f>IFERROR(__xludf.DUMMYFUNCTION("""COMPUTED_VALUE"""),"TLPG MANGGIS")</f>
        <v>TLPG MANGGIS</v>
      </c>
      <c r="M85" s="11">
        <f>IFERROR(__xludf.DUMMYFUNCTION("""COMPUTED_VALUE"""),9.0)</f>
        <v>9</v>
      </c>
      <c r="N85" s="11" t="str">
        <f>IFERROR(__xludf.DUMMYFUNCTION("""COMPUTED_VALUE"""),"SPPBE-PT. Kiani Pasifik Nusantara")</f>
        <v>SPPBE-PT. Kiani Pasifik Nusantara</v>
      </c>
      <c r="O85" s="11" t="str">
        <f>IFERROR(__xludf.DUMMYFUNCTION("""COMPUTED_VALUE"""),"")</f>
        <v/>
      </c>
      <c r="P85" s="20">
        <f>IFERROR(__xludf.DUMMYFUNCTION("""COMPUTED_VALUE"""),16.0)</f>
        <v>16</v>
      </c>
      <c r="Q85" s="20" t="str">
        <f>IFERROR(__xludf.DUMMYFUNCTION("""COMPUTED_VALUE"""),"DK 8268 HH")</f>
        <v>DK 8268 HH</v>
      </c>
      <c r="R85" s="20" t="str">
        <f>IFERROR(__xludf.DUMMYFUNCTION("""COMPUTED_VALUE"""),"TLPG MANGGIS")</f>
        <v>TLPG MANGGIS</v>
      </c>
      <c r="S85" s="20">
        <f>IFERROR(__xludf.DUMMYFUNCTION("""COMPUTED_VALUE"""),10.0)</f>
        <v>10</v>
      </c>
      <c r="T85" s="20" t="str">
        <f>IFERROR(__xludf.DUMMYFUNCTION("""COMPUTED_VALUE"""),"SPPBE-PT. Kiani Pasifik Nusantara")</f>
        <v>SPPBE-PT. Kiani Pasifik Nusantara</v>
      </c>
      <c r="U85" s="11" t="str">
        <f>IFERROR(__xludf.DUMMYFUNCTION("""COMPUTED_VALUE"""),"")</f>
        <v/>
      </c>
      <c r="V85" s="11">
        <f>IFERROR(__xludf.DUMMYFUNCTION("""COMPUTED_VALUE"""),16.0)</f>
        <v>16</v>
      </c>
      <c r="W85" s="11" t="str">
        <f>IFERROR(__xludf.DUMMYFUNCTION("""COMPUTED_VALUE"""),"DK 8302 HF")</f>
        <v>DK 8302 HF</v>
      </c>
      <c r="X85" s="11" t="str">
        <f>IFERROR(__xludf.DUMMYFUNCTION("""COMPUTED_VALUE"""),"TLPG MANGGIS")</f>
        <v>TLPG MANGGIS</v>
      </c>
      <c r="Y85" s="11">
        <f>IFERROR(__xludf.DUMMYFUNCTION("""COMPUTED_VALUE"""),11.0)</f>
        <v>11</v>
      </c>
      <c r="Z85" s="11" t="str">
        <f>IFERROR(__xludf.DUMMYFUNCTION("""COMPUTED_VALUE"""),"SPPBE-PT. Kiani Pasifik Nusantara")</f>
        <v>SPPBE-PT. Kiani Pasifik Nusantara</v>
      </c>
      <c r="AA85" s="11" t="str">
        <f>IFERROR(__xludf.DUMMYFUNCTION("""COMPUTED_VALUE"""),"")</f>
        <v/>
      </c>
      <c r="AB85" s="32">
        <f>IFERROR(__xludf.DUMMYFUNCTION("""COMPUTED_VALUE"""),16.0)</f>
        <v>16</v>
      </c>
      <c r="AC85" s="32" t="str">
        <f>IFERROR(__xludf.DUMMYFUNCTION("""COMPUTED_VALUE"""),"N 8006 UT")</f>
        <v>N 8006 UT</v>
      </c>
      <c r="AD85" s="32" t="str">
        <f>IFERROR(__xludf.DUMMYFUNCTION("""COMPUTED_VALUE"""),"TLPG TJ PERAK")</f>
        <v>TLPG TJ PERAK</v>
      </c>
      <c r="AE85" s="32">
        <f>IFERROR(__xludf.DUMMYFUNCTION("""COMPUTED_VALUE"""),12.0)</f>
        <v>12</v>
      </c>
      <c r="AF85" s="32" t="str">
        <f>IFERROR(__xludf.DUMMYFUNCTION("""COMPUTED_VALUE"""),"PT ANUGERAH JATI UTAMA")</f>
        <v>PT ANUGERAH JATI UTAMA</v>
      </c>
    </row>
    <row r="86">
      <c r="A86" s="9" t="str">
        <f>IFERROR(__xludf.DUMMYFUNCTION("""COMPUTED_VALUE"""),"AG 8384 UE")</f>
        <v>AG 8384 UE</v>
      </c>
      <c r="B86" s="9" t="str">
        <f>IFERROR(__xludf.DUMMYFUNCTION("""COMPUTED_VALUE"""),"TLPG TJ PERAK")</f>
        <v>TLPG TJ PERAK</v>
      </c>
      <c r="C86" s="9" t="str">
        <f>IFERROR(__xludf.DUMMYFUNCTION("""COMPUTED_VALUE"""),"PT SURYA ADHILESTARI")</f>
        <v>PT SURYA ADHILESTARI</v>
      </c>
      <c r="D86" s="11">
        <f>IFERROR(__xludf.DUMMYFUNCTION("""COMPUTED_VALUE"""),128.4)</f>
        <v>128.4</v>
      </c>
      <c r="E86" s="11" t="str">
        <f>IFERROR(__xludf.DUMMYFUNCTION("""COMPUTED_VALUE"""),"SEDANG")</f>
        <v>SEDANG</v>
      </c>
      <c r="F86" s="11">
        <f>IFERROR(__xludf.DUMMYFUNCTION("""COMPUTED_VALUE"""),2.0)</f>
        <v>2</v>
      </c>
      <c r="G86" s="11">
        <f>IFERROR(__xludf.DUMMYFUNCTION("""COMPUTED_VALUE"""),3.0)</f>
        <v>3</v>
      </c>
      <c r="H86" s="11">
        <f>IFERROR(__xludf.DUMMYFUNCTION("""COMPUTED_VALUE"""),1.0)</f>
        <v>1</v>
      </c>
      <c r="I86" s="11">
        <v>1.0</v>
      </c>
      <c r="J86" s="11">
        <f>IFERROR(__xludf.DUMMYFUNCTION("""COMPUTED_VALUE"""),17.0)</f>
        <v>17</v>
      </c>
      <c r="K86" s="11" t="str">
        <f>IFERROR(__xludf.DUMMYFUNCTION("""COMPUTED_VALUE"""),"DK 8834 BM")</f>
        <v>DK 8834 BM</v>
      </c>
      <c r="L86" s="11" t="str">
        <f>IFERROR(__xludf.DUMMYFUNCTION("""COMPUTED_VALUE"""),"TLPG MANGGIS")</f>
        <v>TLPG MANGGIS</v>
      </c>
      <c r="M86" s="11">
        <f>IFERROR(__xludf.DUMMYFUNCTION("""COMPUTED_VALUE"""),9.0)</f>
        <v>9</v>
      </c>
      <c r="N86" s="11" t="str">
        <f>IFERROR(__xludf.DUMMYFUNCTION("""COMPUTED_VALUE"""),"SPPBE-PT. Cahaya Astika Dharma")</f>
        <v>SPPBE-PT. Cahaya Astika Dharma</v>
      </c>
      <c r="O86" s="11" t="str">
        <f>IFERROR(__xludf.DUMMYFUNCTION("""COMPUTED_VALUE"""),"")</f>
        <v/>
      </c>
      <c r="P86" s="20">
        <f>IFERROR(__xludf.DUMMYFUNCTION("""COMPUTED_VALUE"""),17.0)</f>
        <v>17</v>
      </c>
      <c r="Q86" s="20" t="str">
        <f>IFERROR(__xludf.DUMMYFUNCTION("""COMPUTED_VALUE"""),"DK 8773 MG")</f>
        <v>DK 8773 MG</v>
      </c>
      <c r="R86" s="20" t="str">
        <f>IFERROR(__xludf.DUMMYFUNCTION("""COMPUTED_VALUE"""),"TLPG LOMBOK")</f>
        <v>TLPG LOMBOK</v>
      </c>
      <c r="S86" s="20">
        <f>IFERROR(__xludf.DUMMYFUNCTION("""COMPUTED_VALUE"""),10.0)</f>
        <v>10</v>
      </c>
      <c r="T86" s="20" t="str">
        <f>IFERROR(__xludf.DUMMYFUNCTION("""COMPUTED_VALUE"""),"SPPBE-PT. Harapan Jaya Utama")</f>
        <v>SPPBE-PT. Harapan Jaya Utama</v>
      </c>
      <c r="U86" s="11" t="str">
        <f>IFERROR(__xludf.DUMMYFUNCTION("""COMPUTED_VALUE"""),"")</f>
        <v/>
      </c>
      <c r="V86" s="11">
        <f>IFERROR(__xludf.DUMMYFUNCTION("""COMPUTED_VALUE"""),17.0)</f>
        <v>17</v>
      </c>
      <c r="W86" s="11" t="str">
        <f>IFERROR(__xludf.DUMMYFUNCTION("""COMPUTED_VALUE"""),"W 8921 UR")</f>
        <v>W 8921 UR</v>
      </c>
      <c r="X86" s="11" t="str">
        <f>IFERROR(__xludf.DUMMYFUNCTION("""COMPUTED_VALUE"""),"TLPG TJ PERAK")</f>
        <v>TLPG TJ PERAK</v>
      </c>
      <c r="Y86" s="11">
        <f>IFERROR(__xludf.DUMMYFUNCTION("""COMPUTED_VALUE"""),11.0)</f>
        <v>11</v>
      </c>
      <c r="Z86" s="11" t="str">
        <f>IFERROR(__xludf.DUMMYFUNCTION("""COMPUTED_VALUE"""),"PT WIN MED INDONESIA")</f>
        <v>PT WIN MED INDONESIA</v>
      </c>
      <c r="AA86" s="11" t="str">
        <f>IFERROR(__xludf.DUMMYFUNCTION("""COMPUTED_VALUE"""),"")</f>
        <v/>
      </c>
      <c r="AB86" s="32">
        <f>IFERROR(__xludf.DUMMYFUNCTION("""COMPUTED_VALUE"""),17.0)</f>
        <v>17</v>
      </c>
      <c r="AC86" s="32" t="str">
        <f>IFERROR(__xludf.DUMMYFUNCTION("""COMPUTED_VALUE"""),"W 8041 UW")</f>
        <v>W 8041 UW</v>
      </c>
      <c r="AD86" s="32" t="str">
        <f>IFERROR(__xludf.DUMMYFUNCTION("""COMPUTED_VALUE"""),"TLPG TJ PERAK")</f>
        <v>TLPG TJ PERAK</v>
      </c>
      <c r="AE86" s="32">
        <f>IFERROR(__xludf.DUMMYFUNCTION("""COMPUTED_VALUE"""),12.0)</f>
        <v>12</v>
      </c>
      <c r="AF86" s="32" t="str">
        <f>IFERROR(__xludf.DUMMYFUNCTION("""COMPUTED_VALUE"""),"PT WIN MED INDONESIA")</f>
        <v>PT WIN MED INDONESIA</v>
      </c>
    </row>
    <row r="87">
      <c r="A87" s="9" t="str">
        <f>IFERROR(__xludf.DUMMYFUNCTION("""COMPUTED_VALUE"""),"AG 8115 UC")</f>
        <v>AG 8115 UC</v>
      </c>
      <c r="B87" s="9" t="str">
        <f>IFERROR(__xludf.DUMMYFUNCTION("""COMPUTED_VALUE"""),"TLPG TJ PERAK")</f>
        <v>TLPG TJ PERAK</v>
      </c>
      <c r="C87" s="9" t="str">
        <f>IFERROR(__xludf.DUMMYFUNCTION("""COMPUTED_VALUE"""),"PT SURYA ADI LESTARI")</f>
        <v>PT SURYA ADI LESTARI</v>
      </c>
      <c r="D87" s="11">
        <f>IFERROR(__xludf.DUMMYFUNCTION("""COMPUTED_VALUE"""),128.4)</f>
        <v>128.4</v>
      </c>
      <c r="E87" s="11" t="str">
        <f>IFERROR(__xludf.DUMMYFUNCTION("""COMPUTED_VALUE"""),"SEDANG")</f>
        <v>SEDANG</v>
      </c>
      <c r="F87" s="11">
        <f>IFERROR(__xludf.DUMMYFUNCTION("""COMPUTED_VALUE"""),2.0)</f>
        <v>2</v>
      </c>
      <c r="G87" s="11">
        <f>IFERROR(__xludf.DUMMYFUNCTION("""COMPUTED_VALUE"""),5.0)</f>
        <v>5</v>
      </c>
      <c r="H87" s="11">
        <f>IFERROR(__xludf.DUMMYFUNCTION("""COMPUTED_VALUE"""),2.0)</f>
        <v>2</v>
      </c>
      <c r="I87" s="11">
        <v>2.0</v>
      </c>
      <c r="J87" s="11">
        <f>IFERROR(__xludf.DUMMYFUNCTION("""COMPUTED_VALUE"""),18.0)</f>
        <v>18</v>
      </c>
      <c r="K87" s="11" t="str">
        <f>IFERROR(__xludf.DUMMYFUNCTION("""COMPUTED_VALUE"""),"DK 8737 DQ")</f>
        <v>DK 8737 DQ</v>
      </c>
      <c r="L87" s="11" t="str">
        <f>IFERROR(__xludf.DUMMYFUNCTION("""COMPUTED_VALUE"""),"TLPG MANGGIS")</f>
        <v>TLPG MANGGIS</v>
      </c>
      <c r="M87" s="11">
        <f>IFERROR(__xludf.DUMMYFUNCTION("""COMPUTED_VALUE"""),9.0)</f>
        <v>9</v>
      </c>
      <c r="N87" s="11" t="str">
        <f>IFERROR(__xludf.DUMMYFUNCTION("""COMPUTED_VALUE"""),"SPPBE-PT. Candra Karya Gas")</f>
        <v>SPPBE-PT. Candra Karya Gas</v>
      </c>
      <c r="O87" s="11" t="str">
        <f>IFERROR(__xludf.DUMMYFUNCTION("""COMPUTED_VALUE"""),"")</f>
        <v/>
      </c>
      <c r="P87" s="20">
        <f>IFERROR(__xludf.DUMMYFUNCTION("""COMPUTED_VALUE"""),18.0)</f>
        <v>18</v>
      </c>
      <c r="Q87" s="20" t="str">
        <f>IFERROR(__xludf.DUMMYFUNCTION("""COMPUTED_VALUE"""),"DK 8584 OL")</f>
        <v>DK 8584 OL</v>
      </c>
      <c r="R87" s="20" t="str">
        <f>IFERROR(__xludf.DUMMYFUNCTION("""COMPUTED_VALUE"""),"TLPG MANGGIS")</f>
        <v>TLPG MANGGIS</v>
      </c>
      <c r="S87" s="20">
        <f>IFERROR(__xludf.DUMMYFUNCTION("""COMPUTED_VALUE"""),10.0)</f>
        <v>10</v>
      </c>
      <c r="T87" s="20" t="str">
        <f>IFERROR(__xludf.DUMMYFUNCTION("""COMPUTED_VALUE"""),"SPPBE-PT. Putra Bali Dwipa")</f>
        <v>SPPBE-PT. Putra Bali Dwipa</v>
      </c>
      <c r="U87" s="11" t="str">
        <f>IFERROR(__xludf.DUMMYFUNCTION("""COMPUTED_VALUE"""),"")</f>
        <v/>
      </c>
      <c r="V87" s="11">
        <f>IFERROR(__xludf.DUMMYFUNCTION("""COMPUTED_VALUE"""),18.0)</f>
        <v>18</v>
      </c>
      <c r="W87" s="11" t="str">
        <f>IFERROR(__xludf.DUMMYFUNCTION("""COMPUTED_VALUE"""),"DK 8587 OL")</f>
        <v>DK 8587 OL</v>
      </c>
      <c r="X87" s="11" t="str">
        <f>IFERROR(__xludf.DUMMYFUNCTION("""COMPUTED_VALUE"""),"TLPG MANGGIS")</f>
        <v>TLPG MANGGIS</v>
      </c>
      <c r="Y87" s="11">
        <f>IFERROR(__xludf.DUMMYFUNCTION("""COMPUTED_VALUE"""),11.0)</f>
        <v>11</v>
      </c>
      <c r="Z87" s="11" t="str">
        <f>IFERROR(__xludf.DUMMYFUNCTION("""COMPUTED_VALUE"""),"SPPBE-PT. Putra Bali Dwipa")</f>
        <v>SPPBE-PT. Putra Bali Dwipa</v>
      </c>
      <c r="AA87" s="11" t="str">
        <f>IFERROR(__xludf.DUMMYFUNCTION("""COMPUTED_VALUE"""),"")</f>
        <v/>
      </c>
      <c r="AB87" s="32">
        <f>IFERROR(__xludf.DUMMYFUNCTION("""COMPUTED_VALUE"""),18.0)</f>
        <v>18</v>
      </c>
      <c r="AC87" s="32" t="str">
        <f>IFERROR(__xludf.DUMMYFUNCTION("""COMPUTED_VALUE"""),"DK 8588 OL")</f>
        <v>DK 8588 OL</v>
      </c>
      <c r="AD87" s="32" t="str">
        <f>IFERROR(__xludf.DUMMYFUNCTION("""COMPUTED_VALUE"""),"TLPG MANGGIS")</f>
        <v>TLPG MANGGIS</v>
      </c>
      <c r="AE87" s="32">
        <f>IFERROR(__xludf.DUMMYFUNCTION("""COMPUTED_VALUE"""),12.0)</f>
        <v>12</v>
      </c>
      <c r="AF87" s="32" t="str">
        <f>IFERROR(__xludf.DUMMYFUNCTION("""COMPUTED_VALUE"""),"SPPBE-PT. Putra Bali Dwipa")</f>
        <v>SPPBE-PT. Putra Bali Dwipa</v>
      </c>
    </row>
    <row r="88">
      <c r="A88" s="9" t="str">
        <f>IFERROR(__xludf.DUMMYFUNCTION("""COMPUTED_VALUE"""),"AG 9753 UB")</f>
        <v>AG 9753 UB</v>
      </c>
      <c r="B88" s="9" t="str">
        <f>IFERROR(__xludf.DUMMYFUNCTION("""COMPUTED_VALUE"""),"TLPG TJ PERAK")</f>
        <v>TLPG TJ PERAK</v>
      </c>
      <c r="C88" s="9" t="str">
        <f>IFERROR(__xludf.DUMMYFUNCTION("""COMPUTED_VALUE"""),"PT SURYA ADHILESTARI")</f>
        <v>PT SURYA ADHILESTARI</v>
      </c>
      <c r="D88" s="11">
        <f>IFERROR(__xludf.DUMMYFUNCTION("""COMPUTED_VALUE"""),128.4)</f>
        <v>128.4</v>
      </c>
      <c r="E88" s="11" t="str">
        <f>IFERROR(__xludf.DUMMYFUNCTION("""COMPUTED_VALUE"""),"SEDANG")</f>
        <v>SEDANG</v>
      </c>
      <c r="F88" s="11">
        <f>IFERROR(__xludf.DUMMYFUNCTION("""COMPUTED_VALUE"""),2.0)</f>
        <v>2</v>
      </c>
      <c r="G88" s="11">
        <f>IFERROR(__xludf.DUMMYFUNCTION("""COMPUTED_VALUE"""),5.0)</f>
        <v>5</v>
      </c>
      <c r="H88" s="11">
        <f>IFERROR(__xludf.DUMMYFUNCTION("""COMPUTED_VALUE"""),3.0)</f>
        <v>3</v>
      </c>
      <c r="I88" s="11">
        <v>3.0</v>
      </c>
      <c r="J88" s="11">
        <f>IFERROR(__xludf.DUMMYFUNCTION("""COMPUTED_VALUE"""),19.0)</f>
        <v>19</v>
      </c>
      <c r="K88" s="11" t="str">
        <f>IFERROR(__xludf.DUMMYFUNCTION("""COMPUTED_VALUE"""),"W 8059 UD")</f>
        <v>W 8059 UD</v>
      </c>
      <c r="L88" s="11" t="str">
        <f>IFERROR(__xludf.DUMMYFUNCTION("""COMPUTED_VALUE"""),"TLPG LOMBOK")</f>
        <v>TLPG LOMBOK</v>
      </c>
      <c r="M88" s="11">
        <f>IFERROR(__xludf.DUMMYFUNCTION("""COMPUTED_VALUE"""),9.0)</f>
        <v>9</v>
      </c>
      <c r="N88" s="11" t="str">
        <f>IFERROR(__xludf.DUMMYFUNCTION("""COMPUTED_VALUE"""),"SPPBE-PT. Surya Adiguna Indogas")</f>
        <v>SPPBE-PT. Surya Adiguna Indogas</v>
      </c>
      <c r="O88" s="11" t="str">
        <f>IFERROR(__xludf.DUMMYFUNCTION("""COMPUTED_VALUE"""),"")</f>
        <v/>
      </c>
      <c r="P88" s="20">
        <f>IFERROR(__xludf.DUMMYFUNCTION("""COMPUTED_VALUE"""),19.0)</f>
        <v>19</v>
      </c>
      <c r="Q88" s="20" t="str">
        <f>IFERROR(__xludf.DUMMYFUNCTION("""COMPUTED_VALUE"""),"W 8042 UD")</f>
        <v>W 8042 UD</v>
      </c>
      <c r="R88" s="20" t="str">
        <f>IFERROR(__xludf.DUMMYFUNCTION("""COMPUTED_VALUE"""),"TLPG LOMBOK")</f>
        <v>TLPG LOMBOK</v>
      </c>
      <c r="S88" s="20">
        <f>IFERROR(__xludf.DUMMYFUNCTION("""COMPUTED_VALUE"""),10.0)</f>
        <v>10</v>
      </c>
      <c r="T88" s="20" t="str">
        <f>IFERROR(__xludf.DUMMYFUNCTION("""COMPUTED_VALUE"""),"SPPBE-PT. Surya Adiguna Indogas")</f>
        <v>SPPBE-PT. Surya Adiguna Indogas</v>
      </c>
      <c r="U88" s="11" t="str">
        <f>IFERROR(__xludf.DUMMYFUNCTION("""COMPUTED_VALUE"""),"")</f>
        <v/>
      </c>
      <c r="V88" s="11">
        <f>IFERROR(__xludf.DUMMYFUNCTION("""COMPUTED_VALUE"""),19.0)</f>
        <v>19</v>
      </c>
      <c r="W88" s="11" t="str">
        <f>IFERROR(__xludf.DUMMYFUNCTION("""COMPUTED_VALUE"""),"AG 8063 UZ")</f>
        <v>AG 8063 UZ</v>
      </c>
      <c r="X88" s="11" t="str">
        <f>IFERROR(__xludf.DUMMYFUNCTION("""COMPUTED_VALUE"""),"TLPG TJ PERAK")</f>
        <v>TLPG TJ PERAK</v>
      </c>
      <c r="Y88" s="11">
        <f>IFERROR(__xludf.DUMMYFUNCTION("""COMPUTED_VALUE"""),11.0)</f>
        <v>11</v>
      </c>
      <c r="Z88" s="11" t="str">
        <f>IFERROR(__xludf.DUMMYFUNCTION("""COMPUTED_VALUE"""),"PT TRIAS MULTI NASIONAL")</f>
        <v>PT TRIAS MULTI NASIONAL</v>
      </c>
      <c r="AA88" s="11" t="str">
        <f>IFERROR(__xludf.DUMMYFUNCTION("""COMPUTED_VALUE"""),"")</f>
        <v/>
      </c>
      <c r="AB88" s="32">
        <f>IFERROR(__xludf.DUMMYFUNCTION("""COMPUTED_VALUE"""),19.0)</f>
        <v>19</v>
      </c>
      <c r="AC88" s="32" t="str">
        <f>IFERROR(__xludf.DUMMYFUNCTION("""COMPUTED_VALUE"""),"DR 8542 AG")</f>
        <v>DR 8542 AG</v>
      </c>
      <c r="AD88" s="32" t="str">
        <f>IFERROR(__xludf.DUMMYFUNCTION("""COMPUTED_VALUE"""),"TLPG LOMBOK")</f>
        <v>TLPG LOMBOK</v>
      </c>
      <c r="AE88" s="32">
        <f>IFERROR(__xludf.DUMMYFUNCTION("""COMPUTED_VALUE"""),12.0)</f>
        <v>12</v>
      </c>
      <c r="AF88" s="32" t="str">
        <f>IFERROR(__xludf.DUMMYFUNCTION("""COMPUTED_VALUE"""),"SPPBE-PT. Lombok Menara Energigas")</f>
        <v>SPPBE-PT. Lombok Menara Energigas</v>
      </c>
    </row>
    <row r="89">
      <c r="A89" s="9" t="str">
        <f>IFERROR(__xludf.DUMMYFUNCTION("""COMPUTED_VALUE"""),"P 9115 UG")</f>
        <v>P 9115 UG</v>
      </c>
      <c r="B89" s="9" t="str">
        <f>IFERROR(__xludf.DUMMYFUNCTION("""COMPUTED_VALUE"""),"TLPG TJ WANGI")</f>
        <v>TLPG TJ WANGI</v>
      </c>
      <c r="C89" s="9" t="str">
        <f>IFERROR(__xludf.DUMMYFUNCTION("""COMPUTED_VALUE"""),"PT TRI TUNGGAL ARGOPURO MANDIRI")</f>
        <v>PT TRI TUNGGAL ARGOPURO MANDIRI</v>
      </c>
      <c r="D89" s="11">
        <f>IFERROR(__xludf.DUMMYFUNCTION("""COMPUTED_VALUE"""),127.7)</f>
        <v>127.7</v>
      </c>
      <c r="E89" s="11" t="str">
        <f>IFERROR(__xludf.DUMMYFUNCTION("""COMPUTED_VALUE"""),"SEDANG")</f>
        <v>SEDANG</v>
      </c>
      <c r="F89" s="11">
        <f>IFERROR(__xludf.DUMMYFUNCTION("""COMPUTED_VALUE"""),2.0)</f>
        <v>2</v>
      </c>
      <c r="G89" s="11">
        <f>IFERROR(__xludf.DUMMYFUNCTION("""COMPUTED_VALUE"""),11.0)</f>
        <v>11</v>
      </c>
      <c r="H89" s="11">
        <f>IFERROR(__xludf.DUMMYFUNCTION("""COMPUTED_VALUE"""),4.0)</f>
        <v>4</v>
      </c>
      <c r="I89" s="11">
        <v>4.0</v>
      </c>
      <c r="J89" s="11">
        <f>IFERROR(__xludf.DUMMYFUNCTION("""COMPUTED_VALUE"""),20.0)</f>
        <v>20</v>
      </c>
      <c r="K89" s="11" t="str">
        <f>IFERROR(__xludf.DUMMYFUNCTION("""COMPUTED_VALUE"""),"W 9170 PD")</f>
        <v>W 9170 PD</v>
      </c>
      <c r="L89" s="11" t="str">
        <f>IFERROR(__xludf.DUMMYFUNCTION("""COMPUTED_VALUE"""),"TLPG TJ PERAK")</f>
        <v>TLPG TJ PERAK</v>
      </c>
      <c r="M89" s="11">
        <f>IFERROR(__xludf.DUMMYFUNCTION("""COMPUTED_VALUE"""),9.0)</f>
        <v>9</v>
      </c>
      <c r="N89" s="11" t="str">
        <f>IFERROR(__xludf.DUMMYFUNCTION("""COMPUTED_VALUE"""),"PT NAWA PELITA RAYA")</f>
        <v>PT NAWA PELITA RAYA</v>
      </c>
      <c r="O89" s="11" t="str">
        <f>IFERROR(__xludf.DUMMYFUNCTION("""COMPUTED_VALUE"""),"")</f>
        <v/>
      </c>
      <c r="P89" s="20">
        <f>IFERROR(__xludf.DUMMYFUNCTION("""COMPUTED_VALUE"""),20.0)</f>
        <v>20</v>
      </c>
      <c r="Q89" s="20" t="str">
        <f>IFERROR(__xludf.DUMMYFUNCTION("""COMPUTED_VALUE"""),"W 8353 UR")</f>
        <v>W 8353 UR</v>
      </c>
      <c r="R89" s="20" t="str">
        <f>IFERROR(__xludf.DUMMYFUNCTION("""COMPUTED_VALUE"""),"TLPG TJ PERAK")</f>
        <v>TLPG TJ PERAK</v>
      </c>
      <c r="S89" s="20">
        <f>IFERROR(__xludf.DUMMYFUNCTION("""COMPUTED_VALUE"""),10.0)</f>
        <v>10</v>
      </c>
      <c r="T89" s="20" t="str">
        <f>IFERROR(__xludf.DUMMYFUNCTION("""COMPUTED_VALUE"""),"PT NAWA PELITA RAYA")</f>
        <v>PT NAWA PELITA RAYA</v>
      </c>
      <c r="U89" s="11" t="str">
        <f>IFERROR(__xludf.DUMMYFUNCTION("""COMPUTED_VALUE"""),"")</f>
        <v/>
      </c>
      <c r="V89" s="11">
        <f>IFERROR(__xludf.DUMMYFUNCTION("""COMPUTED_VALUE"""),20.0)</f>
        <v>20</v>
      </c>
      <c r="W89" s="11" t="str">
        <f>IFERROR(__xludf.DUMMYFUNCTION("""COMPUTED_VALUE"""),"DK 8139 TS")</f>
        <v>DK 8139 TS</v>
      </c>
      <c r="X89" s="11" t="str">
        <f>IFERROR(__xludf.DUMMYFUNCTION("""COMPUTED_VALUE"""),"TLPG MANGGIS")</f>
        <v>TLPG MANGGIS</v>
      </c>
      <c r="Y89" s="11">
        <f>IFERROR(__xludf.DUMMYFUNCTION("""COMPUTED_VALUE"""),11.0)</f>
        <v>11</v>
      </c>
      <c r="Z89" s="11" t="str">
        <f>IFERROR(__xludf.DUMMYFUNCTION("""COMPUTED_VALUE"""),"SPPBE-PT. Gasari Mas Timur")</f>
        <v>SPPBE-PT. Gasari Mas Timur</v>
      </c>
      <c r="AA89" s="11" t="str">
        <f>IFERROR(__xludf.DUMMYFUNCTION("""COMPUTED_VALUE"""),"")</f>
        <v/>
      </c>
      <c r="AB89" s="32">
        <f>IFERROR(__xludf.DUMMYFUNCTION("""COMPUTED_VALUE"""),20.0)</f>
        <v>20</v>
      </c>
      <c r="AC89" s="32" t="str">
        <f>IFERROR(__xludf.DUMMYFUNCTION("""COMPUTED_VALUE"""),"DK 8148 TS")</f>
        <v>DK 8148 TS</v>
      </c>
      <c r="AD89" s="32" t="str">
        <f>IFERROR(__xludf.DUMMYFUNCTION("""COMPUTED_VALUE"""),"TLPG MANGGIS")</f>
        <v>TLPG MANGGIS</v>
      </c>
      <c r="AE89" s="32">
        <f>IFERROR(__xludf.DUMMYFUNCTION("""COMPUTED_VALUE"""),12.0)</f>
        <v>12</v>
      </c>
      <c r="AF89" s="32" t="str">
        <f>IFERROR(__xludf.DUMMYFUNCTION("""COMPUTED_VALUE"""),"SPPBE-PT. Gasari Mas Timur")</f>
        <v>SPPBE-PT. Gasari Mas Timur</v>
      </c>
    </row>
    <row r="90">
      <c r="A90" s="9" t="str">
        <f>IFERROR(__xludf.DUMMYFUNCTION("""COMPUTED_VALUE"""),"P 8970 UG")</f>
        <v>P 8970 UG</v>
      </c>
      <c r="B90" s="9" t="str">
        <f>IFERROR(__xludf.DUMMYFUNCTION("""COMPUTED_VALUE"""),"TLPG TJ WANGI")</f>
        <v>TLPG TJ WANGI</v>
      </c>
      <c r="C90" s="9" t="str">
        <f>IFERROR(__xludf.DUMMYFUNCTION("""COMPUTED_VALUE"""),"PT TRI TUNGGAL ARGOPURO MANDIRI")</f>
        <v>PT TRI TUNGGAL ARGOPURO MANDIRI</v>
      </c>
      <c r="D90" s="11">
        <f>IFERROR(__xludf.DUMMYFUNCTION("""COMPUTED_VALUE"""),127.7)</f>
        <v>127.7</v>
      </c>
      <c r="E90" s="11" t="str">
        <f>IFERROR(__xludf.DUMMYFUNCTION("""COMPUTED_VALUE"""),"SEDANG")</f>
        <v>SEDANG</v>
      </c>
      <c r="F90" s="11">
        <f>IFERROR(__xludf.DUMMYFUNCTION("""COMPUTED_VALUE"""),2.0)</f>
        <v>2</v>
      </c>
      <c r="G90" s="11">
        <f>IFERROR(__xludf.DUMMYFUNCTION("""COMPUTED_VALUE"""),12.0)</f>
        <v>12</v>
      </c>
      <c r="H90" s="11">
        <f>IFERROR(__xludf.DUMMYFUNCTION("""COMPUTED_VALUE"""),5.0)</f>
        <v>5</v>
      </c>
      <c r="I90" s="11">
        <v>5.0</v>
      </c>
      <c r="J90" s="11">
        <f>IFERROR(__xludf.DUMMYFUNCTION("""COMPUTED_VALUE"""),21.0)</f>
        <v>21</v>
      </c>
      <c r="K90" s="11" t="str">
        <f>IFERROR(__xludf.DUMMYFUNCTION("""COMPUTED_VALUE"""),"L 8684 AG")</f>
        <v>L 8684 AG</v>
      </c>
      <c r="L90" s="11" t="str">
        <f>IFERROR(__xludf.DUMMYFUNCTION("""COMPUTED_VALUE"""),"TLPG TJ PERAK")</f>
        <v>TLPG TJ PERAK</v>
      </c>
      <c r="M90" s="11">
        <f>IFERROR(__xludf.DUMMYFUNCTION("""COMPUTED_VALUE"""),9.0)</f>
        <v>9</v>
      </c>
      <c r="N90" s="11" t="str">
        <f>IFERROR(__xludf.DUMMYFUNCTION("""COMPUTED_VALUE"""),"PT ANDHIKA PUTRA TRIGAS LENTERA")</f>
        <v>PT ANDHIKA PUTRA TRIGAS LENTERA</v>
      </c>
      <c r="O90" s="11" t="str">
        <f>IFERROR(__xludf.DUMMYFUNCTION("""COMPUTED_VALUE"""),"")</f>
        <v/>
      </c>
      <c r="P90" s="20">
        <f>IFERROR(__xludf.DUMMYFUNCTION("""COMPUTED_VALUE"""),21.0)</f>
        <v>21</v>
      </c>
      <c r="Q90" s="20" t="str">
        <f>IFERROR(__xludf.DUMMYFUNCTION("""COMPUTED_VALUE"""),"L 9644 BB")</f>
        <v>L 9644 BB</v>
      </c>
      <c r="R90" s="20" t="str">
        <f>IFERROR(__xludf.DUMMYFUNCTION("""COMPUTED_VALUE"""),"TLPG TJ PERAK")</f>
        <v>TLPG TJ PERAK</v>
      </c>
      <c r="S90" s="20">
        <f>IFERROR(__xludf.DUMMYFUNCTION("""COMPUTED_VALUE"""),10.0)</f>
        <v>10</v>
      </c>
      <c r="T90" s="20" t="str">
        <f>IFERROR(__xludf.DUMMYFUNCTION("""COMPUTED_VALUE"""),"PT ANDHIKA PUTRA TRIGAS LENTERA")</f>
        <v>PT ANDHIKA PUTRA TRIGAS LENTERA</v>
      </c>
      <c r="U90" s="11" t="str">
        <f>IFERROR(__xludf.DUMMYFUNCTION("""COMPUTED_VALUE"""),"")</f>
        <v/>
      </c>
      <c r="V90" s="11">
        <f>IFERROR(__xludf.DUMMYFUNCTION("""COMPUTED_VALUE"""),21.0)</f>
        <v>21</v>
      </c>
      <c r="W90" s="11" t="str">
        <f>IFERROR(__xludf.DUMMYFUNCTION("""COMPUTED_VALUE"""),"L 8454 N")</f>
        <v>L 8454 N</v>
      </c>
      <c r="X90" s="11" t="str">
        <f>IFERROR(__xludf.DUMMYFUNCTION("""COMPUTED_VALUE"""),"TLPG TJ PERAK")</f>
        <v>TLPG TJ PERAK</v>
      </c>
      <c r="Y90" s="11">
        <f>IFERROR(__xludf.DUMMYFUNCTION("""COMPUTED_VALUE"""),11.0)</f>
        <v>11</v>
      </c>
      <c r="Z90" s="11" t="str">
        <f>IFERROR(__xludf.DUMMYFUNCTION("""COMPUTED_VALUE"""),"PT ANDHIKA DIAN UTAMA")</f>
        <v>PT ANDHIKA DIAN UTAMA</v>
      </c>
      <c r="AA90" s="11" t="str">
        <f>IFERROR(__xludf.DUMMYFUNCTION("""COMPUTED_VALUE"""),"")</f>
        <v/>
      </c>
      <c r="AB90" s="32">
        <f>IFERROR(__xludf.DUMMYFUNCTION("""COMPUTED_VALUE"""),21.0)</f>
        <v>21</v>
      </c>
      <c r="AC90" s="32" t="str">
        <f>IFERROR(__xludf.DUMMYFUNCTION("""COMPUTED_VALUE"""),"L 8013 UX")</f>
        <v>L 8013 UX</v>
      </c>
      <c r="AD90" s="32" t="str">
        <f>IFERROR(__xludf.DUMMYFUNCTION("""COMPUTED_VALUE"""),"TLPG MEM GRESIK")</f>
        <v>TLPG MEM GRESIK</v>
      </c>
      <c r="AE90" s="32">
        <f>IFERROR(__xludf.DUMMYFUNCTION("""COMPUTED_VALUE"""),12.0)</f>
        <v>12</v>
      </c>
      <c r="AF90" s="32" t="str">
        <f>IFERROR(__xludf.DUMMYFUNCTION("""COMPUTED_VALUE"""),"PT PERMATA ENERGI BUMI INDONESIA")</f>
        <v>PT PERMATA ENERGI BUMI INDONESIA</v>
      </c>
    </row>
    <row r="91">
      <c r="A91" s="9" t="str">
        <f>IFERROR(__xludf.DUMMYFUNCTION("""COMPUTED_VALUE"""),"AG 8070 UW")</f>
        <v>AG 8070 UW</v>
      </c>
      <c r="B91" s="9" t="str">
        <f>IFERROR(__xludf.DUMMYFUNCTION("""COMPUTED_VALUE"""),"TLPG TJ PERAK")</f>
        <v>TLPG TJ PERAK</v>
      </c>
      <c r="C91" s="9" t="str">
        <f>IFERROR(__xludf.DUMMYFUNCTION("""COMPUTED_VALUE"""),"PT LAJU")</f>
        <v>PT LAJU</v>
      </c>
      <c r="D91" s="11">
        <f>IFERROR(__xludf.DUMMYFUNCTION("""COMPUTED_VALUE"""),126.9)</f>
        <v>126.9</v>
      </c>
      <c r="E91" s="11" t="str">
        <f>IFERROR(__xludf.DUMMYFUNCTION("""COMPUTED_VALUE"""),"SEDANG")</f>
        <v>SEDANG</v>
      </c>
      <c r="F91" s="11">
        <f>IFERROR(__xludf.DUMMYFUNCTION("""COMPUTED_VALUE"""),2.0)</f>
        <v>2</v>
      </c>
      <c r="G91" s="11">
        <f>IFERROR(__xludf.DUMMYFUNCTION("""COMPUTED_VALUE"""),2.0)</f>
        <v>2</v>
      </c>
      <c r="H91" s="11">
        <f>IFERROR(__xludf.DUMMYFUNCTION("""COMPUTED_VALUE"""),6.0)</f>
        <v>6</v>
      </c>
      <c r="I91" s="11">
        <v>6.0</v>
      </c>
      <c r="J91" s="11">
        <f>IFERROR(__xludf.DUMMYFUNCTION("""COMPUTED_VALUE"""),22.0)</f>
        <v>22</v>
      </c>
      <c r="K91" s="11" t="str">
        <f>IFERROR(__xludf.DUMMYFUNCTION("""COMPUTED_VALUE"""),"DK 8285 DT")</f>
        <v>DK 8285 DT</v>
      </c>
      <c r="L91" s="11" t="str">
        <f>IFERROR(__xludf.DUMMYFUNCTION("""COMPUTED_VALUE"""),"TLPG MANGGIS")</f>
        <v>TLPG MANGGIS</v>
      </c>
      <c r="M91" s="11">
        <f>IFERROR(__xludf.DUMMYFUNCTION("""COMPUTED_VALUE"""),9.0)</f>
        <v>9</v>
      </c>
      <c r="N91" s="11" t="str">
        <f>IFERROR(__xludf.DUMMYFUNCTION("""COMPUTED_VALUE"""),"SPPBE-PT. Prapen Ananda Dewata")</f>
        <v>SPPBE-PT. Prapen Ananda Dewata</v>
      </c>
      <c r="O91" s="11" t="str">
        <f>IFERROR(__xludf.DUMMYFUNCTION("""COMPUTED_VALUE"""),"")</f>
        <v/>
      </c>
      <c r="P91" s="20">
        <f>IFERROR(__xludf.DUMMYFUNCTION("""COMPUTED_VALUE"""),22.0)</f>
        <v>22</v>
      </c>
      <c r="Q91" s="20" t="str">
        <f>IFERROR(__xludf.DUMMYFUNCTION("""COMPUTED_VALUE"""),"DK 8117 FS")</f>
        <v>DK 8117 FS</v>
      </c>
      <c r="R91" s="20" t="str">
        <f>IFERROR(__xludf.DUMMYFUNCTION("""COMPUTED_VALUE"""),"TLPG MANGGIS")</f>
        <v>TLPG MANGGIS</v>
      </c>
      <c r="S91" s="20">
        <f>IFERROR(__xludf.DUMMYFUNCTION("""COMPUTED_VALUE"""),10.0)</f>
        <v>10</v>
      </c>
      <c r="T91" s="20" t="str">
        <f>IFERROR(__xludf.DUMMYFUNCTION("""COMPUTED_VALUE"""),"SPPBE-PT. Prapen Ananda Dewata")</f>
        <v>SPPBE-PT. Prapen Ananda Dewata</v>
      </c>
      <c r="U91" s="11" t="str">
        <f>IFERROR(__xludf.DUMMYFUNCTION("""COMPUTED_VALUE"""),"")</f>
        <v/>
      </c>
      <c r="V91" s="11">
        <f>IFERROR(__xludf.DUMMYFUNCTION("""COMPUTED_VALUE"""),22.0)</f>
        <v>22</v>
      </c>
      <c r="W91" s="11" t="str">
        <f>IFERROR(__xludf.DUMMYFUNCTION("""COMPUTED_VALUE"""),"N 8782 UR")</f>
        <v>N 8782 UR</v>
      </c>
      <c r="X91" s="11" t="str">
        <f>IFERROR(__xludf.DUMMYFUNCTION("""COMPUTED_VALUE"""),"TLPG TJ WANGI")</f>
        <v>TLPG TJ WANGI</v>
      </c>
      <c r="Y91" s="11">
        <f>IFERROR(__xludf.DUMMYFUNCTION("""COMPUTED_VALUE"""),11.0)</f>
        <v>11</v>
      </c>
      <c r="Z91" s="11" t="str">
        <f>IFERROR(__xludf.DUMMYFUNCTION("""COMPUTED_VALUE"""),"Data Company Belum Ada")</f>
        <v>Data Company Belum Ada</v>
      </c>
      <c r="AA91" s="11" t="str">
        <f>IFERROR(__xludf.DUMMYFUNCTION("""COMPUTED_VALUE"""),"")</f>
        <v/>
      </c>
      <c r="AB91" s="32">
        <f>IFERROR(__xludf.DUMMYFUNCTION("""COMPUTED_VALUE"""),22.0)</f>
        <v>22</v>
      </c>
      <c r="AC91" s="32" t="str">
        <f>IFERROR(__xludf.DUMMYFUNCTION("""COMPUTED_VALUE"""),"DK 8696 AS")</f>
        <v>DK 8696 AS</v>
      </c>
      <c r="AD91" s="32" t="str">
        <f>IFERROR(__xludf.DUMMYFUNCTION("""COMPUTED_VALUE"""),"TLPG MANGGIS")</f>
        <v>TLPG MANGGIS</v>
      </c>
      <c r="AE91" s="32">
        <f>IFERROR(__xludf.DUMMYFUNCTION("""COMPUTED_VALUE"""),12.0)</f>
        <v>12</v>
      </c>
      <c r="AF91" s="32" t="str">
        <f>IFERROR(__xludf.DUMMYFUNCTION("""COMPUTED_VALUE"""),"Data Company Belum Ada")</f>
        <v>Data Company Belum Ada</v>
      </c>
    </row>
    <row r="92">
      <c r="A92" s="9" t="str">
        <f>IFERROR(__xludf.DUMMYFUNCTION("""COMPUTED_VALUE"""),"N 9195 UF")</f>
        <v>N 9195 UF</v>
      </c>
      <c r="B92" s="9" t="str">
        <f>IFERROR(__xludf.DUMMYFUNCTION("""COMPUTED_VALUE"""),"TLPG TJ PERAK")</f>
        <v>TLPG TJ PERAK</v>
      </c>
      <c r="C92" s="9" t="str">
        <f>IFERROR(__xludf.DUMMYFUNCTION("""COMPUTED_VALUE"""),"PT LAJU")</f>
        <v>PT LAJU</v>
      </c>
      <c r="D92" s="11">
        <f>IFERROR(__xludf.DUMMYFUNCTION("""COMPUTED_VALUE"""),126.9)</f>
        <v>126.9</v>
      </c>
      <c r="E92" s="11" t="str">
        <f>IFERROR(__xludf.DUMMYFUNCTION("""COMPUTED_VALUE"""),"SEDANG")</f>
        <v>SEDANG</v>
      </c>
      <c r="F92" s="11">
        <f>IFERROR(__xludf.DUMMYFUNCTION("""COMPUTED_VALUE"""),2.0)</f>
        <v>2</v>
      </c>
      <c r="G92" s="11">
        <f>IFERROR(__xludf.DUMMYFUNCTION("""COMPUTED_VALUE"""),2.0)</f>
        <v>2</v>
      </c>
      <c r="H92" s="11">
        <f>IFERROR(__xludf.DUMMYFUNCTION("""COMPUTED_VALUE"""),7.0)</f>
        <v>7</v>
      </c>
      <c r="I92" s="11">
        <v>7.0</v>
      </c>
      <c r="J92" s="11">
        <f>IFERROR(__xludf.DUMMYFUNCTION("""COMPUTED_VALUE"""),23.0)</f>
        <v>23</v>
      </c>
      <c r="K92" s="11" t="str">
        <f>IFERROR(__xludf.DUMMYFUNCTION("""COMPUTED_VALUE"""),"P 8920 UG")</f>
        <v>P 8920 UG</v>
      </c>
      <c r="L92" s="11" t="str">
        <f>IFERROR(__xludf.DUMMYFUNCTION("""COMPUTED_VALUE"""),"TLPG TJ WANGI")</f>
        <v>TLPG TJ WANGI</v>
      </c>
      <c r="M92" s="11">
        <f>IFERROR(__xludf.DUMMYFUNCTION("""COMPUTED_VALUE"""),9.0)</f>
        <v>9</v>
      </c>
      <c r="N92" s="11" t="str">
        <f>IFERROR(__xludf.DUMMYFUNCTION("""COMPUTED_VALUE"""),"PT MEGA HULU ENEGRI")</f>
        <v>PT MEGA HULU ENEGRI</v>
      </c>
      <c r="O92" s="11" t="str">
        <f>IFERROR(__xludf.DUMMYFUNCTION("""COMPUTED_VALUE"""),"")</f>
        <v/>
      </c>
      <c r="P92" s="20">
        <f>IFERROR(__xludf.DUMMYFUNCTION("""COMPUTED_VALUE"""),23.0)</f>
        <v>23</v>
      </c>
      <c r="Q92" s="20" t="str">
        <f>IFERROR(__xludf.DUMMYFUNCTION("""COMPUTED_VALUE"""),"L 9390 UU")</f>
        <v>L 9390 UU</v>
      </c>
      <c r="R92" s="20" t="str">
        <f>IFERROR(__xludf.DUMMYFUNCTION("""COMPUTED_VALUE"""),"TLPG TJ WANGI")</f>
        <v>TLPG TJ WANGI</v>
      </c>
      <c r="S92" s="20">
        <f>IFERROR(__xludf.DUMMYFUNCTION("""COMPUTED_VALUE"""),10.0)</f>
        <v>10</v>
      </c>
      <c r="T92" s="20" t="str">
        <f>IFERROR(__xludf.DUMMYFUNCTION("""COMPUTED_VALUE"""),"Data Company Belum Ada")</f>
        <v>Data Company Belum Ada</v>
      </c>
      <c r="U92" s="11" t="str">
        <f>IFERROR(__xludf.DUMMYFUNCTION("""COMPUTED_VALUE"""),"")</f>
        <v/>
      </c>
      <c r="V92" s="11">
        <f>IFERROR(__xludf.DUMMYFUNCTION("""COMPUTED_VALUE"""),23.0)</f>
        <v>23</v>
      </c>
      <c r="W92" s="11" t="str">
        <f>IFERROR(__xludf.DUMMYFUNCTION("""COMPUTED_VALUE"""),"P 8277 UG")</f>
        <v>P 8277 UG</v>
      </c>
      <c r="X92" s="11" t="str">
        <f>IFERROR(__xludf.DUMMYFUNCTION("""COMPUTED_VALUE"""),"TLPG TJ WANGI")</f>
        <v>TLPG TJ WANGI</v>
      </c>
      <c r="Y92" s="11">
        <f>IFERROR(__xludf.DUMMYFUNCTION("""COMPUTED_VALUE"""),11.0)</f>
        <v>11</v>
      </c>
      <c r="Z92" s="11" t="str">
        <f>IFERROR(__xludf.DUMMYFUNCTION("""COMPUTED_VALUE"""),"Data Company Belum Ada")</f>
        <v>Data Company Belum Ada</v>
      </c>
      <c r="AA92" s="11" t="str">
        <f>IFERROR(__xludf.DUMMYFUNCTION("""COMPUTED_VALUE"""),"")</f>
        <v/>
      </c>
      <c r="AB92" s="32">
        <f>IFERROR(__xludf.DUMMYFUNCTION("""COMPUTED_VALUE"""),23.0)</f>
        <v>23</v>
      </c>
      <c r="AC92" s="32" t="str">
        <f>IFERROR(__xludf.DUMMYFUNCTION("""COMPUTED_VALUE"""),"P 8172 UF")</f>
        <v>P 8172 UF</v>
      </c>
      <c r="AD92" s="32" t="str">
        <f>IFERROR(__xludf.DUMMYFUNCTION("""COMPUTED_VALUE"""),"TLPG TJ WANGI")</f>
        <v>TLPG TJ WANGI</v>
      </c>
      <c r="AE92" s="32">
        <f>IFERROR(__xludf.DUMMYFUNCTION("""COMPUTED_VALUE"""),12.0)</f>
        <v>12</v>
      </c>
      <c r="AF92" s="32" t="str">
        <f>IFERROR(__xludf.DUMMYFUNCTION("""COMPUTED_VALUE"""),"Data Company Belum Ada")</f>
        <v>Data Company Belum Ada</v>
      </c>
    </row>
    <row r="93">
      <c r="A93" s="9" t="str">
        <f>IFERROR(__xludf.DUMMYFUNCTION("""COMPUTED_VALUE"""),"AG 8893 YK")</f>
        <v>AG 8893 YK</v>
      </c>
      <c r="B93" s="9" t="str">
        <f>IFERROR(__xludf.DUMMYFUNCTION("""COMPUTED_VALUE"""),"TLPG TJ PERAK")</f>
        <v>TLPG TJ PERAK</v>
      </c>
      <c r="C93" s="9" t="str">
        <f>IFERROR(__xludf.DUMMYFUNCTION("""COMPUTED_VALUE"""),"PT BINTANG CIPTA PERSADA")</f>
        <v>PT BINTANG CIPTA PERSADA</v>
      </c>
      <c r="D93" s="11">
        <f>IFERROR(__xludf.DUMMYFUNCTION("""COMPUTED_VALUE"""),126.9)</f>
        <v>126.9</v>
      </c>
      <c r="E93" s="11" t="str">
        <f>IFERROR(__xludf.DUMMYFUNCTION("""COMPUTED_VALUE"""),"SEDANG")</f>
        <v>SEDANG</v>
      </c>
      <c r="F93" s="11">
        <f>IFERROR(__xludf.DUMMYFUNCTION("""COMPUTED_VALUE"""),2.0)</f>
        <v>2</v>
      </c>
      <c r="G93" s="11">
        <f>IFERROR(__xludf.DUMMYFUNCTION("""COMPUTED_VALUE"""),5.0)</f>
        <v>5</v>
      </c>
      <c r="H93" s="11">
        <f>IFERROR(__xludf.DUMMYFUNCTION("""COMPUTED_VALUE"""),8.0)</f>
        <v>8</v>
      </c>
      <c r="I93" s="11">
        <v>8.0</v>
      </c>
      <c r="J93" s="11">
        <f>IFERROR(__xludf.DUMMYFUNCTION("""COMPUTED_VALUE"""),24.0)</f>
        <v>24</v>
      </c>
      <c r="K93" s="11" t="str">
        <f>IFERROR(__xludf.DUMMYFUNCTION("""COMPUTED_VALUE"""),"B 9088 SEI")</f>
        <v>B 9088 SEI</v>
      </c>
      <c r="L93" s="11" t="str">
        <f>IFERROR(__xludf.DUMMYFUNCTION("""COMPUTED_VALUE"""),"TLPG MEM GRESIK")</f>
        <v>TLPG MEM GRESIK</v>
      </c>
      <c r="M93" s="11">
        <f>IFERROR(__xludf.DUMMYFUNCTION("""COMPUTED_VALUE"""),9.0)</f>
        <v>9</v>
      </c>
      <c r="N93" s="11" t="str">
        <f>IFERROR(__xludf.DUMMYFUNCTION("""COMPUTED_VALUE"""),"PT PATRA NIAGA")</f>
        <v>PT PATRA NIAGA</v>
      </c>
      <c r="O93" s="11" t="str">
        <f>IFERROR(__xludf.DUMMYFUNCTION("""COMPUTED_VALUE"""),"")</f>
        <v/>
      </c>
      <c r="P93" s="20">
        <f>IFERROR(__xludf.DUMMYFUNCTION("""COMPUTED_VALUE"""),24.0)</f>
        <v>24</v>
      </c>
      <c r="Q93" s="20" t="str">
        <f>IFERROR(__xludf.DUMMYFUNCTION("""COMPUTED_VALUE"""),"B 9883 SFU")</f>
        <v>B 9883 SFU</v>
      </c>
      <c r="R93" s="20" t="str">
        <f>IFERROR(__xludf.DUMMYFUNCTION("""COMPUTED_VALUE"""),"TLPG MEM GRESIK")</f>
        <v>TLPG MEM GRESIK</v>
      </c>
      <c r="S93" s="20">
        <f>IFERROR(__xludf.DUMMYFUNCTION("""COMPUTED_VALUE"""),10.0)</f>
        <v>10</v>
      </c>
      <c r="T93" s="20" t="str">
        <f>IFERROR(__xludf.DUMMYFUNCTION("""COMPUTED_VALUE"""),"PT PATRA NIAGA")</f>
        <v>PT PATRA NIAGA</v>
      </c>
      <c r="U93" s="11" t="str">
        <f>IFERROR(__xludf.DUMMYFUNCTION("""COMPUTED_VALUE"""),"")</f>
        <v/>
      </c>
      <c r="V93" s="11">
        <f>IFERROR(__xludf.DUMMYFUNCTION("""COMPUTED_VALUE"""),24.0)</f>
        <v>24</v>
      </c>
      <c r="W93" s="11" t="str">
        <f>IFERROR(__xludf.DUMMYFUNCTION("""COMPUTED_VALUE"""),"B 9881 SFU")</f>
        <v>B 9881 SFU</v>
      </c>
      <c r="X93" s="11" t="str">
        <f>IFERROR(__xludf.DUMMYFUNCTION("""COMPUTED_VALUE"""),"TLPG MEM GRESIK")</f>
        <v>TLPG MEM GRESIK</v>
      </c>
      <c r="Y93" s="11">
        <f>IFERROR(__xludf.DUMMYFUNCTION("""COMPUTED_VALUE"""),11.0)</f>
        <v>11</v>
      </c>
      <c r="Z93" s="11" t="str">
        <f>IFERROR(__xludf.DUMMYFUNCTION("""COMPUTED_VALUE"""),"PT PATRA NIAGA")</f>
        <v>PT PATRA NIAGA</v>
      </c>
      <c r="AA93" s="11" t="str">
        <f>IFERROR(__xludf.DUMMYFUNCTION("""COMPUTED_VALUE"""),"")</f>
        <v/>
      </c>
      <c r="AB93" s="32">
        <f>IFERROR(__xludf.DUMMYFUNCTION("""COMPUTED_VALUE"""),24.0)</f>
        <v>24</v>
      </c>
      <c r="AC93" s="32" t="str">
        <f>IFERROR(__xludf.DUMMYFUNCTION("""COMPUTED_VALUE"""),"L 8088 UR")</f>
        <v>L 8088 UR</v>
      </c>
      <c r="AD93" s="32" t="str">
        <f>IFERROR(__xludf.DUMMYFUNCTION("""COMPUTED_VALUE"""),"TLPG MEM GRESIK")</f>
        <v>TLPG MEM GRESIK</v>
      </c>
      <c r="AE93" s="32">
        <f>IFERROR(__xludf.DUMMYFUNCTION("""COMPUTED_VALUE"""),12.0)</f>
        <v>12</v>
      </c>
      <c r="AF93" s="32" t="str">
        <f>IFERROR(__xludf.DUMMYFUNCTION("""COMPUTED_VALUE"""),"PT PATRA NIAGA")</f>
        <v>PT PATRA NIAGA</v>
      </c>
    </row>
    <row r="94">
      <c r="A94" s="9" t="str">
        <f>IFERROR(__xludf.DUMMYFUNCTION("""COMPUTED_VALUE"""),"AG 8086 UF")</f>
        <v>AG 8086 UF</v>
      </c>
      <c r="B94" s="9" t="str">
        <f>IFERROR(__xludf.DUMMYFUNCTION("""COMPUTED_VALUE"""),"TLPG TJ PERAK")</f>
        <v>TLPG TJ PERAK</v>
      </c>
      <c r="C94" s="9" t="str">
        <f>IFERROR(__xludf.DUMMYFUNCTION("""COMPUTED_VALUE"""),"PT DIAN RAMA GAS")</f>
        <v>PT DIAN RAMA GAS</v>
      </c>
      <c r="D94" s="11">
        <f>IFERROR(__xludf.DUMMYFUNCTION("""COMPUTED_VALUE"""),125.6)</f>
        <v>125.6</v>
      </c>
      <c r="E94" s="11" t="str">
        <f>IFERROR(__xludf.DUMMYFUNCTION("""COMPUTED_VALUE"""),"SEDANG")</f>
        <v>SEDANG</v>
      </c>
      <c r="F94" s="11">
        <f>IFERROR(__xludf.DUMMYFUNCTION("""COMPUTED_VALUE"""),2.0)</f>
        <v>2</v>
      </c>
      <c r="G94" s="11">
        <f>IFERROR(__xludf.DUMMYFUNCTION("""COMPUTED_VALUE"""),3.0)</f>
        <v>3</v>
      </c>
      <c r="H94" s="11">
        <f>IFERROR(__xludf.DUMMYFUNCTION("""COMPUTED_VALUE"""),9.0)</f>
        <v>9</v>
      </c>
      <c r="I94" s="11">
        <v>9.0</v>
      </c>
      <c r="J94" s="11">
        <f>IFERROR(__xludf.DUMMYFUNCTION("""COMPUTED_VALUE"""),25.0)</f>
        <v>25</v>
      </c>
      <c r="K94" s="11" t="str">
        <f>IFERROR(__xludf.DUMMYFUNCTION("""COMPUTED_VALUE"""),"B 9882 SFU")</f>
        <v>B 9882 SFU</v>
      </c>
      <c r="L94" s="11" t="str">
        <f>IFERROR(__xludf.DUMMYFUNCTION("""COMPUTED_VALUE"""),"TLPG MEM GRESIK")</f>
        <v>TLPG MEM GRESIK</v>
      </c>
      <c r="M94" s="11">
        <f>IFERROR(__xludf.DUMMYFUNCTION("""COMPUTED_VALUE"""),9.0)</f>
        <v>9</v>
      </c>
      <c r="N94" s="11" t="str">
        <f>IFERROR(__xludf.DUMMYFUNCTION("""COMPUTED_VALUE"""),"PT PATRA NIAGA")</f>
        <v>PT PATRA NIAGA</v>
      </c>
      <c r="O94" s="11" t="str">
        <f>IFERROR(__xludf.DUMMYFUNCTION("""COMPUTED_VALUE"""),"")</f>
        <v/>
      </c>
      <c r="P94" s="20">
        <f>IFERROR(__xludf.DUMMYFUNCTION("""COMPUTED_VALUE"""),25.0)</f>
        <v>25</v>
      </c>
      <c r="Q94" s="20" t="str">
        <f>IFERROR(__xludf.DUMMYFUNCTION("""COMPUTED_VALUE"""),"B 9717 SFU")</f>
        <v>B 9717 SFU</v>
      </c>
      <c r="R94" s="20" t="str">
        <f>IFERROR(__xludf.DUMMYFUNCTION("""COMPUTED_VALUE"""),"TLPG MEM GRESIK")</f>
        <v>TLPG MEM GRESIK</v>
      </c>
      <c r="S94" s="20">
        <f>IFERROR(__xludf.DUMMYFUNCTION("""COMPUTED_VALUE"""),10.0)</f>
        <v>10</v>
      </c>
      <c r="T94" s="20" t="str">
        <f>IFERROR(__xludf.DUMMYFUNCTION("""COMPUTED_VALUE"""),"PT PATRA NIAGA")</f>
        <v>PT PATRA NIAGA</v>
      </c>
      <c r="U94" s="11" t="str">
        <f>IFERROR(__xludf.DUMMYFUNCTION("""COMPUTED_VALUE"""),"")</f>
        <v/>
      </c>
      <c r="V94" s="11">
        <f>IFERROR(__xludf.DUMMYFUNCTION("""COMPUTED_VALUE"""),25.0)</f>
        <v>25</v>
      </c>
      <c r="W94" s="11" t="str">
        <f>IFERROR(__xludf.DUMMYFUNCTION("""COMPUTED_VALUE"""),"L 8079 UQ")</f>
        <v>L 8079 UQ</v>
      </c>
      <c r="X94" s="11" t="str">
        <f>IFERROR(__xludf.DUMMYFUNCTION("""COMPUTED_VALUE"""),"TLPG MEM GRESIK")</f>
        <v>TLPG MEM GRESIK</v>
      </c>
      <c r="Y94" s="11">
        <f>IFERROR(__xludf.DUMMYFUNCTION("""COMPUTED_VALUE"""),11.0)</f>
        <v>11</v>
      </c>
      <c r="Z94" s="11" t="str">
        <f>IFERROR(__xludf.DUMMYFUNCTION("""COMPUTED_VALUE"""),"PT PATRA NIAGA")</f>
        <v>PT PATRA NIAGA</v>
      </c>
      <c r="AA94" s="11" t="str">
        <f>IFERROR(__xludf.DUMMYFUNCTION("""COMPUTED_VALUE"""),"")</f>
        <v/>
      </c>
      <c r="AB94" s="32">
        <f>IFERROR(__xludf.DUMMYFUNCTION("""COMPUTED_VALUE"""),25.0)</f>
        <v>25</v>
      </c>
      <c r="AC94" s="32" t="str">
        <f>IFERROR(__xludf.DUMMYFUNCTION("""COMPUTED_VALUE"""),"P 8257 UH")</f>
        <v>P 8257 UH</v>
      </c>
      <c r="AD94" s="32" t="str">
        <f>IFERROR(__xludf.DUMMYFUNCTION("""COMPUTED_VALUE"""),"TLPG TJ WANGI")</f>
        <v>TLPG TJ WANGI</v>
      </c>
      <c r="AE94" s="32">
        <f>IFERROR(__xludf.DUMMYFUNCTION("""COMPUTED_VALUE"""),12.0)</f>
        <v>12</v>
      </c>
      <c r="AF94" s="32" t="str">
        <f>IFERROR(__xludf.DUMMYFUNCTION("""COMPUTED_VALUE"""),"Data Company Belum Ada")</f>
        <v>Data Company Belum Ada</v>
      </c>
    </row>
    <row r="95">
      <c r="A95" s="9" t="str">
        <f>IFERROR(__xludf.DUMMYFUNCTION("""COMPUTED_VALUE"""),"AG 8087 UF")</f>
        <v>AG 8087 UF</v>
      </c>
      <c r="B95" s="9" t="str">
        <f>IFERROR(__xludf.DUMMYFUNCTION("""COMPUTED_VALUE"""),"TLPG TJ PERAK")</f>
        <v>TLPG TJ PERAK</v>
      </c>
      <c r="C95" s="9" t="str">
        <f>IFERROR(__xludf.DUMMYFUNCTION("""COMPUTED_VALUE"""),"PT DIAN RAMA GAS")</f>
        <v>PT DIAN RAMA GAS</v>
      </c>
      <c r="D95" s="11">
        <f>IFERROR(__xludf.DUMMYFUNCTION("""COMPUTED_VALUE"""),125.6)</f>
        <v>125.6</v>
      </c>
      <c r="E95" s="11" t="str">
        <f>IFERROR(__xludf.DUMMYFUNCTION("""COMPUTED_VALUE"""),"SEDANG")</f>
        <v>SEDANG</v>
      </c>
      <c r="F95" s="11">
        <f>IFERROR(__xludf.DUMMYFUNCTION("""COMPUTED_VALUE"""),2.0)</f>
        <v>2</v>
      </c>
      <c r="G95" s="11">
        <f>IFERROR(__xludf.DUMMYFUNCTION("""COMPUTED_VALUE"""),3.0)</f>
        <v>3</v>
      </c>
      <c r="H95" s="11">
        <f>IFERROR(__xludf.DUMMYFUNCTION("""COMPUTED_VALUE"""),10.0)</f>
        <v>10</v>
      </c>
      <c r="I95" s="11">
        <v>10.0</v>
      </c>
      <c r="J95" s="11">
        <f>IFERROR(__xludf.DUMMYFUNCTION("""COMPUTED_VALUE"""),26.0)</f>
        <v>26</v>
      </c>
      <c r="K95" s="11" t="str">
        <f>IFERROR(__xludf.DUMMYFUNCTION("""COMPUTED_VALUE"""),"DR 8304 WZ")</f>
        <v>DR 8304 WZ</v>
      </c>
      <c r="L95" s="11" t="str">
        <f>IFERROR(__xludf.DUMMYFUNCTION("""COMPUTED_VALUE"""),"TLPG BIMA")</f>
        <v>TLPG BIMA</v>
      </c>
      <c r="M95" s="11">
        <f>IFERROR(__xludf.DUMMYFUNCTION("""COMPUTED_VALUE"""),9.0)</f>
        <v>9</v>
      </c>
      <c r="N95" s="11" t="str">
        <f>IFERROR(__xludf.DUMMYFUNCTION("""COMPUTED_VALUE"""),"Data Company Belum Ada")</f>
        <v>Data Company Belum Ada</v>
      </c>
      <c r="O95" s="11" t="str">
        <f>IFERROR(__xludf.DUMMYFUNCTION("""COMPUTED_VALUE"""),"")</f>
        <v/>
      </c>
      <c r="P95" s="20">
        <f>IFERROR(__xludf.DUMMYFUNCTION("""COMPUTED_VALUE"""),26.0)</f>
        <v>26</v>
      </c>
      <c r="Q95" s="20" t="str">
        <f>IFERROR(__xludf.DUMMYFUNCTION("""COMPUTED_VALUE"""),"P 8150 UF")</f>
        <v>P 8150 UF</v>
      </c>
      <c r="R95" s="20" t="str">
        <f>IFERROR(__xludf.DUMMYFUNCTION("""COMPUTED_VALUE"""),"TLPG TJ WANGI")</f>
        <v>TLPG TJ WANGI</v>
      </c>
      <c r="S95" s="20">
        <f>IFERROR(__xludf.DUMMYFUNCTION("""COMPUTED_VALUE"""),10.0)</f>
        <v>10</v>
      </c>
      <c r="T95" s="20" t="str">
        <f>IFERROR(__xludf.DUMMYFUNCTION("""COMPUTED_VALUE"""),"Data Company Belum Ada")</f>
        <v>Data Company Belum Ada</v>
      </c>
      <c r="U95" s="11" t="str">
        <f>IFERROR(__xludf.DUMMYFUNCTION("""COMPUTED_VALUE"""),"")</f>
        <v/>
      </c>
      <c r="V95" s="11">
        <f>IFERROR(__xludf.DUMMYFUNCTION("""COMPUTED_VALUE"""),26.0)</f>
        <v>26</v>
      </c>
      <c r="W95" s="11" t="str">
        <f>IFERROR(__xludf.DUMMYFUNCTION("""COMPUTED_VALUE"""),"EA 8678 SC")</f>
        <v>EA 8678 SC</v>
      </c>
      <c r="X95" s="11" t="str">
        <f>IFERROR(__xludf.DUMMYFUNCTION("""COMPUTED_VALUE"""),"TLPG BIMA")</f>
        <v>TLPG BIMA</v>
      </c>
      <c r="Y95" s="11">
        <f>IFERROR(__xludf.DUMMYFUNCTION("""COMPUTED_VALUE"""),11.0)</f>
        <v>11</v>
      </c>
      <c r="Z95" s="11" t="str">
        <f>IFERROR(__xludf.DUMMYFUNCTION("""COMPUTED_VALUE"""),"Data Company Belum Ada")</f>
        <v>Data Company Belum Ada</v>
      </c>
      <c r="AA95" s="11" t="str">
        <f>IFERROR(__xludf.DUMMYFUNCTION("""COMPUTED_VALUE"""),"")</f>
        <v/>
      </c>
      <c r="AB95" s="32">
        <f>IFERROR(__xludf.DUMMYFUNCTION("""COMPUTED_VALUE"""),26.0)</f>
        <v>26</v>
      </c>
      <c r="AC95" s="32" t="str">
        <f>IFERROR(__xludf.DUMMYFUNCTION("""COMPUTED_VALUE"""),"P 8360 UG")</f>
        <v>P 8360 UG</v>
      </c>
      <c r="AD95" s="32" t="str">
        <f>IFERROR(__xludf.DUMMYFUNCTION("""COMPUTED_VALUE"""),"TLPG TJ WANGI")</f>
        <v>TLPG TJ WANGI</v>
      </c>
      <c r="AE95" s="32">
        <f>IFERROR(__xludf.DUMMYFUNCTION("""COMPUTED_VALUE"""),12.0)</f>
        <v>12</v>
      </c>
      <c r="AF95" s="32" t="str">
        <f>IFERROR(__xludf.DUMMYFUNCTION("""COMPUTED_VALUE"""),"Data Company Belum Ada")</f>
        <v>Data Company Belum Ada</v>
      </c>
    </row>
    <row r="96">
      <c r="A96" s="9" t="str">
        <f>IFERROR(__xludf.DUMMYFUNCTION("""COMPUTED_VALUE"""),"AG 8088 UF")</f>
        <v>AG 8088 UF</v>
      </c>
      <c r="B96" s="9" t="str">
        <f>IFERROR(__xludf.DUMMYFUNCTION("""COMPUTED_VALUE"""),"TLPG TJ PERAK")</f>
        <v>TLPG TJ PERAK</v>
      </c>
      <c r="C96" s="9" t="str">
        <f>IFERROR(__xludf.DUMMYFUNCTION("""COMPUTED_VALUE"""),"PT DIAN RAMA GAS")</f>
        <v>PT DIAN RAMA GAS</v>
      </c>
      <c r="D96" s="11">
        <f>IFERROR(__xludf.DUMMYFUNCTION("""COMPUTED_VALUE"""),125.6)</f>
        <v>125.6</v>
      </c>
      <c r="E96" s="11" t="str">
        <f>IFERROR(__xludf.DUMMYFUNCTION("""COMPUTED_VALUE"""),"SEDANG")</f>
        <v>SEDANG</v>
      </c>
      <c r="F96" s="11">
        <f>IFERROR(__xludf.DUMMYFUNCTION("""COMPUTED_VALUE"""),2.0)</f>
        <v>2</v>
      </c>
      <c r="G96" s="11">
        <f>IFERROR(__xludf.DUMMYFUNCTION("""COMPUTED_VALUE"""),3.0)</f>
        <v>3</v>
      </c>
      <c r="H96" s="11">
        <f>IFERROR(__xludf.DUMMYFUNCTION("""COMPUTED_VALUE"""),11.0)</f>
        <v>11</v>
      </c>
      <c r="I96" s="11">
        <v>11.0</v>
      </c>
      <c r="J96" s="11">
        <f>IFERROR(__xludf.DUMMYFUNCTION("""COMPUTED_VALUE"""),27.0)</f>
        <v>27</v>
      </c>
      <c r="K96" s="11" t="str">
        <f>IFERROR(__xludf.DUMMYFUNCTION("""COMPUTED_VALUE"""),"B 9870 SFV")</f>
        <v>B 9870 SFV</v>
      </c>
      <c r="L96" s="11" t="str">
        <f>IFERROR(__xludf.DUMMYFUNCTION("""COMPUTED_VALUE"""),"TLPG MEM GRESIK")</f>
        <v>TLPG MEM GRESIK</v>
      </c>
      <c r="M96" s="11">
        <f>IFERROR(__xludf.DUMMYFUNCTION("""COMPUTED_VALUE"""),9.0)</f>
        <v>9</v>
      </c>
      <c r="N96" s="11" t="str">
        <f>IFERROR(__xludf.DUMMYFUNCTION("""COMPUTED_VALUE"""),"PT PATRA LOGISTIK")</f>
        <v>PT PATRA LOGISTIK</v>
      </c>
      <c r="O96" s="11" t="str">
        <f>IFERROR(__xludf.DUMMYFUNCTION("""COMPUTED_VALUE"""),"")</f>
        <v/>
      </c>
      <c r="P96" s="20">
        <f>IFERROR(__xludf.DUMMYFUNCTION("""COMPUTED_VALUE"""),27.0)</f>
        <v>27</v>
      </c>
      <c r="Q96" s="20" t="str">
        <f>IFERROR(__xludf.DUMMYFUNCTION("""COMPUTED_VALUE"""),"B 9202 TEK")</f>
        <v>B 9202 TEK</v>
      </c>
      <c r="R96" s="20" t="str">
        <f>IFERROR(__xludf.DUMMYFUNCTION("""COMPUTED_VALUE"""),"TLPG MEM GRESIK")</f>
        <v>TLPG MEM GRESIK</v>
      </c>
      <c r="S96" s="20">
        <f>IFERROR(__xludf.DUMMYFUNCTION("""COMPUTED_VALUE"""),10.0)</f>
        <v>10</v>
      </c>
      <c r="T96" s="20" t="str">
        <f>IFERROR(__xludf.DUMMYFUNCTION("""COMPUTED_VALUE"""),"PT ADAM TRANS")</f>
        <v>PT ADAM TRANS</v>
      </c>
      <c r="U96" s="11" t="str">
        <f>IFERROR(__xludf.DUMMYFUNCTION("""COMPUTED_VALUE"""),"")</f>
        <v/>
      </c>
      <c r="V96" s="11">
        <f>IFERROR(__xludf.DUMMYFUNCTION("""COMPUTED_VALUE"""),27.0)</f>
        <v>27</v>
      </c>
      <c r="W96" s="11" t="str">
        <f>IFERROR(__xludf.DUMMYFUNCTION("""COMPUTED_VALUE"""),"DK 8305 BW")</f>
        <v>DK 8305 BW</v>
      </c>
      <c r="X96" s="11" t="str">
        <f>IFERROR(__xludf.DUMMYFUNCTION("""COMPUTED_VALUE"""),"TLPG MANGGIS")</f>
        <v>TLPG MANGGIS</v>
      </c>
      <c r="Y96" s="11">
        <f>IFERROR(__xludf.DUMMYFUNCTION("""COMPUTED_VALUE"""),11.0)</f>
        <v>11</v>
      </c>
      <c r="Z96" s="11" t="str">
        <f>IFERROR(__xludf.DUMMYFUNCTION("""COMPUTED_VALUE"""),"Data Company Belum Ada")</f>
        <v>Data Company Belum Ada</v>
      </c>
      <c r="AA96" s="11" t="str">
        <f>IFERROR(__xludf.DUMMYFUNCTION("""COMPUTED_VALUE"""),"")</f>
        <v/>
      </c>
      <c r="AB96" s="32">
        <f>IFERROR(__xludf.DUMMYFUNCTION("""COMPUTED_VALUE"""),27.0)</f>
        <v>27</v>
      </c>
      <c r="AC96" s="32" t="str">
        <f>IFERROR(__xludf.DUMMYFUNCTION("""COMPUTED_VALUE"""),"B 9069 SEJ")</f>
        <v>B 9069 SEJ</v>
      </c>
      <c r="AD96" s="32" t="str">
        <f>IFERROR(__xludf.DUMMYFUNCTION("""COMPUTED_VALUE"""),"TLPG TJ WANGI")</f>
        <v>TLPG TJ WANGI</v>
      </c>
      <c r="AE96" s="32">
        <f>IFERROR(__xludf.DUMMYFUNCTION("""COMPUTED_VALUE"""),12.0)</f>
        <v>12</v>
      </c>
      <c r="AF96" s="32" t="str">
        <f>IFERROR(__xludf.DUMMYFUNCTION("""COMPUTED_VALUE"""),"Data Company Belum Ada")</f>
        <v>Data Company Belum Ada</v>
      </c>
    </row>
    <row r="97">
      <c r="A97" s="9" t="str">
        <f>IFERROR(__xludf.DUMMYFUNCTION("""COMPUTED_VALUE"""),"L 8036 UUB")</f>
        <v>L 8036 UUB</v>
      </c>
      <c r="B97" s="9" t="str">
        <f>IFERROR(__xludf.DUMMYFUNCTION("""COMPUTED_VALUE"""),"TLPG MEM GRESIK")</f>
        <v>TLPG MEM GRESIK</v>
      </c>
      <c r="C97" s="9" t="str">
        <f>IFERROR(__xludf.DUMMYFUNCTION("""COMPUTED_VALUE"""),"PT KARYA USAHA LESTARI")</f>
        <v>PT KARYA USAHA LESTARI</v>
      </c>
      <c r="D97" s="11">
        <f>IFERROR(__xludf.DUMMYFUNCTION("""COMPUTED_VALUE"""),125.5)</f>
        <v>125.5</v>
      </c>
      <c r="E97" s="11" t="str">
        <f>IFERROR(__xludf.DUMMYFUNCTION("""COMPUTED_VALUE"""),"SEDANG")</f>
        <v>SEDANG</v>
      </c>
      <c r="F97" s="11">
        <f>IFERROR(__xludf.DUMMYFUNCTION("""COMPUTED_VALUE"""),2.0)</f>
        <v>2</v>
      </c>
      <c r="G97" s="11">
        <f>IFERROR(__xludf.DUMMYFUNCTION("""COMPUTED_VALUE"""),5.0)</f>
        <v>5</v>
      </c>
      <c r="H97" s="11">
        <f>IFERROR(__xludf.DUMMYFUNCTION("""COMPUTED_VALUE"""),12.0)</f>
        <v>12</v>
      </c>
      <c r="I97" s="11">
        <v>12.0</v>
      </c>
      <c r="J97" s="11">
        <f>IFERROR(__xludf.DUMMYFUNCTION("""COMPUTED_VALUE"""),28.0)</f>
        <v>28</v>
      </c>
      <c r="K97" s="11" t="str">
        <f>IFERROR(__xludf.DUMMYFUNCTION("""COMPUTED_VALUE"""),"DK 8053 DN")</f>
        <v>DK 8053 DN</v>
      </c>
      <c r="L97" s="11" t="str">
        <f>IFERROR(__xludf.DUMMYFUNCTION("""COMPUTED_VALUE"""),"TLPG MANGGIS")</f>
        <v>TLPG MANGGIS</v>
      </c>
      <c r="M97" s="11">
        <f>IFERROR(__xludf.DUMMYFUNCTION("""COMPUTED_VALUE"""),9.0)</f>
        <v>9</v>
      </c>
      <c r="N97" s="11" t="str">
        <f>IFERROR(__xludf.DUMMYFUNCTION("""COMPUTED_VALUE"""),"Data Company Belum Ada")</f>
        <v>Data Company Belum Ada</v>
      </c>
      <c r="O97" s="11" t="str">
        <f>IFERROR(__xludf.DUMMYFUNCTION("""COMPUTED_VALUE"""),"")</f>
        <v/>
      </c>
      <c r="P97" s="20">
        <f>IFERROR(__xludf.DUMMYFUNCTION("""COMPUTED_VALUE"""),28.0)</f>
        <v>28</v>
      </c>
      <c r="Q97" s="20" t="str">
        <f>IFERROR(__xludf.DUMMYFUNCTION("""COMPUTED_VALUE"""),"EA 8670 SC")</f>
        <v>EA 8670 SC</v>
      </c>
      <c r="R97" s="20" t="str">
        <f>IFERROR(__xludf.DUMMYFUNCTION("""COMPUTED_VALUE"""),"TLPG BIMA")</f>
        <v>TLPG BIMA</v>
      </c>
      <c r="S97" s="20">
        <f>IFERROR(__xludf.DUMMYFUNCTION("""COMPUTED_VALUE"""),10.0)</f>
        <v>10</v>
      </c>
      <c r="T97" s="20" t="str">
        <f>IFERROR(__xludf.DUMMYFUNCTION("""COMPUTED_VALUE"""),"PT. BIMA OIL INTERNUSA")</f>
        <v>PT. BIMA OIL INTERNUSA</v>
      </c>
      <c r="U97" s="11" t="str">
        <f>IFERROR(__xludf.DUMMYFUNCTION("""COMPUTED_VALUE"""),"")</f>
        <v/>
      </c>
      <c r="V97" s="11">
        <f>IFERROR(__xludf.DUMMYFUNCTION("""COMPUTED_VALUE"""),28.0)</f>
        <v>28</v>
      </c>
      <c r="W97" s="11" t="str">
        <f>IFERROR(__xludf.DUMMYFUNCTION("""COMPUTED_VALUE"""),"B 9871 SFV")</f>
        <v>B 9871 SFV</v>
      </c>
      <c r="X97" s="11" t="str">
        <f>IFERROR(__xludf.DUMMYFUNCTION("""COMPUTED_VALUE"""),"TLPG MEM GRESIK")</f>
        <v>TLPG MEM GRESIK</v>
      </c>
      <c r="Y97" s="11">
        <f>IFERROR(__xludf.DUMMYFUNCTION("""COMPUTED_VALUE"""),11.0)</f>
        <v>11</v>
      </c>
      <c r="Z97" s="11" t="str">
        <f>IFERROR(__xludf.DUMMYFUNCTION("""COMPUTED_VALUE"""),"PT PATRA LOGISTIK")</f>
        <v>PT PATRA LOGISTIK</v>
      </c>
      <c r="AA97" s="11" t="str">
        <f>IFERROR(__xludf.DUMMYFUNCTION("""COMPUTED_VALUE"""),"")</f>
        <v/>
      </c>
      <c r="AB97" s="32">
        <f>IFERROR(__xludf.DUMMYFUNCTION("""COMPUTED_VALUE"""),28.0)</f>
        <v>28</v>
      </c>
      <c r="AC97" s="32" t="str">
        <f>IFERROR(__xludf.DUMMYFUNCTION("""COMPUTED_VALUE"""),"EA 8671 SC")</f>
        <v>EA 8671 SC</v>
      </c>
      <c r="AD97" s="32" t="str">
        <f>IFERROR(__xludf.DUMMYFUNCTION("""COMPUTED_VALUE"""),"TLPG BIMA")</f>
        <v>TLPG BIMA</v>
      </c>
      <c r="AE97" s="32">
        <f>IFERROR(__xludf.DUMMYFUNCTION("""COMPUTED_VALUE"""),12.0)</f>
        <v>12</v>
      </c>
      <c r="AF97" s="32" t="str">
        <f>IFERROR(__xludf.DUMMYFUNCTION("""COMPUTED_VALUE"""),"PT. BIMA OIL INTERNUSA")</f>
        <v>PT. BIMA OIL INTERNUSA</v>
      </c>
    </row>
    <row r="98">
      <c r="A98" s="9" t="str">
        <f>IFERROR(__xludf.DUMMYFUNCTION("""COMPUTED_VALUE"""),"P 8087 GG")</f>
        <v>P 8087 GG</v>
      </c>
      <c r="B98" s="9" t="str">
        <f>IFERROR(__xludf.DUMMYFUNCTION("""COMPUTED_VALUE"""),"TLPG TJ WANGI")</f>
        <v>TLPG TJ WANGI</v>
      </c>
      <c r="C98" s="9" t="str">
        <f>IFERROR(__xludf.DUMMYFUNCTION("""COMPUTED_VALUE"""),"PT BUMI GASINDO RAYA")</f>
        <v>PT BUMI GASINDO RAYA</v>
      </c>
      <c r="D98" s="11">
        <f>IFERROR(__xludf.DUMMYFUNCTION("""COMPUTED_VALUE"""),125.4)</f>
        <v>125.4</v>
      </c>
      <c r="E98" s="11" t="str">
        <f>IFERROR(__xludf.DUMMYFUNCTION("""COMPUTED_VALUE"""),"SEDANG")</f>
        <v>SEDANG</v>
      </c>
      <c r="F98" s="11">
        <f>IFERROR(__xludf.DUMMYFUNCTION("""COMPUTED_VALUE"""),2.0)</f>
        <v>2</v>
      </c>
      <c r="G98" s="11">
        <f>IFERROR(__xludf.DUMMYFUNCTION("""COMPUTED_VALUE"""),7.0)</f>
        <v>7</v>
      </c>
      <c r="H98" s="11">
        <f>IFERROR(__xludf.DUMMYFUNCTION("""COMPUTED_VALUE"""),1.0)</f>
        <v>1</v>
      </c>
      <c r="I98" s="11">
        <v>1.0</v>
      </c>
      <c r="J98" s="11" t="str">
        <f>IFERROR(__xludf.DUMMYFUNCTION("""COMPUTED_VALUE"""),"")</f>
        <v/>
      </c>
      <c r="K98" s="11" t="str">
        <f>IFERROR(__xludf.DUMMYFUNCTION("""COMPUTED_VALUE"""),"")</f>
        <v/>
      </c>
      <c r="L98" s="11" t="str">
        <f>IFERROR(__xludf.DUMMYFUNCTION("""COMPUTED_VALUE"""),"")</f>
        <v/>
      </c>
      <c r="M98" s="11" t="str">
        <f>IFERROR(__xludf.DUMMYFUNCTION("""COMPUTED_VALUE"""),"")</f>
        <v/>
      </c>
      <c r="N98" s="11" t="str">
        <f>IFERROR(__xludf.DUMMYFUNCTION("""COMPUTED_VALUE"""),"")</f>
        <v/>
      </c>
      <c r="O98" s="11" t="str">
        <f>IFERROR(__xludf.DUMMYFUNCTION("""COMPUTED_VALUE"""),"")</f>
        <v/>
      </c>
      <c r="P98" s="11">
        <f>IFERROR(__xludf.DUMMYFUNCTION("""COMPUTED_VALUE"""),29.0)</f>
        <v>29</v>
      </c>
      <c r="Q98" s="11" t="str">
        <f>IFERROR(__xludf.DUMMYFUNCTION("""COMPUTED_VALUE"""),"L 8229 NF")</f>
        <v>L 8229 NF</v>
      </c>
      <c r="R98" s="11" t="str">
        <f>IFERROR(__xludf.DUMMYFUNCTION("""COMPUTED_VALUE"""),"TLPG TJ PERAK")</f>
        <v>TLPG TJ PERAK</v>
      </c>
      <c r="S98" s="11">
        <f>IFERROR(__xludf.DUMMYFUNCTION("""COMPUTED_VALUE"""),10.0)</f>
        <v>10</v>
      </c>
      <c r="T98" s="11" t="str">
        <f>IFERROR(__xludf.DUMMYFUNCTION("""COMPUTED_VALUE"""),"Data Company Belum Ada")</f>
        <v>Data Company Belum Ada</v>
      </c>
      <c r="U98" s="11" t="str">
        <f>IFERROR(__xludf.DUMMYFUNCTION("""COMPUTED_VALUE"""),"")</f>
        <v/>
      </c>
      <c r="V98" s="11" t="str">
        <f>IFERROR(__xludf.DUMMYFUNCTION("""COMPUTED_VALUE"""),"")</f>
        <v/>
      </c>
      <c r="W98" s="11" t="str">
        <f>IFERROR(__xludf.DUMMYFUNCTION("""COMPUTED_VALUE"""),"")</f>
        <v/>
      </c>
      <c r="X98" s="11" t="str">
        <f>IFERROR(__xludf.DUMMYFUNCTION("""COMPUTED_VALUE"""),"")</f>
        <v/>
      </c>
      <c r="Y98" s="11" t="str">
        <f>IFERROR(__xludf.DUMMYFUNCTION("""COMPUTED_VALUE"""),"")</f>
        <v/>
      </c>
      <c r="Z98" s="11" t="str">
        <f>IFERROR(__xludf.DUMMYFUNCTION("""COMPUTED_VALUE"""),"")</f>
        <v/>
      </c>
      <c r="AA98" s="11" t="str">
        <f>IFERROR(__xludf.DUMMYFUNCTION("""COMPUTED_VALUE"""),"")</f>
        <v/>
      </c>
      <c r="AB98" s="11" t="str">
        <f>IFERROR(__xludf.DUMMYFUNCTION("""COMPUTED_VALUE"""),"")</f>
        <v/>
      </c>
      <c r="AC98" s="11" t="str">
        <f>IFERROR(__xludf.DUMMYFUNCTION("""COMPUTED_VALUE"""),"")</f>
        <v/>
      </c>
      <c r="AD98" s="11" t="str">
        <f>IFERROR(__xludf.DUMMYFUNCTION("""COMPUTED_VALUE"""),"")</f>
        <v/>
      </c>
      <c r="AE98" s="11" t="str">
        <f>IFERROR(__xludf.DUMMYFUNCTION("""COMPUTED_VALUE"""),"")</f>
        <v/>
      </c>
      <c r="AF98" s="11" t="str">
        <f>IFERROR(__xludf.DUMMYFUNCTION("""COMPUTED_VALUE"""),"")</f>
        <v/>
      </c>
    </row>
    <row r="99">
      <c r="A99" s="9" t="str">
        <f>IFERROR(__xludf.DUMMYFUNCTION("""COMPUTED_VALUE"""),"P 8427 UG")</f>
        <v>P 8427 UG</v>
      </c>
      <c r="B99" s="9" t="str">
        <f>IFERROR(__xludf.DUMMYFUNCTION("""COMPUTED_VALUE"""),"TLPG TJ WANGI")</f>
        <v>TLPG TJ WANGI</v>
      </c>
      <c r="C99" s="9" t="str">
        <f>IFERROR(__xludf.DUMMYFUNCTION("""COMPUTED_VALUE"""),"PT BUMI GASINDO RAYA")</f>
        <v>PT BUMI GASINDO RAYA</v>
      </c>
      <c r="D99" s="11">
        <f>IFERROR(__xludf.DUMMYFUNCTION("""COMPUTED_VALUE"""),125.4)</f>
        <v>125.4</v>
      </c>
      <c r="E99" s="11" t="str">
        <f>IFERROR(__xludf.DUMMYFUNCTION("""COMPUTED_VALUE"""),"SEDANG")</f>
        <v>SEDANG</v>
      </c>
      <c r="F99" s="11">
        <f>IFERROR(__xludf.DUMMYFUNCTION("""COMPUTED_VALUE"""),2.0)</f>
        <v>2</v>
      </c>
      <c r="G99" s="11">
        <f>IFERROR(__xludf.DUMMYFUNCTION("""COMPUTED_VALUE"""),9.0)</f>
        <v>9</v>
      </c>
      <c r="H99" s="11">
        <f>IFERROR(__xludf.DUMMYFUNCTION("""COMPUTED_VALUE"""),2.0)</f>
        <v>2</v>
      </c>
      <c r="I99" s="11">
        <v>2.0</v>
      </c>
      <c r="J99" s="11" t="str">
        <f>IFERROR(__xludf.DUMMYFUNCTION("""COMPUTED_VALUE"""),"")</f>
        <v/>
      </c>
      <c r="K99" s="11" t="str">
        <f>IFERROR(__xludf.DUMMYFUNCTION("""COMPUTED_VALUE"""),"")</f>
        <v/>
      </c>
      <c r="L99" s="11" t="str">
        <f>IFERROR(__xludf.DUMMYFUNCTION("""COMPUTED_VALUE"""),"")</f>
        <v/>
      </c>
      <c r="M99" s="11" t="str">
        <f>IFERROR(__xludf.DUMMYFUNCTION("""COMPUTED_VALUE"""),"")</f>
        <v/>
      </c>
      <c r="N99" s="11" t="str">
        <f>IFERROR(__xludf.DUMMYFUNCTION("""COMPUTED_VALUE"""),"")</f>
        <v/>
      </c>
      <c r="O99" s="11" t="str">
        <f>IFERROR(__xludf.DUMMYFUNCTION("""COMPUTED_VALUE"""),"")</f>
        <v/>
      </c>
      <c r="P99" s="11" t="str">
        <f>IFERROR(__xludf.DUMMYFUNCTION("""COMPUTED_VALUE"""),"")</f>
        <v/>
      </c>
      <c r="Q99" s="11" t="str">
        <f>IFERROR(__xludf.DUMMYFUNCTION("""COMPUTED_VALUE"""),"")</f>
        <v/>
      </c>
      <c r="R99" s="11" t="str">
        <f>IFERROR(__xludf.DUMMYFUNCTION("""COMPUTED_VALUE"""),"")</f>
        <v/>
      </c>
      <c r="S99" s="11" t="str">
        <f>IFERROR(__xludf.DUMMYFUNCTION("""COMPUTED_VALUE"""),"")</f>
        <v/>
      </c>
      <c r="T99" s="11" t="str">
        <f>IFERROR(__xludf.DUMMYFUNCTION("""COMPUTED_VALUE"""),"")</f>
        <v/>
      </c>
      <c r="U99" s="11" t="str">
        <f>IFERROR(__xludf.DUMMYFUNCTION("""COMPUTED_VALUE"""),"")</f>
        <v/>
      </c>
      <c r="V99" s="11" t="str">
        <f>IFERROR(__xludf.DUMMYFUNCTION("""COMPUTED_VALUE"""),"")</f>
        <v/>
      </c>
      <c r="W99" s="11" t="str">
        <f>IFERROR(__xludf.DUMMYFUNCTION("""COMPUTED_VALUE"""),"")</f>
        <v/>
      </c>
      <c r="X99" s="11" t="str">
        <f>IFERROR(__xludf.DUMMYFUNCTION("""COMPUTED_VALUE"""),"")</f>
        <v/>
      </c>
      <c r="Y99" s="11" t="str">
        <f>IFERROR(__xludf.DUMMYFUNCTION("""COMPUTED_VALUE"""),"")</f>
        <v/>
      </c>
      <c r="Z99" s="11" t="str">
        <f>IFERROR(__xludf.DUMMYFUNCTION("""COMPUTED_VALUE"""),"")</f>
        <v/>
      </c>
      <c r="AA99" s="11" t="str">
        <f>IFERROR(__xludf.DUMMYFUNCTION("""COMPUTED_VALUE"""),"")</f>
        <v/>
      </c>
      <c r="AB99" s="11" t="str">
        <f>IFERROR(__xludf.DUMMYFUNCTION("""COMPUTED_VALUE"""),"")</f>
        <v/>
      </c>
      <c r="AC99" s="11" t="str">
        <f>IFERROR(__xludf.DUMMYFUNCTION("""COMPUTED_VALUE"""),"")</f>
        <v/>
      </c>
      <c r="AD99" s="11" t="str">
        <f>IFERROR(__xludf.DUMMYFUNCTION("""COMPUTED_VALUE"""),"")</f>
        <v/>
      </c>
      <c r="AE99" s="11" t="str">
        <f>IFERROR(__xludf.DUMMYFUNCTION("""COMPUTED_VALUE"""),"")</f>
        <v/>
      </c>
      <c r="AF99" s="11" t="str">
        <f>IFERROR(__xludf.DUMMYFUNCTION("""COMPUTED_VALUE"""),"")</f>
        <v/>
      </c>
    </row>
    <row r="100">
      <c r="A100" s="9" t="str">
        <f>IFERROR(__xludf.DUMMYFUNCTION("""COMPUTED_VALUE"""),"N 8776 UT")</f>
        <v>N 8776 UT</v>
      </c>
      <c r="B100" s="9" t="str">
        <f>IFERROR(__xludf.DUMMYFUNCTION("""COMPUTED_VALUE"""),"TLPG TJ PERAK")</f>
        <v>TLPG TJ PERAK</v>
      </c>
      <c r="C100" s="9" t="str">
        <f>IFERROR(__xludf.DUMMYFUNCTION("""COMPUTED_VALUE"""),"PT BERINGIN GAS LESTARI")</f>
        <v>PT BERINGIN GAS LESTARI</v>
      </c>
      <c r="D100" s="11">
        <f>IFERROR(__xludf.DUMMYFUNCTION("""COMPUTED_VALUE"""),123.4)</f>
        <v>123.4</v>
      </c>
      <c r="E100" s="11" t="str">
        <f>IFERROR(__xludf.DUMMYFUNCTION("""COMPUTED_VALUE"""),"SEDANG")</f>
        <v>SEDANG</v>
      </c>
      <c r="F100" s="11">
        <f>IFERROR(__xludf.DUMMYFUNCTION("""COMPUTED_VALUE"""),2.0)</f>
        <v>2</v>
      </c>
      <c r="G100" s="11">
        <f>IFERROR(__xludf.DUMMYFUNCTION("""COMPUTED_VALUE"""),9.0)</f>
        <v>9</v>
      </c>
      <c r="H100" s="11">
        <f>IFERROR(__xludf.DUMMYFUNCTION("""COMPUTED_VALUE"""),3.0)</f>
        <v>3</v>
      </c>
      <c r="I100" s="11">
        <v>3.0</v>
      </c>
      <c r="J100" s="11" t="str">
        <f>IFERROR(__xludf.DUMMYFUNCTION("""COMPUTED_VALUE"""),"")</f>
        <v/>
      </c>
      <c r="K100" s="11" t="str">
        <f>IFERROR(__xludf.DUMMYFUNCTION("""COMPUTED_VALUE"""),"")</f>
        <v/>
      </c>
      <c r="L100" s="11" t="str">
        <f>IFERROR(__xludf.DUMMYFUNCTION("""COMPUTED_VALUE"""),"")</f>
        <v/>
      </c>
      <c r="M100" s="11" t="str">
        <f>IFERROR(__xludf.DUMMYFUNCTION("""COMPUTED_VALUE"""),"")</f>
        <v/>
      </c>
      <c r="N100" s="11" t="str">
        <f>IFERROR(__xludf.DUMMYFUNCTION("""COMPUTED_VALUE"""),"")</f>
        <v/>
      </c>
      <c r="O100" s="11" t="str">
        <f>IFERROR(__xludf.DUMMYFUNCTION("""COMPUTED_VALUE"""),"")</f>
        <v/>
      </c>
      <c r="P100" s="11" t="str">
        <f>IFERROR(__xludf.DUMMYFUNCTION("""COMPUTED_VALUE"""),"")</f>
        <v/>
      </c>
      <c r="Q100" s="11" t="str">
        <f>IFERROR(__xludf.DUMMYFUNCTION("""COMPUTED_VALUE"""),"")</f>
        <v/>
      </c>
      <c r="R100" s="11" t="str">
        <f>IFERROR(__xludf.DUMMYFUNCTION("""COMPUTED_VALUE"""),"")</f>
        <v/>
      </c>
      <c r="S100" s="11" t="str">
        <f>IFERROR(__xludf.DUMMYFUNCTION("""COMPUTED_VALUE"""),"")</f>
        <v/>
      </c>
      <c r="T100" s="11" t="str">
        <f>IFERROR(__xludf.DUMMYFUNCTION("""COMPUTED_VALUE"""),"")</f>
        <v/>
      </c>
      <c r="U100" s="11" t="str">
        <f>IFERROR(__xludf.DUMMYFUNCTION("""COMPUTED_VALUE"""),"")</f>
        <v/>
      </c>
      <c r="V100" s="11" t="str">
        <f>IFERROR(__xludf.DUMMYFUNCTION("""COMPUTED_VALUE"""),"")</f>
        <v/>
      </c>
      <c r="W100" s="11" t="str">
        <f>IFERROR(__xludf.DUMMYFUNCTION("""COMPUTED_VALUE"""),"")</f>
        <v/>
      </c>
      <c r="X100" s="11" t="str">
        <f>IFERROR(__xludf.DUMMYFUNCTION("""COMPUTED_VALUE"""),"")</f>
        <v/>
      </c>
      <c r="Y100" s="11" t="str">
        <f>IFERROR(__xludf.DUMMYFUNCTION("""COMPUTED_VALUE"""),"")</f>
        <v/>
      </c>
      <c r="Z100" s="11" t="str">
        <f>IFERROR(__xludf.DUMMYFUNCTION("""COMPUTED_VALUE"""),"")</f>
        <v/>
      </c>
      <c r="AA100" s="11" t="str">
        <f>IFERROR(__xludf.DUMMYFUNCTION("""COMPUTED_VALUE"""),"")</f>
        <v/>
      </c>
      <c r="AB100" s="11" t="str">
        <f>IFERROR(__xludf.DUMMYFUNCTION("""COMPUTED_VALUE"""),"")</f>
        <v/>
      </c>
      <c r="AC100" s="11" t="str">
        <f>IFERROR(__xludf.DUMMYFUNCTION("""COMPUTED_VALUE"""),"")</f>
        <v/>
      </c>
      <c r="AD100" s="11" t="str">
        <f>IFERROR(__xludf.DUMMYFUNCTION("""COMPUTED_VALUE"""),"")</f>
        <v/>
      </c>
      <c r="AE100" s="11" t="str">
        <f>IFERROR(__xludf.DUMMYFUNCTION("""COMPUTED_VALUE"""),"")</f>
        <v/>
      </c>
      <c r="AF100" s="11" t="str">
        <f>IFERROR(__xludf.DUMMYFUNCTION("""COMPUTED_VALUE"""),"")</f>
        <v/>
      </c>
    </row>
    <row r="101">
      <c r="A101" s="9" t="str">
        <f>IFERROR(__xludf.DUMMYFUNCTION("""COMPUTED_VALUE"""),"N 9422 UU")</f>
        <v>N 9422 UU</v>
      </c>
      <c r="B101" s="9" t="str">
        <f>IFERROR(__xludf.DUMMYFUNCTION("""COMPUTED_VALUE"""),"TLPG TJ PERAK")</f>
        <v>TLPG TJ PERAK</v>
      </c>
      <c r="C101" s="9" t="str">
        <f>IFERROR(__xludf.DUMMYFUNCTION("""COMPUTED_VALUE"""),"PT BERINGIN GAS LESTARI")</f>
        <v>PT BERINGIN GAS LESTARI</v>
      </c>
      <c r="D101" s="11">
        <f>IFERROR(__xludf.DUMMYFUNCTION("""COMPUTED_VALUE"""),123.4)</f>
        <v>123.4</v>
      </c>
      <c r="E101" s="11" t="str">
        <f>IFERROR(__xludf.DUMMYFUNCTION("""COMPUTED_VALUE"""),"SEDANG")</f>
        <v>SEDANG</v>
      </c>
      <c r="F101" s="11">
        <f>IFERROR(__xludf.DUMMYFUNCTION("""COMPUTED_VALUE"""),2.0)</f>
        <v>2</v>
      </c>
      <c r="G101" s="11">
        <f>IFERROR(__xludf.DUMMYFUNCTION("""COMPUTED_VALUE"""),9.0)</f>
        <v>9</v>
      </c>
      <c r="H101" s="11">
        <f>IFERROR(__xludf.DUMMYFUNCTION("""COMPUTED_VALUE"""),4.0)</f>
        <v>4</v>
      </c>
      <c r="I101" s="11">
        <v>4.0</v>
      </c>
    </row>
    <row r="102">
      <c r="A102" s="9" t="str">
        <f>IFERROR(__xludf.DUMMYFUNCTION("""COMPUTED_VALUE"""),"S 8672 UC")</f>
        <v>S 8672 UC</v>
      </c>
      <c r="B102" s="9" t="str">
        <f>IFERROR(__xludf.DUMMYFUNCTION("""COMPUTED_VALUE"""),"TLPG TJ PERAK")</f>
        <v>TLPG TJ PERAK</v>
      </c>
      <c r="C102" s="9" t="str">
        <f>IFERROR(__xludf.DUMMYFUNCTION("""COMPUTED_VALUE"""),"PT CAHAYA NEGERI")</f>
        <v>PT CAHAYA NEGERI</v>
      </c>
      <c r="D102" s="11">
        <f>IFERROR(__xludf.DUMMYFUNCTION("""COMPUTED_VALUE"""),119.1)</f>
        <v>119.1</v>
      </c>
      <c r="E102" s="11" t="str">
        <f>IFERROR(__xludf.DUMMYFUNCTION("""COMPUTED_VALUE"""),"SEDANG")</f>
        <v>SEDANG</v>
      </c>
      <c r="F102" s="11">
        <f>IFERROR(__xludf.DUMMYFUNCTION("""COMPUTED_VALUE"""),2.0)</f>
        <v>2</v>
      </c>
      <c r="G102" s="11">
        <f>IFERROR(__xludf.DUMMYFUNCTION("""COMPUTED_VALUE"""),11.0)</f>
        <v>11</v>
      </c>
      <c r="H102" s="11">
        <f>IFERROR(__xludf.DUMMYFUNCTION("""COMPUTED_VALUE"""),5.0)</f>
        <v>5</v>
      </c>
      <c r="I102" s="12">
        <v>4.0</v>
      </c>
    </row>
    <row r="103">
      <c r="A103" s="9" t="str">
        <f>IFERROR(__xludf.DUMMYFUNCTION("""COMPUTED_VALUE"""),"N 8182 EB")</f>
        <v>N 8182 EB</v>
      </c>
      <c r="B103" s="9" t="str">
        <f>IFERROR(__xludf.DUMMYFUNCTION("""COMPUTED_VALUE"""),"TLPG TJ PERAK")</f>
        <v>TLPG TJ PERAK</v>
      </c>
      <c r="C103" s="9" t="str">
        <f>IFERROR(__xludf.DUMMYFUNCTION("""COMPUTED_VALUE"""),"PT AGAM SEULAWAH JAYA")</f>
        <v>PT AGAM SEULAWAH JAYA</v>
      </c>
      <c r="D103" s="11">
        <f>IFERROR(__xludf.DUMMYFUNCTION("""COMPUTED_VALUE"""),118.6)</f>
        <v>118.6</v>
      </c>
      <c r="E103" s="11" t="str">
        <f>IFERROR(__xludf.DUMMYFUNCTION("""COMPUTED_VALUE"""),"SEDANG")</f>
        <v>SEDANG</v>
      </c>
      <c r="F103" s="11">
        <f>IFERROR(__xludf.DUMMYFUNCTION("""COMPUTED_VALUE"""),2.0)</f>
        <v>2</v>
      </c>
      <c r="G103" s="11">
        <f>IFERROR(__xludf.DUMMYFUNCTION("""COMPUTED_VALUE"""),8.0)</f>
        <v>8</v>
      </c>
      <c r="H103" s="11">
        <f>IFERROR(__xludf.DUMMYFUNCTION("""COMPUTED_VALUE"""),6.0)</f>
        <v>6</v>
      </c>
      <c r="I103" s="11">
        <v>6.0</v>
      </c>
    </row>
    <row r="104">
      <c r="A104" s="9" t="str">
        <f>IFERROR(__xludf.DUMMYFUNCTION("""COMPUTED_VALUE"""),"N 8183 EB")</f>
        <v>N 8183 EB</v>
      </c>
      <c r="B104" s="9" t="str">
        <f>IFERROR(__xludf.DUMMYFUNCTION("""COMPUTED_VALUE"""),"TLPG TJ PERAK")</f>
        <v>TLPG TJ PERAK</v>
      </c>
      <c r="C104" s="9" t="str">
        <f>IFERROR(__xludf.DUMMYFUNCTION("""COMPUTED_VALUE"""),"PT AGAM SEULAWAH JAYA")</f>
        <v>PT AGAM SEULAWAH JAYA</v>
      </c>
      <c r="D104" s="11">
        <f>IFERROR(__xludf.DUMMYFUNCTION("""COMPUTED_VALUE"""),118.6)</f>
        <v>118.6</v>
      </c>
      <c r="E104" s="11" t="str">
        <f>IFERROR(__xludf.DUMMYFUNCTION("""COMPUTED_VALUE"""),"SEDANG")</f>
        <v>SEDANG</v>
      </c>
      <c r="F104" s="11">
        <f>IFERROR(__xludf.DUMMYFUNCTION("""COMPUTED_VALUE"""),2.0)</f>
        <v>2</v>
      </c>
      <c r="G104" s="11">
        <f>IFERROR(__xludf.DUMMYFUNCTION("""COMPUTED_VALUE"""),8.0)</f>
        <v>8</v>
      </c>
      <c r="H104" s="11">
        <f>IFERROR(__xludf.DUMMYFUNCTION("""COMPUTED_VALUE"""),7.0)</f>
        <v>7</v>
      </c>
      <c r="I104" s="11">
        <v>7.0</v>
      </c>
    </row>
    <row r="105">
      <c r="A105" s="9" t="str">
        <f>IFERROR(__xludf.DUMMYFUNCTION("""COMPUTED_VALUE"""),"N 8327 ED")</f>
        <v>N 8327 ED</v>
      </c>
      <c r="B105" s="9" t="str">
        <f>IFERROR(__xludf.DUMMYFUNCTION("""COMPUTED_VALUE"""),"TLPG TJ PERAK")</f>
        <v>TLPG TJ PERAK</v>
      </c>
      <c r="C105" s="9" t="str">
        <f>IFERROR(__xludf.DUMMYFUNCTION("""COMPUTED_VALUE"""),"PT AGAM SEULAWAH JAYA")</f>
        <v>PT AGAM SEULAWAH JAYA</v>
      </c>
      <c r="D105" s="11">
        <f>IFERROR(__xludf.DUMMYFUNCTION("""COMPUTED_VALUE"""),118.6)</f>
        <v>118.6</v>
      </c>
      <c r="E105" s="11" t="str">
        <f>IFERROR(__xludf.DUMMYFUNCTION("""COMPUTED_VALUE"""),"SEDANG")</f>
        <v>SEDANG</v>
      </c>
      <c r="F105" s="11">
        <f>IFERROR(__xludf.DUMMYFUNCTION("""COMPUTED_VALUE"""),2.0)</f>
        <v>2</v>
      </c>
      <c r="G105" s="11">
        <f>IFERROR(__xludf.DUMMYFUNCTION("""COMPUTED_VALUE"""),8.0)</f>
        <v>8</v>
      </c>
      <c r="H105" s="11">
        <f>IFERROR(__xludf.DUMMYFUNCTION("""COMPUTED_VALUE"""),8.0)</f>
        <v>8</v>
      </c>
      <c r="I105" s="11">
        <v>8.0</v>
      </c>
    </row>
    <row r="106">
      <c r="A106" s="9" t="str">
        <f>IFERROR(__xludf.DUMMYFUNCTION("""COMPUTED_VALUE"""),"P 8312 UG")</f>
        <v>P 8312 UG</v>
      </c>
      <c r="B106" s="9" t="str">
        <f>IFERROR(__xludf.DUMMYFUNCTION("""COMPUTED_VALUE"""),"TLPG TJ WANGI")</f>
        <v>TLPG TJ WANGI</v>
      </c>
      <c r="C106" s="9" t="str">
        <f>IFERROR(__xludf.DUMMYFUNCTION("""COMPUTED_VALUE"""),"PT MEGA HULU ENERGI")</f>
        <v>PT MEGA HULU ENERGI</v>
      </c>
      <c r="D106" s="11">
        <f>IFERROR(__xludf.DUMMYFUNCTION("""COMPUTED_VALUE"""),118.0)</f>
        <v>118</v>
      </c>
      <c r="E106" s="11" t="str">
        <f>IFERROR(__xludf.DUMMYFUNCTION("""COMPUTED_VALUE"""),"SEDANG")</f>
        <v>SEDANG</v>
      </c>
      <c r="F106" s="11">
        <f>IFERROR(__xludf.DUMMYFUNCTION("""COMPUTED_VALUE"""),2.0)</f>
        <v>2</v>
      </c>
      <c r="G106" s="11">
        <f>IFERROR(__xludf.DUMMYFUNCTION("""COMPUTED_VALUE"""),6.0)</f>
        <v>6</v>
      </c>
      <c r="H106" s="11">
        <f>IFERROR(__xludf.DUMMYFUNCTION("""COMPUTED_VALUE"""),9.0)</f>
        <v>9</v>
      </c>
      <c r="I106" s="11">
        <v>9.0</v>
      </c>
    </row>
    <row r="107">
      <c r="A107" s="9" t="str">
        <f>IFERROR(__xludf.DUMMYFUNCTION("""COMPUTED_VALUE"""),"AG 8225 UG")</f>
        <v>AG 8225 UG</v>
      </c>
      <c r="B107" s="9" t="str">
        <f>IFERROR(__xludf.DUMMYFUNCTION("""COMPUTED_VALUE"""),"TLPG TJ PERAK")</f>
        <v>TLPG TJ PERAK</v>
      </c>
      <c r="C107" s="9" t="str">
        <f>IFERROR(__xludf.DUMMYFUNCTION("""COMPUTED_VALUE"""),"PT SINAR HASIL BUANA")</f>
        <v>PT SINAR HASIL BUANA</v>
      </c>
      <c r="D107" s="11">
        <f>IFERROR(__xludf.DUMMYFUNCTION("""COMPUTED_VALUE"""),116.1)</f>
        <v>116.1</v>
      </c>
      <c r="E107" s="11" t="str">
        <f>IFERROR(__xludf.DUMMYFUNCTION("""COMPUTED_VALUE"""),"SEDANG")</f>
        <v>SEDANG</v>
      </c>
      <c r="F107" s="11">
        <f>IFERROR(__xludf.DUMMYFUNCTION("""COMPUTED_VALUE"""),2.0)</f>
        <v>2</v>
      </c>
      <c r="G107" s="11">
        <f>IFERROR(__xludf.DUMMYFUNCTION("""COMPUTED_VALUE"""),3.0)</f>
        <v>3</v>
      </c>
      <c r="H107" s="11">
        <f>IFERROR(__xludf.DUMMYFUNCTION("""COMPUTED_VALUE"""),10.0)</f>
        <v>10</v>
      </c>
      <c r="I107" s="11">
        <v>10.0</v>
      </c>
    </row>
    <row r="108">
      <c r="A108" s="9" t="str">
        <f>IFERROR(__xludf.DUMMYFUNCTION("""COMPUTED_VALUE"""),"AG 8374 UG")</f>
        <v>AG 8374 UG</v>
      </c>
      <c r="B108" s="9" t="str">
        <f>IFERROR(__xludf.DUMMYFUNCTION("""COMPUTED_VALUE"""),"TLPG TJ PERAK")</f>
        <v>TLPG TJ PERAK</v>
      </c>
      <c r="C108" s="9" t="str">
        <f>IFERROR(__xludf.DUMMYFUNCTION("""COMPUTED_VALUE"""),"PT PANDU MANUNGGAL KARSA")</f>
        <v>PT PANDU MANUNGGAL KARSA</v>
      </c>
      <c r="D108" s="11">
        <f>IFERROR(__xludf.DUMMYFUNCTION("""COMPUTED_VALUE"""),116.1)</f>
        <v>116.1</v>
      </c>
      <c r="E108" s="11" t="str">
        <f>IFERROR(__xludf.DUMMYFUNCTION("""COMPUTED_VALUE"""),"SEDANG")</f>
        <v>SEDANG</v>
      </c>
      <c r="F108" s="11">
        <f>IFERROR(__xludf.DUMMYFUNCTION("""COMPUTED_VALUE"""),2.0)</f>
        <v>2</v>
      </c>
      <c r="G108" s="11">
        <f>IFERROR(__xludf.DUMMYFUNCTION("""COMPUTED_VALUE"""),3.0)</f>
        <v>3</v>
      </c>
      <c r="H108" s="11">
        <f>IFERROR(__xludf.DUMMYFUNCTION("""COMPUTED_VALUE"""),11.0)</f>
        <v>11</v>
      </c>
      <c r="I108" s="11">
        <v>11.0</v>
      </c>
    </row>
    <row r="109">
      <c r="A109" s="9" t="str">
        <f>IFERROR(__xludf.DUMMYFUNCTION("""COMPUTED_VALUE"""),"N 8777 UG")</f>
        <v>N 8777 UG</v>
      </c>
      <c r="B109" s="9" t="str">
        <f>IFERROR(__xludf.DUMMYFUNCTION("""COMPUTED_VALUE"""),"TLPG TJ PERAK")</f>
        <v>TLPG TJ PERAK</v>
      </c>
      <c r="C109" s="9" t="str">
        <f>IFERROR(__xludf.DUMMYFUNCTION("""COMPUTED_VALUE"""),"PT SOLUSINDO INNOVATIVE")</f>
        <v>PT SOLUSINDO INNOVATIVE</v>
      </c>
      <c r="D109" s="11">
        <f>IFERROR(__xludf.DUMMYFUNCTION("""COMPUTED_VALUE"""),112.4)</f>
        <v>112.4</v>
      </c>
      <c r="E109" s="11" t="str">
        <f>IFERROR(__xludf.DUMMYFUNCTION("""COMPUTED_VALUE"""),"SEDANG")</f>
        <v>SEDANG</v>
      </c>
      <c r="F109" s="11">
        <f>IFERROR(__xludf.DUMMYFUNCTION("""COMPUTED_VALUE"""),2.0)</f>
        <v>2</v>
      </c>
      <c r="G109" s="11">
        <f>IFERROR(__xludf.DUMMYFUNCTION("""COMPUTED_VALUE"""),9.0)</f>
        <v>9</v>
      </c>
      <c r="H109" s="11">
        <f>IFERROR(__xludf.DUMMYFUNCTION("""COMPUTED_VALUE"""),12.0)</f>
        <v>12</v>
      </c>
      <c r="I109" s="11">
        <v>12.0</v>
      </c>
    </row>
    <row r="110">
      <c r="A110" s="9" t="str">
        <f>IFERROR(__xludf.DUMMYFUNCTION("""COMPUTED_VALUE"""),"N 9424 UU")</f>
        <v>N 9424 UU</v>
      </c>
      <c r="B110" s="9" t="str">
        <f>IFERROR(__xludf.DUMMYFUNCTION("""COMPUTED_VALUE"""),"TLPG TJ PERAK")</f>
        <v>TLPG TJ PERAK</v>
      </c>
      <c r="C110" s="9" t="str">
        <f>IFERROR(__xludf.DUMMYFUNCTION("""COMPUTED_VALUE"""),"PT ANUGRAH SURYA MANDALA")</f>
        <v>PT ANUGRAH SURYA MANDALA</v>
      </c>
      <c r="D110" s="11">
        <f>IFERROR(__xludf.DUMMYFUNCTION("""COMPUTED_VALUE"""),112.3)</f>
        <v>112.3</v>
      </c>
      <c r="E110" s="11" t="str">
        <f>IFERROR(__xludf.DUMMYFUNCTION("""COMPUTED_VALUE"""),"SEDANG")</f>
        <v>SEDANG</v>
      </c>
      <c r="F110" s="11">
        <f>IFERROR(__xludf.DUMMYFUNCTION("""COMPUTED_VALUE"""),2.0)</f>
        <v>2</v>
      </c>
      <c r="G110" s="11">
        <f>IFERROR(__xludf.DUMMYFUNCTION("""COMPUTED_VALUE"""),9.0)</f>
        <v>9</v>
      </c>
      <c r="H110" s="11">
        <f>IFERROR(__xludf.DUMMYFUNCTION("""COMPUTED_VALUE"""),1.0)</f>
        <v>1</v>
      </c>
      <c r="I110" s="11">
        <v>1.0</v>
      </c>
    </row>
    <row r="111">
      <c r="A111" s="9" t="str">
        <f>IFERROR(__xludf.DUMMYFUNCTION("""COMPUTED_VALUE"""),"W 9205 NY")</f>
        <v>W 9205 NY</v>
      </c>
      <c r="B111" s="9" t="str">
        <f>IFERROR(__xludf.DUMMYFUNCTION("""COMPUTED_VALUE"""),"TLPG TJ PERAK")</f>
        <v>TLPG TJ PERAK</v>
      </c>
      <c r="C111" s="9" t="str">
        <f>IFERROR(__xludf.DUMMYFUNCTION("""COMPUTED_VALUE"""),"PT ANUGRAH SURYA MANDALA")</f>
        <v>PT ANUGRAH SURYA MANDALA</v>
      </c>
      <c r="D111" s="11">
        <f>IFERROR(__xludf.DUMMYFUNCTION("""COMPUTED_VALUE"""),112.3)</f>
        <v>112.3</v>
      </c>
      <c r="E111" s="11" t="str">
        <f>IFERROR(__xludf.DUMMYFUNCTION("""COMPUTED_VALUE"""),"SEDANG")</f>
        <v>SEDANG</v>
      </c>
      <c r="F111" s="11">
        <f>IFERROR(__xludf.DUMMYFUNCTION("""COMPUTED_VALUE"""),2.0)</f>
        <v>2</v>
      </c>
      <c r="G111" s="11">
        <f>IFERROR(__xludf.DUMMYFUNCTION("""COMPUTED_VALUE"""),9.0)</f>
        <v>9</v>
      </c>
      <c r="H111" s="11">
        <f>IFERROR(__xludf.DUMMYFUNCTION("""COMPUTED_VALUE"""),2.0)</f>
        <v>2</v>
      </c>
      <c r="I111" s="11">
        <v>2.0</v>
      </c>
    </row>
    <row r="112">
      <c r="A112" s="9" t="str">
        <f>IFERROR(__xludf.DUMMYFUNCTION("""COMPUTED_VALUE"""),"AG 8056 OA")</f>
        <v>AG 8056 OA</v>
      </c>
      <c r="B112" s="9" t="str">
        <f>IFERROR(__xludf.DUMMYFUNCTION("""COMPUTED_VALUE"""),"TLPG TJ PERAK")</f>
        <v>TLPG TJ PERAK</v>
      </c>
      <c r="C112" s="9" t="str">
        <f>IFERROR(__xludf.DUMMYFUNCTION("""COMPUTED_VALUE"""),"PT ANUGRAH SURYA MANDALA")</f>
        <v>PT ANUGRAH SURYA MANDALA</v>
      </c>
      <c r="D112" s="11">
        <f>IFERROR(__xludf.DUMMYFUNCTION("""COMPUTED_VALUE"""),112.3)</f>
        <v>112.3</v>
      </c>
      <c r="E112" s="11" t="str">
        <f>IFERROR(__xludf.DUMMYFUNCTION("""COMPUTED_VALUE"""),"SEDANG")</f>
        <v>SEDANG</v>
      </c>
      <c r="F112" s="11">
        <f>IFERROR(__xludf.DUMMYFUNCTION("""COMPUTED_VALUE"""),2.0)</f>
        <v>2</v>
      </c>
      <c r="G112" s="11">
        <f>IFERROR(__xludf.DUMMYFUNCTION("""COMPUTED_VALUE"""),10.0)</f>
        <v>10</v>
      </c>
      <c r="H112" s="11">
        <f>IFERROR(__xludf.DUMMYFUNCTION("""COMPUTED_VALUE"""),3.0)</f>
        <v>3</v>
      </c>
      <c r="I112" s="11">
        <v>3.0</v>
      </c>
    </row>
    <row r="113">
      <c r="A113" s="9" t="str">
        <f>IFERROR(__xludf.DUMMYFUNCTION("""COMPUTED_VALUE"""),"N 8083 UQ")</f>
        <v>N 8083 UQ</v>
      </c>
      <c r="B113" s="9" t="str">
        <f>IFERROR(__xludf.DUMMYFUNCTION("""COMPUTED_VALUE"""),"TLPG TJ PERAK")</f>
        <v>TLPG TJ PERAK</v>
      </c>
      <c r="C113" s="9" t="str">
        <f>IFERROR(__xludf.DUMMYFUNCTION("""COMPUTED_VALUE"""),"PT BHUMI PERMATA INDAH")</f>
        <v>PT BHUMI PERMATA INDAH</v>
      </c>
      <c r="D113" s="11">
        <f>IFERROR(__xludf.DUMMYFUNCTION("""COMPUTED_VALUE"""),112.0)</f>
        <v>112</v>
      </c>
      <c r="E113" s="11" t="str">
        <f>IFERROR(__xludf.DUMMYFUNCTION("""COMPUTED_VALUE"""),"SEDANG")</f>
        <v>SEDANG</v>
      </c>
      <c r="F113" s="11">
        <f>IFERROR(__xludf.DUMMYFUNCTION("""COMPUTED_VALUE"""),2.0)</f>
        <v>2</v>
      </c>
      <c r="G113" s="11">
        <f>IFERROR(__xludf.DUMMYFUNCTION("""COMPUTED_VALUE"""),2.0)</f>
        <v>2</v>
      </c>
      <c r="H113" s="11">
        <f>IFERROR(__xludf.DUMMYFUNCTION("""COMPUTED_VALUE"""),4.0)</f>
        <v>4</v>
      </c>
      <c r="I113" s="11">
        <v>4.0</v>
      </c>
    </row>
    <row r="114">
      <c r="A114" s="9" t="str">
        <f>IFERROR(__xludf.DUMMYFUNCTION("""COMPUTED_VALUE"""),"N 8299 UR")</f>
        <v>N 8299 UR</v>
      </c>
      <c r="B114" s="9" t="str">
        <f>IFERROR(__xludf.DUMMYFUNCTION("""COMPUTED_VALUE"""),"TLPG TJ PERAK")</f>
        <v>TLPG TJ PERAK</v>
      </c>
      <c r="C114" s="9" t="str">
        <f>IFERROR(__xludf.DUMMYFUNCTION("""COMPUTED_VALUE"""),"PT BHUMI PERMATA INDAH")</f>
        <v>PT BHUMI PERMATA INDAH</v>
      </c>
      <c r="D114" s="11">
        <f>IFERROR(__xludf.DUMMYFUNCTION("""COMPUTED_VALUE"""),112.0)</f>
        <v>112</v>
      </c>
      <c r="E114" s="11" t="str">
        <f>IFERROR(__xludf.DUMMYFUNCTION("""COMPUTED_VALUE"""),"SEDANG")</f>
        <v>SEDANG</v>
      </c>
      <c r="F114" s="11">
        <f>IFERROR(__xludf.DUMMYFUNCTION("""COMPUTED_VALUE"""),2.0)</f>
        <v>2</v>
      </c>
      <c r="G114" s="11">
        <f>IFERROR(__xludf.DUMMYFUNCTION("""COMPUTED_VALUE"""),8.0)</f>
        <v>8</v>
      </c>
      <c r="H114" s="11">
        <f>IFERROR(__xludf.DUMMYFUNCTION("""COMPUTED_VALUE"""),5.0)</f>
        <v>5</v>
      </c>
      <c r="I114" s="11">
        <v>5.0</v>
      </c>
    </row>
    <row r="115">
      <c r="A115" s="9" t="str">
        <f>IFERROR(__xludf.DUMMYFUNCTION("""COMPUTED_VALUE"""),"P 8726 UG")</f>
        <v>P 8726 UG</v>
      </c>
      <c r="B115" s="9" t="str">
        <f>IFERROR(__xludf.DUMMYFUNCTION("""COMPUTED_VALUE"""),"TLPG TJ WANGI")</f>
        <v>TLPG TJ WANGI</v>
      </c>
      <c r="C115" s="9" t="str">
        <f>IFERROR(__xludf.DUMMYFUNCTION("""COMPUTED_VALUE"""),"PT SUMBER MAKMUR MEGAH ABADI")</f>
        <v>PT SUMBER MAKMUR MEGAH ABADI</v>
      </c>
      <c r="D115" s="11">
        <f>IFERROR(__xludf.DUMMYFUNCTION("""COMPUTED_VALUE"""),111.3)</f>
        <v>111.3</v>
      </c>
      <c r="E115" s="11" t="str">
        <f>IFERROR(__xludf.DUMMYFUNCTION("""COMPUTED_VALUE"""),"SEDANG")</f>
        <v>SEDANG</v>
      </c>
      <c r="F115" s="11">
        <f>IFERROR(__xludf.DUMMYFUNCTION("""COMPUTED_VALUE"""),2.0)</f>
        <v>2</v>
      </c>
      <c r="G115" s="11">
        <f>IFERROR(__xludf.DUMMYFUNCTION("""COMPUTED_VALUE"""),10.0)</f>
        <v>10</v>
      </c>
      <c r="H115" s="11">
        <f>IFERROR(__xludf.DUMMYFUNCTION("""COMPUTED_VALUE"""),6.0)</f>
        <v>6</v>
      </c>
      <c r="I115" s="11">
        <v>6.0</v>
      </c>
    </row>
    <row r="116">
      <c r="A116" s="9" t="str">
        <f>IFERROR(__xludf.DUMMYFUNCTION("""COMPUTED_VALUE"""),"P 8824 UI")</f>
        <v>P 8824 UI</v>
      </c>
      <c r="B116" s="9" t="str">
        <f>IFERROR(__xludf.DUMMYFUNCTION("""COMPUTED_VALUE"""),"TLPG TJ WANGI")</f>
        <v>TLPG TJ WANGI</v>
      </c>
      <c r="C116" s="9" t="str">
        <f>IFERROR(__xludf.DUMMYFUNCTION("""COMPUTED_VALUE"""),"PT SUMBER MAKMUR MEGAH ABADI")</f>
        <v>PT SUMBER MAKMUR MEGAH ABADI</v>
      </c>
      <c r="D116" s="11">
        <f>IFERROR(__xludf.DUMMYFUNCTION("""COMPUTED_VALUE"""),111.3)</f>
        <v>111.3</v>
      </c>
      <c r="E116" s="11" t="str">
        <f>IFERROR(__xludf.DUMMYFUNCTION("""COMPUTED_VALUE"""),"SEDANG")</f>
        <v>SEDANG</v>
      </c>
      <c r="F116" s="11">
        <f>IFERROR(__xludf.DUMMYFUNCTION("""COMPUTED_VALUE"""),2.0)</f>
        <v>2</v>
      </c>
      <c r="G116" s="11">
        <f>IFERROR(__xludf.DUMMYFUNCTION("""COMPUTED_VALUE"""),12.0)</f>
        <v>12</v>
      </c>
      <c r="H116" s="11">
        <f>IFERROR(__xludf.DUMMYFUNCTION("""COMPUTED_VALUE"""),7.0)</f>
        <v>7</v>
      </c>
      <c r="I116" s="11">
        <v>7.0</v>
      </c>
    </row>
    <row r="117">
      <c r="A117" s="9" t="str">
        <f>IFERROR(__xludf.DUMMYFUNCTION("""COMPUTED_VALUE"""),"DK 8011 UK")</f>
        <v>DK 8011 UK</v>
      </c>
      <c r="B117" s="9" t="str">
        <f>IFERROR(__xludf.DUMMYFUNCTION("""COMPUTED_VALUE"""),"TLPG MANGGIS")</f>
        <v>TLPG MANGGIS</v>
      </c>
      <c r="C117" s="9" t="str">
        <f>IFERROR(__xludf.DUMMYFUNCTION("""COMPUTED_VALUE"""),"SPPBE-PT. Ayu Sari Pertiwi")</f>
        <v>SPPBE-PT. Ayu Sari Pertiwi</v>
      </c>
      <c r="D117" s="11">
        <f>IFERROR(__xludf.DUMMYFUNCTION("""COMPUTED_VALUE"""),110.1)</f>
        <v>110.1</v>
      </c>
      <c r="E117" s="11" t="str">
        <f>IFERROR(__xludf.DUMMYFUNCTION("""COMPUTED_VALUE"""),"SEDANG")</f>
        <v>SEDANG</v>
      </c>
      <c r="F117" s="11">
        <f>IFERROR(__xludf.DUMMYFUNCTION("""COMPUTED_VALUE"""),2.0)</f>
        <v>2</v>
      </c>
      <c r="G117" s="11">
        <f>IFERROR(__xludf.DUMMYFUNCTION("""COMPUTED_VALUE"""),1.0)</f>
        <v>1</v>
      </c>
      <c r="H117" s="11">
        <f>IFERROR(__xludf.DUMMYFUNCTION("""COMPUTED_VALUE"""),8.0)</f>
        <v>8</v>
      </c>
      <c r="I117" s="11">
        <v>8.0</v>
      </c>
    </row>
    <row r="118">
      <c r="A118" s="9" t="str">
        <f>IFERROR(__xludf.DUMMYFUNCTION("""COMPUTED_VALUE"""),"DK 8029 UK")</f>
        <v>DK 8029 UK</v>
      </c>
      <c r="B118" s="9" t="str">
        <f>IFERROR(__xludf.DUMMYFUNCTION("""COMPUTED_VALUE"""),"TLPG MANGGIS")</f>
        <v>TLPG MANGGIS</v>
      </c>
      <c r="C118" s="9" t="str">
        <f>IFERROR(__xludf.DUMMYFUNCTION("""COMPUTED_VALUE"""),"SPPBE-PT. Ayu Sari Pertiwi")</f>
        <v>SPPBE-PT. Ayu Sari Pertiwi</v>
      </c>
      <c r="D118" s="11">
        <f>IFERROR(__xludf.DUMMYFUNCTION("""COMPUTED_VALUE"""),110.1)</f>
        <v>110.1</v>
      </c>
      <c r="E118" s="11" t="str">
        <f>IFERROR(__xludf.DUMMYFUNCTION("""COMPUTED_VALUE"""),"SEDANG")</f>
        <v>SEDANG</v>
      </c>
      <c r="F118" s="11">
        <f>IFERROR(__xludf.DUMMYFUNCTION("""COMPUTED_VALUE"""),2.0)</f>
        <v>2</v>
      </c>
      <c r="G118" s="11">
        <f>IFERROR(__xludf.DUMMYFUNCTION("""COMPUTED_VALUE"""),2.0)</f>
        <v>2</v>
      </c>
      <c r="H118" s="11">
        <f>IFERROR(__xludf.DUMMYFUNCTION("""COMPUTED_VALUE"""),9.0)</f>
        <v>9</v>
      </c>
      <c r="I118" s="11">
        <v>9.0</v>
      </c>
    </row>
    <row r="119">
      <c r="A119" s="9" t="str">
        <f>IFERROR(__xludf.DUMMYFUNCTION("""COMPUTED_VALUE"""),"DK 8170 UB")</f>
        <v>DK 8170 UB</v>
      </c>
      <c r="B119" s="9" t="str">
        <f>IFERROR(__xludf.DUMMYFUNCTION("""COMPUTED_VALUE"""),"TLPG MANGGIS")</f>
        <v>TLPG MANGGIS</v>
      </c>
      <c r="C119" s="9" t="str">
        <f>IFERROR(__xludf.DUMMYFUNCTION("""COMPUTED_VALUE"""),"PT. Ayu Sari Pertiwi")</f>
        <v>PT. Ayu Sari Pertiwi</v>
      </c>
      <c r="D119" s="11">
        <f>IFERROR(__xludf.DUMMYFUNCTION("""COMPUTED_VALUE"""),110.1)</f>
        <v>110.1</v>
      </c>
      <c r="E119" s="11" t="str">
        <f>IFERROR(__xludf.DUMMYFUNCTION("""COMPUTED_VALUE"""),"SEDANG")</f>
        <v>SEDANG</v>
      </c>
      <c r="F119" s="11">
        <f>IFERROR(__xludf.DUMMYFUNCTION("""COMPUTED_VALUE"""),2.0)</f>
        <v>2</v>
      </c>
      <c r="G119" s="11">
        <f>IFERROR(__xludf.DUMMYFUNCTION("""COMPUTED_VALUE"""),4.0)</f>
        <v>4</v>
      </c>
      <c r="H119" s="11">
        <f>IFERROR(__xludf.DUMMYFUNCTION("""COMPUTED_VALUE"""),10.0)</f>
        <v>10</v>
      </c>
      <c r="I119" s="11">
        <v>10.0</v>
      </c>
    </row>
    <row r="120">
      <c r="A120" s="9" t="str">
        <f>IFERROR(__xludf.DUMMYFUNCTION("""COMPUTED_VALUE"""),"DK 8640 VM")</f>
        <v>DK 8640 VM</v>
      </c>
      <c r="B120" s="9" t="str">
        <f>IFERROR(__xludf.DUMMYFUNCTION("""COMPUTED_VALUE"""),"TLPG MANGGIS")</f>
        <v>TLPG MANGGIS</v>
      </c>
      <c r="C120" s="9" t="str">
        <f>IFERROR(__xludf.DUMMYFUNCTION("""COMPUTED_VALUE"""),"PT. Ayu Sari Pertiwi")</f>
        <v>PT. Ayu Sari Pertiwi</v>
      </c>
      <c r="D120" s="11">
        <f>IFERROR(__xludf.DUMMYFUNCTION("""COMPUTED_VALUE"""),110.1)</f>
        <v>110.1</v>
      </c>
      <c r="E120" s="11" t="str">
        <f>IFERROR(__xludf.DUMMYFUNCTION("""COMPUTED_VALUE"""),"SEDANG")</f>
        <v>SEDANG</v>
      </c>
      <c r="F120" s="11">
        <f>IFERROR(__xludf.DUMMYFUNCTION("""COMPUTED_VALUE"""),2.0)</f>
        <v>2</v>
      </c>
      <c r="G120" s="11">
        <f>IFERROR(__xludf.DUMMYFUNCTION("""COMPUTED_VALUE"""),11.0)</f>
        <v>11</v>
      </c>
      <c r="H120" s="11">
        <f>IFERROR(__xludf.DUMMYFUNCTION("""COMPUTED_VALUE"""),11.0)</f>
        <v>11</v>
      </c>
      <c r="I120" s="11">
        <v>11.0</v>
      </c>
    </row>
    <row r="121">
      <c r="A121" s="9" t="str">
        <f>IFERROR(__xludf.DUMMYFUNCTION("""COMPUTED_VALUE"""),"L 8063 BL")</f>
        <v>L 8063 BL</v>
      </c>
      <c r="B121" s="9" t="str">
        <f>IFERROR(__xludf.DUMMYFUNCTION("""COMPUTED_VALUE"""),"TLPG TJ PERAK")</f>
        <v>TLPG TJ PERAK</v>
      </c>
      <c r="C121" s="9" t="str">
        <f>IFERROR(__xludf.DUMMYFUNCTION("""COMPUTED_VALUE"""),"PT DHARMA TECH INFOMEDIA")</f>
        <v>PT DHARMA TECH INFOMEDIA</v>
      </c>
      <c r="D121" s="11">
        <f>IFERROR(__xludf.DUMMYFUNCTION("""COMPUTED_VALUE"""),109.9)</f>
        <v>109.9</v>
      </c>
      <c r="E121" s="11" t="str">
        <f>IFERROR(__xludf.DUMMYFUNCTION("""COMPUTED_VALUE"""),"SEDANG")</f>
        <v>SEDANG</v>
      </c>
      <c r="F121" s="11">
        <f>IFERROR(__xludf.DUMMYFUNCTION("""COMPUTED_VALUE"""),2.0)</f>
        <v>2</v>
      </c>
      <c r="G121" s="11">
        <f>IFERROR(__xludf.DUMMYFUNCTION("""COMPUTED_VALUE"""),5.0)</f>
        <v>5</v>
      </c>
      <c r="H121" s="11">
        <f>IFERROR(__xludf.DUMMYFUNCTION("""COMPUTED_VALUE"""),12.0)</f>
        <v>12</v>
      </c>
      <c r="I121" s="11">
        <v>12.0</v>
      </c>
    </row>
    <row r="122">
      <c r="A122" s="9" t="str">
        <f>IFERROR(__xludf.DUMMYFUNCTION("""COMPUTED_VALUE"""),"L 9822 UE")</f>
        <v>L 9822 UE</v>
      </c>
      <c r="B122" s="9" t="str">
        <f>IFERROR(__xludf.DUMMYFUNCTION("""COMPUTED_VALUE"""),"TLPG TJ PERAK")</f>
        <v>TLPG TJ PERAK</v>
      </c>
      <c r="C122" s="9" t="str">
        <f>IFERROR(__xludf.DUMMYFUNCTION("""COMPUTED_VALUE"""),"PT DHARMA TECH INFOMEDIA")</f>
        <v>PT DHARMA TECH INFOMEDIA</v>
      </c>
      <c r="D122" s="11">
        <f>IFERROR(__xludf.DUMMYFUNCTION("""COMPUTED_VALUE"""),109.9)</f>
        <v>109.9</v>
      </c>
      <c r="E122" s="11" t="str">
        <f>IFERROR(__xludf.DUMMYFUNCTION("""COMPUTED_VALUE"""),"SEDANG")</f>
        <v>SEDANG</v>
      </c>
      <c r="F122" s="11">
        <f>IFERROR(__xludf.DUMMYFUNCTION("""COMPUTED_VALUE"""),2.0)</f>
        <v>2</v>
      </c>
      <c r="G122" s="11">
        <f>IFERROR(__xludf.DUMMYFUNCTION("""COMPUTED_VALUE"""),6.0)</f>
        <v>6</v>
      </c>
      <c r="H122" s="11">
        <f>IFERROR(__xludf.DUMMYFUNCTION("""COMPUTED_VALUE"""),1.0)</f>
        <v>1</v>
      </c>
      <c r="I122" s="11">
        <v>1.0</v>
      </c>
    </row>
    <row r="123">
      <c r="A123" s="9" t="str">
        <f>IFERROR(__xludf.DUMMYFUNCTION("""COMPUTED_VALUE"""),"N 8756 UB")</f>
        <v>N 8756 UB</v>
      </c>
      <c r="B123" s="9" t="str">
        <f>IFERROR(__xludf.DUMMYFUNCTION("""COMPUTED_VALUE"""),"TLPG TJ PERAK")</f>
        <v>TLPG TJ PERAK</v>
      </c>
      <c r="C123" s="9" t="str">
        <f>IFERROR(__xludf.DUMMYFUNCTION("""COMPUTED_VALUE"""),"PT ZATALINI CIPTA PERSADA")</f>
        <v>PT ZATALINI CIPTA PERSADA</v>
      </c>
      <c r="D123" s="11">
        <f>IFERROR(__xludf.DUMMYFUNCTION("""COMPUTED_VALUE"""),109.8)</f>
        <v>109.8</v>
      </c>
      <c r="E123" s="11" t="str">
        <f>IFERROR(__xludf.DUMMYFUNCTION("""COMPUTED_VALUE"""),"SEDANG")</f>
        <v>SEDANG</v>
      </c>
      <c r="F123" s="11">
        <f>IFERROR(__xludf.DUMMYFUNCTION("""COMPUTED_VALUE"""),2.0)</f>
        <v>2</v>
      </c>
      <c r="G123" s="11">
        <f>IFERROR(__xludf.DUMMYFUNCTION("""COMPUTED_VALUE"""),11.0)</f>
        <v>11</v>
      </c>
      <c r="H123" s="11">
        <f>IFERROR(__xludf.DUMMYFUNCTION("""COMPUTED_VALUE"""),2.0)</f>
        <v>2</v>
      </c>
      <c r="I123" s="11">
        <v>2.0</v>
      </c>
    </row>
    <row r="124">
      <c r="A124" s="9" t="str">
        <f>IFERROR(__xludf.DUMMYFUNCTION("""COMPUTED_VALUE"""),"N 8757 UB")</f>
        <v>N 8757 UB</v>
      </c>
      <c r="B124" s="9" t="str">
        <f>IFERROR(__xludf.DUMMYFUNCTION("""COMPUTED_VALUE"""),"TLPG TJ PERAK")</f>
        <v>TLPG TJ PERAK</v>
      </c>
      <c r="C124" s="9" t="str">
        <f>IFERROR(__xludf.DUMMYFUNCTION("""COMPUTED_VALUE"""),"PT ZATALINI CIPTA PERSADA")</f>
        <v>PT ZATALINI CIPTA PERSADA</v>
      </c>
      <c r="D124" s="11">
        <f>IFERROR(__xludf.DUMMYFUNCTION("""COMPUTED_VALUE"""),109.8)</f>
        <v>109.8</v>
      </c>
      <c r="E124" s="11" t="str">
        <f>IFERROR(__xludf.DUMMYFUNCTION("""COMPUTED_VALUE"""),"SEDANG")</f>
        <v>SEDANG</v>
      </c>
      <c r="F124" s="11">
        <f>IFERROR(__xludf.DUMMYFUNCTION("""COMPUTED_VALUE"""),2.0)</f>
        <v>2</v>
      </c>
      <c r="G124" s="11">
        <f>IFERROR(__xludf.DUMMYFUNCTION("""COMPUTED_VALUE"""),11.0)</f>
        <v>11</v>
      </c>
      <c r="H124" s="11">
        <f>IFERROR(__xludf.DUMMYFUNCTION("""COMPUTED_VALUE"""),3.0)</f>
        <v>3</v>
      </c>
      <c r="I124" s="11">
        <v>3.0</v>
      </c>
    </row>
    <row r="125">
      <c r="A125" s="9" t="str">
        <f>IFERROR(__xludf.DUMMYFUNCTION("""COMPUTED_VALUE"""),"M 8010 UB")</f>
        <v>M 8010 UB</v>
      </c>
      <c r="B125" s="9" t="str">
        <f>IFERROR(__xludf.DUMMYFUNCTION("""COMPUTED_VALUE"""),"TLPG TJ PERAK")</f>
        <v>TLPG TJ PERAK</v>
      </c>
      <c r="C125" s="9" t="str">
        <f>IFERROR(__xludf.DUMMYFUNCTION("""COMPUTED_VALUE"""),"PT GAS MADURA PRATAMA")</f>
        <v>PT GAS MADURA PRATAMA</v>
      </c>
      <c r="D125" s="11">
        <f>IFERROR(__xludf.DUMMYFUNCTION("""COMPUTED_VALUE"""),109.2)</f>
        <v>109.2</v>
      </c>
      <c r="E125" s="11" t="str">
        <f>IFERROR(__xludf.DUMMYFUNCTION("""COMPUTED_VALUE"""),"SEDANG")</f>
        <v>SEDANG</v>
      </c>
      <c r="F125" s="11">
        <f>IFERROR(__xludf.DUMMYFUNCTION("""COMPUTED_VALUE"""),2.0)</f>
        <v>2</v>
      </c>
      <c r="G125" s="11">
        <f>IFERROR(__xludf.DUMMYFUNCTION("""COMPUTED_VALUE"""),7.0)</f>
        <v>7</v>
      </c>
      <c r="H125" s="11">
        <f>IFERROR(__xludf.DUMMYFUNCTION("""COMPUTED_VALUE"""),4.0)</f>
        <v>4</v>
      </c>
      <c r="I125" s="11">
        <v>4.0</v>
      </c>
    </row>
    <row r="126">
      <c r="A126" s="9" t="str">
        <f>IFERROR(__xludf.DUMMYFUNCTION("""COMPUTED_VALUE"""),"M 9715 UA")</f>
        <v>M 9715 UA</v>
      </c>
      <c r="B126" s="9" t="str">
        <f>IFERROR(__xludf.DUMMYFUNCTION("""COMPUTED_VALUE"""),"TLPG TJ PERAK")</f>
        <v>TLPG TJ PERAK</v>
      </c>
      <c r="C126" s="9" t="str">
        <f>IFERROR(__xludf.DUMMYFUNCTION("""COMPUTED_VALUE"""),"PT GAS MADURA PRATAMA")</f>
        <v>PT GAS MADURA PRATAMA</v>
      </c>
      <c r="D126" s="11">
        <f>IFERROR(__xludf.DUMMYFUNCTION("""COMPUTED_VALUE"""),109.2)</f>
        <v>109.2</v>
      </c>
      <c r="E126" s="11" t="str">
        <f>IFERROR(__xludf.DUMMYFUNCTION("""COMPUTED_VALUE"""),"SEDANG")</f>
        <v>SEDANG</v>
      </c>
      <c r="F126" s="11">
        <f>IFERROR(__xludf.DUMMYFUNCTION("""COMPUTED_VALUE"""),2.0)</f>
        <v>2</v>
      </c>
      <c r="G126" s="11">
        <f>IFERROR(__xludf.DUMMYFUNCTION("""COMPUTED_VALUE"""),7.0)</f>
        <v>7</v>
      </c>
      <c r="H126" s="11">
        <f>IFERROR(__xludf.DUMMYFUNCTION("""COMPUTED_VALUE"""),5.0)</f>
        <v>5</v>
      </c>
      <c r="I126" s="11">
        <v>5.0</v>
      </c>
    </row>
    <row r="127">
      <c r="A127" s="9" t="str">
        <f>IFERROR(__xludf.DUMMYFUNCTION("""COMPUTED_VALUE"""),"M 9728 UA")</f>
        <v>M 9728 UA</v>
      </c>
      <c r="B127" s="9" t="str">
        <f>IFERROR(__xludf.DUMMYFUNCTION("""COMPUTED_VALUE"""),"TLPG TJ PERAK")</f>
        <v>TLPG TJ PERAK</v>
      </c>
      <c r="C127" s="9" t="str">
        <f>IFERROR(__xludf.DUMMYFUNCTION("""COMPUTED_VALUE"""),"PT GAS MADURA PRATAMA")</f>
        <v>PT GAS MADURA PRATAMA</v>
      </c>
      <c r="D127" s="11">
        <f>IFERROR(__xludf.DUMMYFUNCTION("""COMPUTED_VALUE"""),109.2)</f>
        <v>109.2</v>
      </c>
      <c r="E127" s="11" t="str">
        <f>IFERROR(__xludf.DUMMYFUNCTION("""COMPUTED_VALUE"""),"SEDANG")</f>
        <v>SEDANG</v>
      </c>
      <c r="F127" s="11">
        <f>IFERROR(__xludf.DUMMYFUNCTION("""COMPUTED_VALUE"""),2.0)</f>
        <v>2</v>
      </c>
      <c r="G127" s="11">
        <f>IFERROR(__xludf.DUMMYFUNCTION("""COMPUTED_VALUE"""),8.0)</f>
        <v>8</v>
      </c>
      <c r="H127" s="11">
        <f>IFERROR(__xludf.DUMMYFUNCTION("""COMPUTED_VALUE"""),6.0)</f>
        <v>6</v>
      </c>
      <c r="I127" s="11">
        <v>6.0</v>
      </c>
    </row>
    <row r="128">
      <c r="A128" s="9" t="str">
        <f>IFERROR(__xludf.DUMMYFUNCTION("""COMPUTED_VALUE"""),"M 9757 UA")</f>
        <v>M 9757 UA</v>
      </c>
      <c r="B128" s="9" t="str">
        <f>IFERROR(__xludf.DUMMYFUNCTION("""COMPUTED_VALUE"""),"TLPG TJ PERAK")</f>
        <v>TLPG TJ PERAK</v>
      </c>
      <c r="C128" s="9" t="str">
        <f>IFERROR(__xludf.DUMMYFUNCTION("""COMPUTED_VALUE"""),"PT GAS MADURA PRATAMA")</f>
        <v>PT GAS MADURA PRATAMA</v>
      </c>
      <c r="D128" s="11">
        <f>IFERROR(__xludf.DUMMYFUNCTION("""COMPUTED_VALUE"""),109.2)</f>
        <v>109.2</v>
      </c>
      <c r="E128" s="11" t="str">
        <f>IFERROR(__xludf.DUMMYFUNCTION("""COMPUTED_VALUE"""),"SEDANG")</f>
        <v>SEDANG</v>
      </c>
      <c r="F128" s="11">
        <f>IFERROR(__xludf.DUMMYFUNCTION("""COMPUTED_VALUE"""),2.0)</f>
        <v>2</v>
      </c>
      <c r="G128" s="11">
        <f>IFERROR(__xludf.DUMMYFUNCTION("""COMPUTED_VALUE"""),8.0)</f>
        <v>8</v>
      </c>
      <c r="H128" s="11">
        <f>IFERROR(__xludf.DUMMYFUNCTION("""COMPUTED_VALUE"""),7.0)</f>
        <v>7</v>
      </c>
      <c r="I128" s="11">
        <v>7.0</v>
      </c>
    </row>
    <row r="129">
      <c r="A129" s="9" t="str">
        <f>IFERROR(__xludf.DUMMYFUNCTION("""COMPUTED_VALUE"""),"AG 8093 EI")</f>
        <v>AG 8093 EI</v>
      </c>
      <c r="B129" s="9" t="str">
        <f>IFERROR(__xludf.DUMMYFUNCTION("""COMPUTED_VALUE"""),"TLPG MEM GRESIK")</f>
        <v>TLPG MEM GRESIK</v>
      </c>
      <c r="C129" s="9" t="str">
        <f>IFERROR(__xludf.DUMMYFUNCTION("""COMPUTED_VALUE"""),"PT RADIMA JAYA KEDIRI")</f>
        <v>PT RADIMA JAYA KEDIRI</v>
      </c>
      <c r="D129" s="11">
        <f>IFERROR(__xludf.DUMMYFUNCTION("""COMPUTED_VALUE"""),108.9)</f>
        <v>108.9</v>
      </c>
      <c r="E129" s="11" t="str">
        <f>IFERROR(__xludf.DUMMYFUNCTION("""COMPUTED_VALUE"""),"SEDANG")</f>
        <v>SEDANG</v>
      </c>
      <c r="F129" s="11">
        <f>IFERROR(__xludf.DUMMYFUNCTION("""COMPUTED_VALUE"""),2.0)</f>
        <v>2</v>
      </c>
      <c r="G129" s="11">
        <f>IFERROR(__xludf.DUMMYFUNCTION("""COMPUTED_VALUE"""),1.0)</f>
        <v>1</v>
      </c>
      <c r="H129" s="11">
        <f>IFERROR(__xludf.DUMMYFUNCTION("""COMPUTED_VALUE"""),8.0)</f>
        <v>8</v>
      </c>
      <c r="I129" s="11">
        <v>8.0</v>
      </c>
    </row>
    <row r="130">
      <c r="A130" s="9" t="str">
        <f>IFERROR(__xludf.DUMMYFUNCTION("""COMPUTED_VALUE"""),"L 8083 CA")</f>
        <v>L 8083 CA</v>
      </c>
      <c r="B130" s="9" t="str">
        <f>IFERROR(__xludf.DUMMYFUNCTION("""COMPUTED_VALUE"""),"TLPG TJ WANGI")</f>
        <v>TLPG TJ WANGI</v>
      </c>
      <c r="C130" s="9" t="str">
        <f>IFERROR(__xludf.DUMMYFUNCTION("""COMPUTED_VALUE"""),"PT KARYA GEMILANG GAS SEJAHTERA")</f>
        <v>PT KARYA GEMILANG GAS SEJAHTERA</v>
      </c>
      <c r="D130" s="11">
        <f>IFERROR(__xludf.DUMMYFUNCTION("""COMPUTED_VALUE"""),107.5)</f>
        <v>107.5</v>
      </c>
      <c r="E130" s="11" t="str">
        <f>IFERROR(__xludf.DUMMYFUNCTION("""COMPUTED_VALUE"""),"SEDANG")</f>
        <v>SEDANG</v>
      </c>
      <c r="F130" s="11">
        <f>IFERROR(__xludf.DUMMYFUNCTION("""COMPUTED_VALUE"""),2.0)</f>
        <v>2</v>
      </c>
      <c r="G130" s="11">
        <f>IFERROR(__xludf.DUMMYFUNCTION("""COMPUTED_VALUE"""),3.0)</f>
        <v>3</v>
      </c>
      <c r="H130" s="11">
        <f>IFERROR(__xludf.DUMMYFUNCTION("""COMPUTED_VALUE"""),9.0)</f>
        <v>9</v>
      </c>
      <c r="I130" s="11">
        <v>9.0</v>
      </c>
    </row>
    <row r="131">
      <c r="A131" s="9" t="str">
        <f>IFERROR(__xludf.DUMMYFUNCTION("""COMPUTED_VALUE"""),"DR 8105 LJ")</f>
        <v>DR 8105 LJ</v>
      </c>
      <c r="B131" s="9" t="str">
        <f>IFERROR(__xludf.DUMMYFUNCTION("""COMPUTED_VALUE"""),"TLPG LOMBOK")</f>
        <v>TLPG LOMBOK</v>
      </c>
      <c r="C131" s="9" t="str">
        <f>IFERROR(__xludf.DUMMYFUNCTION("""COMPUTED_VALUE"""),"SPPBE-PT. Anugrah Narwastu Raya")</f>
        <v>SPPBE-PT. Anugrah Narwastu Raya</v>
      </c>
      <c r="D131" s="11">
        <f>IFERROR(__xludf.DUMMYFUNCTION("""COMPUTED_VALUE"""),104.3)</f>
        <v>104.3</v>
      </c>
      <c r="E131" s="11" t="str">
        <f>IFERROR(__xludf.DUMMYFUNCTION("""COMPUTED_VALUE"""),"SEDANG")</f>
        <v>SEDANG</v>
      </c>
      <c r="F131" s="11">
        <f>IFERROR(__xludf.DUMMYFUNCTION("""COMPUTED_VALUE"""),2.0)</f>
        <v>2</v>
      </c>
      <c r="G131" s="11">
        <f>IFERROR(__xludf.DUMMYFUNCTION("""COMPUTED_VALUE"""),4.0)</f>
        <v>4</v>
      </c>
      <c r="H131" s="11">
        <f>IFERROR(__xludf.DUMMYFUNCTION("""COMPUTED_VALUE"""),10.0)</f>
        <v>10</v>
      </c>
      <c r="I131" s="11">
        <v>10.0</v>
      </c>
    </row>
    <row r="132">
      <c r="A132" s="9" t="str">
        <f>IFERROR(__xludf.DUMMYFUNCTION("""COMPUTED_VALUE"""),"DR 8792 KC")</f>
        <v>DR 8792 KC</v>
      </c>
      <c r="B132" s="9" t="str">
        <f>IFERROR(__xludf.DUMMYFUNCTION("""COMPUTED_VALUE"""),"TLPG LOMBOK")</f>
        <v>TLPG LOMBOK</v>
      </c>
      <c r="C132" s="9" t="str">
        <f>IFERROR(__xludf.DUMMYFUNCTION("""COMPUTED_VALUE"""),"SPPBE-PT. Anugrah Narwastu Raya")</f>
        <v>SPPBE-PT. Anugrah Narwastu Raya</v>
      </c>
      <c r="D132" s="11">
        <f>IFERROR(__xludf.DUMMYFUNCTION("""COMPUTED_VALUE"""),104.3)</f>
        <v>104.3</v>
      </c>
      <c r="E132" s="11" t="str">
        <f>IFERROR(__xludf.DUMMYFUNCTION("""COMPUTED_VALUE"""),"SEDANG")</f>
        <v>SEDANG</v>
      </c>
      <c r="F132" s="11">
        <f>IFERROR(__xludf.DUMMYFUNCTION("""COMPUTED_VALUE"""),2.0)</f>
        <v>2</v>
      </c>
      <c r="G132" s="11">
        <f>IFERROR(__xludf.DUMMYFUNCTION("""COMPUTED_VALUE"""),10.0)</f>
        <v>10</v>
      </c>
      <c r="H132" s="11">
        <f>IFERROR(__xludf.DUMMYFUNCTION("""COMPUTED_VALUE"""),11.0)</f>
        <v>11</v>
      </c>
      <c r="I132" s="11">
        <v>11.0</v>
      </c>
    </row>
    <row r="133">
      <c r="A133" s="9" t="str">
        <f>IFERROR(__xludf.DUMMYFUNCTION("""COMPUTED_VALUE"""),"S 8316 AI")</f>
        <v>S 8316 AI</v>
      </c>
      <c r="B133" s="9" t="str">
        <f>IFERROR(__xludf.DUMMYFUNCTION("""COMPUTED_VALUE"""),"TLPG TJ PERAK")</f>
        <v>TLPG TJ PERAK</v>
      </c>
      <c r="C133" s="9" t="str">
        <f>IFERROR(__xludf.DUMMYFUNCTION("""COMPUTED_VALUE"""),"PT SWARNA BINA UTAMA")</f>
        <v>PT SWARNA BINA UTAMA</v>
      </c>
      <c r="D133" s="11">
        <f>IFERROR(__xludf.DUMMYFUNCTION("""COMPUTED_VALUE"""),104.1)</f>
        <v>104.1</v>
      </c>
      <c r="E133" s="11" t="str">
        <f>IFERROR(__xludf.DUMMYFUNCTION("""COMPUTED_VALUE"""),"SEDANG")</f>
        <v>SEDANG</v>
      </c>
      <c r="F133" s="11">
        <f>IFERROR(__xludf.DUMMYFUNCTION("""COMPUTED_VALUE"""),2.0)</f>
        <v>2</v>
      </c>
      <c r="G133" s="11">
        <f>IFERROR(__xludf.DUMMYFUNCTION("""COMPUTED_VALUE"""),1.0)</f>
        <v>1</v>
      </c>
      <c r="H133" s="11">
        <f>IFERROR(__xludf.DUMMYFUNCTION("""COMPUTED_VALUE"""),12.0)</f>
        <v>12</v>
      </c>
      <c r="I133" s="11">
        <v>12.0</v>
      </c>
    </row>
    <row r="134">
      <c r="A134" s="9" t="str">
        <f>IFERROR(__xludf.DUMMYFUNCTION("""COMPUTED_VALUE"""),"N 8661 UR")</f>
        <v>N 8661 UR</v>
      </c>
      <c r="B134" s="9" t="str">
        <f>IFERROR(__xludf.DUMMYFUNCTION("""COMPUTED_VALUE"""),"TLPG TJ PERAK")</f>
        <v>TLPG TJ PERAK</v>
      </c>
      <c r="C134" s="9" t="str">
        <f>IFERROR(__xludf.DUMMYFUNCTION("""COMPUTED_VALUE"""),"PT SUMBER GAS INTI UTAMA")</f>
        <v>PT SUMBER GAS INTI UTAMA</v>
      </c>
      <c r="D134" s="11">
        <f>IFERROR(__xludf.DUMMYFUNCTION("""COMPUTED_VALUE"""),103.5)</f>
        <v>103.5</v>
      </c>
      <c r="E134" s="11" t="str">
        <f>IFERROR(__xludf.DUMMYFUNCTION("""COMPUTED_VALUE"""),"SEDANG")</f>
        <v>SEDANG</v>
      </c>
      <c r="F134" s="11">
        <f>IFERROR(__xludf.DUMMYFUNCTION("""COMPUTED_VALUE"""),2.0)</f>
        <v>2</v>
      </c>
      <c r="G134" s="11">
        <f>IFERROR(__xludf.DUMMYFUNCTION("""COMPUTED_VALUE"""),8.0)</f>
        <v>8</v>
      </c>
      <c r="H134" s="11">
        <f>IFERROR(__xludf.DUMMYFUNCTION("""COMPUTED_VALUE"""),1.0)</f>
        <v>1</v>
      </c>
      <c r="I134" s="11">
        <v>1.0</v>
      </c>
    </row>
    <row r="135">
      <c r="A135" s="9" t="str">
        <f>IFERROR(__xludf.DUMMYFUNCTION("""COMPUTED_VALUE"""),"DK 8018 UF")</f>
        <v>DK 8018 UF</v>
      </c>
      <c r="B135" s="9" t="str">
        <f>IFERROR(__xludf.DUMMYFUNCTION("""COMPUTED_VALUE"""),"TLPG MANGGIS")</f>
        <v>TLPG MANGGIS</v>
      </c>
      <c r="C135" s="9" t="str">
        <f>IFERROR(__xludf.DUMMYFUNCTION("""COMPUTED_VALUE"""),"SPPBE-PT. Gaya Investama")</f>
        <v>SPPBE-PT. Gaya Investama</v>
      </c>
      <c r="D135" s="11">
        <f>IFERROR(__xludf.DUMMYFUNCTION("""COMPUTED_VALUE"""),102.0)</f>
        <v>102</v>
      </c>
      <c r="E135" s="11" t="str">
        <f>IFERROR(__xludf.DUMMYFUNCTION("""COMPUTED_VALUE"""),"SEDANG")</f>
        <v>SEDANG</v>
      </c>
      <c r="F135" s="11">
        <f>IFERROR(__xludf.DUMMYFUNCTION("""COMPUTED_VALUE"""),2.0)</f>
        <v>2</v>
      </c>
      <c r="G135" s="11">
        <f>IFERROR(__xludf.DUMMYFUNCTION("""COMPUTED_VALUE"""),1.0)</f>
        <v>1</v>
      </c>
      <c r="H135" s="11">
        <f>IFERROR(__xludf.DUMMYFUNCTION("""COMPUTED_VALUE"""),2.0)</f>
        <v>2</v>
      </c>
      <c r="I135" s="11">
        <v>2.0</v>
      </c>
    </row>
    <row r="136">
      <c r="A136" s="9" t="str">
        <f>IFERROR(__xludf.DUMMYFUNCTION("""COMPUTED_VALUE"""),"DK 8023 UK")</f>
        <v>DK 8023 UK</v>
      </c>
      <c r="B136" s="9" t="str">
        <f>IFERROR(__xludf.DUMMYFUNCTION("""COMPUTED_VALUE"""),"TLPG MANGGIS")</f>
        <v>TLPG MANGGIS</v>
      </c>
      <c r="C136" s="9" t="str">
        <f>IFERROR(__xludf.DUMMYFUNCTION("""COMPUTED_VALUE"""),"SPPBE-PT. Gaya Investama")</f>
        <v>SPPBE-PT. Gaya Investama</v>
      </c>
      <c r="D136" s="11">
        <f>IFERROR(__xludf.DUMMYFUNCTION("""COMPUTED_VALUE"""),102.0)</f>
        <v>102</v>
      </c>
      <c r="E136" s="11" t="str">
        <f>IFERROR(__xludf.DUMMYFUNCTION("""COMPUTED_VALUE"""),"SEDANG")</f>
        <v>SEDANG</v>
      </c>
      <c r="F136" s="11">
        <f>IFERROR(__xludf.DUMMYFUNCTION("""COMPUTED_VALUE"""),2.0)</f>
        <v>2</v>
      </c>
      <c r="G136" s="11">
        <f>IFERROR(__xludf.DUMMYFUNCTION("""COMPUTED_VALUE"""),2.0)</f>
        <v>2</v>
      </c>
      <c r="H136" s="11">
        <f>IFERROR(__xludf.DUMMYFUNCTION("""COMPUTED_VALUE"""),3.0)</f>
        <v>3</v>
      </c>
      <c r="I136" s="11">
        <v>3.0</v>
      </c>
    </row>
    <row r="137">
      <c r="A137" s="9" t="str">
        <f>IFERROR(__xludf.DUMMYFUNCTION("""COMPUTED_VALUE"""),"DK 8035 UI")</f>
        <v>DK 8035 UI</v>
      </c>
      <c r="B137" s="9" t="str">
        <f>IFERROR(__xludf.DUMMYFUNCTION("""COMPUTED_VALUE"""),"TLPG MANGGIS")</f>
        <v>TLPG MANGGIS</v>
      </c>
      <c r="C137" s="9" t="str">
        <f>IFERROR(__xludf.DUMMYFUNCTION("""COMPUTED_VALUE"""),"SPPBE-PT. Gaya Investama")</f>
        <v>SPPBE-PT. Gaya Investama</v>
      </c>
      <c r="D137" s="11">
        <f>IFERROR(__xludf.DUMMYFUNCTION("""COMPUTED_VALUE"""),102.0)</f>
        <v>102</v>
      </c>
      <c r="E137" s="11" t="str">
        <f>IFERROR(__xludf.DUMMYFUNCTION("""COMPUTED_VALUE"""),"SEDANG")</f>
        <v>SEDANG</v>
      </c>
      <c r="F137" s="11">
        <f>IFERROR(__xludf.DUMMYFUNCTION("""COMPUTED_VALUE"""),2.0)</f>
        <v>2</v>
      </c>
      <c r="G137" s="11">
        <f>IFERROR(__xludf.DUMMYFUNCTION("""COMPUTED_VALUE"""),2.0)</f>
        <v>2</v>
      </c>
      <c r="H137" s="11">
        <f>IFERROR(__xludf.DUMMYFUNCTION("""COMPUTED_VALUE"""),4.0)</f>
        <v>4</v>
      </c>
      <c r="I137" s="11">
        <v>4.0</v>
      </c>
    </row>
    <row r="138">
      <c r="A138" s="9" t="str">
        <f>IFERROR(__xludf.DUMMYFUNCTION("""COMPUTED_VALUE"""),"DK 8902 UW")</f>
        <v>DK 8902 UW</v>
      </c>
      <c r="B138" s="9" t="str">
        <f>IFERROR(__xludf.DUMMYFUNCTION("""COMPUTED_VALUE"""),"TLPG MANGGIS")</f>
        <v>TLPG MANGGIS</v>
      </c>
      <c r="C138" s="9" t="str">
        <f>IFERROR(__xludf.DUMMYFUNCTION("""COMPUTED_VALUE"""),"PT. Gaya Investama")</f>
        <v>PT. Gaya Investama</v>
      </c>
      <c r="D138" s="11">
        <f>IFERROR(__xludf.DUMMYFUNCTION("""COMPUTED_VALUE"""),102.0)</f>
        <v>102</v>
      </c>
      <c r="E138" s="11" t="str">
        <f>IFERROR(__xludf.DUMMYFUNCTION("""COMPUTED_VALUE"""),"SEDANG")</f>
        <v>SEDANG</v>
      </c>
      <c r="F138" s="11">
        <f>IFERROR(__xludf.DUMMYFUNCTION("""COMPUTED_VALUE"""),2.0)</f>
        <v>2</v>
      </c>
      <c r="G138" s="11">
        <f>IFERROR(__xludf.DUMMYFUNCTION("""COMPUTED_VALUE"""),8.0)</f>
        <v>8</v>
      </c>
      <c r="H138" s="11">
        <f>IFERROR(__xludf.DUMMYFUNCTION("""COMPUTED_VALUE"""),5.0)</f>
        <v>5</v>
      </c>
      <c r="I138" s="11">
        <v>5.0</v>
      </c>
    </row>
    <row r="139">
      <c r="A139" s="9" t="str">
        <f>IFERROR(__xludf.DUMMYFUNCTION("""COMPUTED_VALUE"""),"AG 8263 UW")</f>
        <v>AG 8263 UW</v>
      </c>
      <c r="B139" s="9" t="str">
        <f>IFERROR(__xludf.DUMMYFUNCTION("""COMPUTED_VALUE"""),"TLPG TJ PERAK")</f>
        <v>TLPG TJ PERAK</v>
      </c>
      <c r="C139" s="9" t="str">
        <f>IFERROR(__xludf.DUMMYFUNCTION("""COMPUTED_VALUE"""),"PT LAMONGAN JOYO")</f>
        <v>PT LAMONGAN JOYO</v>
      </c>
      <c r="D139" s="11">
        <f>IFERROR(__xludf.DUMMYFUNCTION("""COMPUTED_VALUE"""),101.5)</f>
        <v>101.5</v>
      </c>
      <c r="E139" s="11" t="str">
        <f>IFERROR(__xludf.DUMMYFUNCTION("""COMPUTED_VALUE"""),"SEDANG")</f>
        <v>SEDANG</v>
      </c>
      <c r="F139" s="11">
        <f>IFERROR(__xludf.DUMMYFUNCTION("""COMPUTED_VALUE"""),2.0)</f>
        <v>2</v>
      </c>
      <c r="G139" s="11">
        <f>IFERROR(__xludf.DUMMYFUNCTION("""COMPUTED_VALUE"""),3.0)</f>
        <v>3</v>
      </c>
      <c r="H139" s="11">
        <f>IFERROR(__xludf.DUMMYFUNCTION("""COMPUTED_VALUE"""),6.0)</f>
        <v>6</v>
      </c>
      <c r="I139" s="11">
        <v>6.0</v>
      </c>
    </row>
    <row r="140">
      <c r="A140" s="9" t="str">
        <f>IFERROR(__xludf.DUMMYFUNCTION("""COMPUTED_VALUE"""),"M 8025 UN")</f>
        <v>M 8025 UN</v>
      </c>
      <c r="B140" s="9" t="str">
        <f>IFERROR(__xludf.DUMMYFUNCTION("""COMPUTED_VALUE"""),"TLPG TJ PERAK")</f>
        <v>TLPG TJ PERAK</v>
      </c>
      <c r="C140" s="9" t="str">
        <f>IFERROR(__xludf.DUMMYFUNCTION("""COMPUTED_VALUE"""),"PT ASAPERKASA ABIMULYA")</f>
        <v>PT ASAPERKASA ABIMULYA</v>
      </c>
      <c r="D140" s="11">
        <f>IFERROR(__xludf.DUMMYFUNCTION("""COMPUTED_VALUE"""),101.3)</f>
        <v>101.3</v>
      </c>
      <c r="E140" s="11" t="str">
        <f>IFERROR(__xludf.DUMMYFUNCTION("""COMPUTED_VALUE"""),"SEDANG")</f>
        <v>SEDANG</v>
      </c>
      <c r="F140" s="11">
        <f>IFERROR(__xludf.DUMMYFUNCTION("""COMPUTED_VALUE"""),2.0)</f>
        <v>2</v>
      </c>
      <c r="G140" s="11">
        <f>IFERROR(__xludf.DUMMYFUNCTION("""COMPUTED_VALUE"""),7.0)</f>
        <v>7</v>
      </c>
      <c r="H140" s="11">
        <f>IFERROR(__xludf.DUMMYFUNCTION("""COMPUTED_VALUE"""),7.0)</f>
        <v>7</v>
      </c>
      <c r="I140" s="11">
        <v>7.0</v>
      </c>
    </row>
    <row r="141">
      <c r="A141" s="9" t="str">
        <f>IFERROR(__xludf.DUMMYFUNCTION("""COMPUTED_VALUE"""),"M 9489 UN")</f>
        <v>M 9489 UN</v>
      </c>
      <c r="B141" s="9" t="str">
        <f>IFERROR(__xludf.DUMMYFUNCTION("""COMPUTED_VALUE"""),"TLPG TJ PERAK")</f>
        <v>TLPG TJ PERAK</v>
      </c>
      <c r="C141" s="9" t="str">
        <f>IFERROR(__xludf.DUMMYFUNCTION("""COMPUTED_VALUE"""),"PT ASAPERKASA ABIMULYA")</f>
        <v>PT ASAPERKASA ABIMULYA</v>
      </c>
      <c r="D141" s="11">
        <f>IFERROR(__xludf.DUMMYFUNCTION("""COMPUTED_VALUE"""),101.3)</f>
        <v>101.3</v>
      </c>
      <c r="E141" s="11" t="str">
        <f>IFERROR(__xludf.DUMMYFUNCTION("""COMPUTED_VALUE"""),"SEDANG")</f>
        <v>SEDANG</v>
      </c>
      <c r="F141" s="11">
        <f>IFERROR(__xludf.DUMMYFUNCTION("""COMPUTED_VALUE"""),2.0)</f>
        <v>2</v>
      </c>
      <c r="G141" s="11">
        <f>IFERROR(__xludf.DUMMYFUNCTION("""COMPUTED_VALUE"""),7.0)</f>
        <v>7</v>
      </c>
      <c r="H141" s="11">
        <f>IFERROR(__xludf.DUMMYFUNCTION("""COMPUTED_VALUE"""),8.0)</f>
        <v>8</v>
      </c>
      <c r="I141" s="11">
        <v>8.0</v>
      </c>
    </row>
    <row r="142">
      <c r="A142" s="9" t="str">
        <f>IFERROR(__xludf.DUMMYFUNCTION("""COMPUTED_VALUE"""),"S 8052 UZ")</f>
        <v>S 8052 UZ</v>
      </c>
      <c r="B142" s="9" t="str">
        <f>IFERROR(__xludf.DUMMYFUNCTION("""COMPUTED_VALUE"""),"TLPG TJ PERAK")</f>
        <v>TLPG TJ PERAK</v>
      </c>
      <c r="C142" s="9" t="str">
        <f>IFERROR(__xludf.DUMMYFUNCTION("""COMPUTED_VALUE"""),"PT SUMBER BINA USAHA MANDIRI")</f>
        <v>PT SUMBER BINA USAHA MANDIRI</v>
      </c>
      <c r="D142" s="11">
        <f>IFERROR(__xludf.DUMMYFUNCTION("""COMPUTED_VALUE"""),98.5)</f>
        <v>98.5</v>
      </c>
      <c r="E142" s="11" t="str">
        <f>IFERROR(__xludf.DUMMYFUNCTION("""COMPUTED_VALUE"""),"SEDANG")</f>
        <v>SEDANG</v>
      </c>
      <c r="F142" s="11">
        <f>IFERROR(__xludf.DUMMYFUNCTION("""COMPUTED_VALUE"""),2.0)</f>
        <v>2</v>
      </c>
      <c r="G142" s="11">
        <f>IFERROR(__xludf.DUMMYFUNCTION("""COMPUTED_VALUE"""),10.0)</f>
        <v>10</v>
      </c>
      <c r="H142" s="11">
        <f>IFERROR(__xludf.DUMMYFUNCTION("""COMPUTED_VALUE"""),9.0)</f>
        <v>9</v>
      </c>
      <c r="I142" s="11">
        <v>9.0</v>
      </c>
    </row>
    <row r="143">
      <c r="A143" s="9" t="str">
        <f>IFERROR(__xludf.DUMMYFUNCTION("""COMPUTED_VALUE"""),"S 8141 UZ")</f>
        <v>S 8141 UZ</v>
      </c>
      <c r="B143" s="9" t="str">
        <f>IFERROR(__xludf.DUMMYFUNCTION("""COMPUTED_VALUE"""),"TLPG TJ PERAK")</f>
        <v>TLPG TJ PERAK</v>
      </c>
      <c r="C143" s="9" t="str">
        <f>IFERROR(__xludf.DUMMYFUNCTION("""COMPUTED_VALUE"""),"PT SUMBER BINA USAHA MANDIRI")</f>
        <v>PT SUMBER BINA USAHA MANDIRI</v>
      </c>
      <c r="D143" s="11">
        <f>IFERROR(__xludf.DUMMYFUNCTION("""COMPUTED_VALUE"""),98.5)</f>
        <v>98.5</v>
      </c>
      <c r="E143" s="11" t="str">
        <f>IFERROR(__xludf.DUMMYFUNCTION("""COMPUTED_VALUE"""),"SEDANG")</f>
        <v>SEDANG</v>
      </c>
      <c r="F143" s="11">
        <f>IFERROR(__xludf.DUMMYFUNCTION("""COMPUTED_VALUE"""),2.0)</f>
        <v>2</v>
      </c>
      <c r="G143" s="11">
        <f>IFERROR(__xludf.DUMMYFUNCTION("""COMPUTED_VALUE"""),10.0)</f>
        <v>10</v>
      </c>
      <c r="H143" s="11">
        <f>IFERROR(__xludf.DUMMYFUNCTION("""COMPUTED_VALUE"""),10.0)</f>
        <v>10</v>
      </c>
      <c r="I143" s="11">
        <v>10.0</v>
      </c>
    </row>
    <row r="144">
      <c r="A144" s="9" t="str">
        <f>IFERROR(__xludf.DUMMYFUNCTION("""COMPUTED_VALUE"""),"L 9161 UB")</f>
        <v>L 9161 UB</v>
      </c>
      <c r="B144" s="9" t="str">
        <f>IFERROR(__xludf.DUMMYFUNCTION("""COMPUTED_VALUE"""),"TLPG TJ PERAK")</f>
        <v>TLPG TJ PERAK</v>
      </c>
      <c r="C144" s="9" t="str">
        <f>IFERROR(__xludf.DUMMYFUNCTION("""COMPUTED_VALUE"""),"PT GEHA INTI CITRA")</f>
        <v>PT GEHA INTI CITRA</v>
      </c>
      <c r="D144" s="11">
        <f>IFERROR(__xludf.DUMMYFUNCTION("""COMPUTED_VALUE"""),98.1)</f>
        <v>98.1</v>
      </c>
      <c r="E144" s="11" t="str">
        <f>IFERROR(__xludf.DUMMYFUNCTION("""COMPUTED_VALUE"""),"SEDANG")</f>
        <v>SEDANG</v>
      </c>
      <c r="F144" s="11">
        <f>IFERROR(__xludf.DUMMYFUNCTION("""COMPUTED_VALUE"""),2.0)</f>
        <v>2</v>
      </c>
      <c r="G144" s="11">
        <f>IFERROR(__xludf.DUMMYFUNCTION("""COMPUTED_VALUE"""),6.0)</f>
        <v>6</v>
      </c>
      <c r="H144" s="11">
        <f>IFERROR(__xludf.DUMMYFUNCTION("""COMPUTED_VALUE"""),11.0)</f>
        <v>11</v>
      </c>
      <c r="I144" s="11">
        <v>11.0</v>
      </c>
    </row>
    <row r="145">
      <c r="A145" s="9" t="str">
        <f>IFERROR(__xludf.DUMMYFUNCTION("""COMPUTED_VALUE"""),"L 9290 UQ")</f>
        <v>L 9290 UQ</v>
      </c>
      <c r="B145" s="9" t="str">
        <f>IFERROR(__xludf.DUMMYFUNCTION("""COMPUTED_VALUE"""),"TLPG TJ PERAK")</f>
        <v>TLPG TJ PERAK</v>
      </c>
      <c r="C145" s="9" t="str">
        <f>IFERROR(__xludf.DUMMYFUNCTION("""COMPUTED_VALUE"""),"PT GEHA INTI CITRA")</f>
        <v>PT GEHA INTI CITRA</v>
      </c>
      <c r="D145" s="11">
        <f>IFERROR(__xludf.DUMMYFUNCTION("""COMPUTED_VALUE"""),98.1)</f>
        <v>98.1</v>
      </c>
      <c r="E145" s="11" t="str">
        <f>IFERROR(__xludf.DUMMYFUNCTION("""COMPUTED_VALUE"""),"SEDANG")</f>
        <v>SEDANG</v>
      </c>
      <c r="F145" s="11">
        <f>IFERROR(__xludf.DUMMYFUNCTION("""COMPUTED_VALUE"""),2.0)</f>
        <v>2</v>
      </c>
      <c r="G145" s="11">
        <f>IFERROR(__xludf.DUMMYFUNCTION("""COMPUTED_VALUE"""),6.0)</f>
        <v>6</v>
      </c>
      <c r="H145" s="11">
        <f>IFERROR(__xludf.DUMMYFUNCTION("""COMPUTED_VALUE"""),12.0)</f>
        <v>12</v>
      </c>
      <c r="I145" s="11">
        <v>12.0</v>
      </c>
    </row>
    <row r="146">
      <c r="A146" s="9" t="str">
        <f>IFERROR(__xludf.DUMMYFUNCTION("""COMPUTED_VALUE"""),"L 8333 UCA")</f>
        <v>L 8333 UCA</v>
      </c>
      <c r="B146" s="9" t="str">
        <f>IFERROR(__xludf.DUMMYFUNCTION("""COMPUTED_VALUE"""),"TLPG TJ PERAK")</f>
        <v>TLPG TJ PERAK</v>
      </c>
      <c r="C146" s="9" t="str">
        <f>IFERROR(__xludf.DUMMYFUNCTION("""COMPUTED_VALUE"""),"PT GEHA INTI CITRA")</f>
        <v>PT GEHA INTI CITRA</v>
      </c>
      <c r="D146" s="11">
        <f>IFERROR(__xludf.DUMMYFUNCTION("""COMPUTED_VALUE"""),98.1)</f>
        <v>98.1</v>
      </c>
      <c r="E146" s="11" t="str">
        <f>IFERROR(__xludf.DUMMYFUNCTION("""COMPUTED_VALUE"""),"SEDANG")</f>
        <v>SEDANG</v>
      </c>
      <c r="F146" s="11">
        <f>IFERROR(__xludf.DUMMYFUNCTION("""COMPUTED_VALUE"""),2.0)</f>
        <v>2</v>
      </c>
      <c r="G146" s="11">
        <f>IFERROR(__xludf.DUMMYFUNCTION("""COMPUTED_VALUE"""),8.0)</f>
        <v>8</v>
      </c>
      <c r="H146" s="11">
        <f>IFERROR(__xludf.DUMMYFUNCTION("""COMPUTED_VALUE"""),1.0)</f>
        <v>1</v>
      </c>
      <c r="I146" s="11">
        <v>1.0</v>
      </c>
    </row>
    <row r="147">
      <c r="A147" s="9" t="str">
        <f>IFERROR(__xludf.DUMMYFUNCTION("""COMPUTED_VALUE"""),"DR 8653 AG")</f>
        <v>DR 8653 AG</v>
      </c>
      <c r="B147" s="9" t="str">
        <f>IFERROR(__xludf.DUMMYFUNCTION("""COMPUTED_VALUE"""),"TLPG LOMBOK")</f>
        <v>TLPG LOMBOK</v>
      </c>
      <c r="C147" s="9" t="str">
        <f>IFERROR(__xludf.DUMMYFUNCTION("""COMPUTED_VALUE"""),"SPPBE-PT. Dinamika Utama Karya")</f>
        <v>SPPBE-PT. Dinamika Utama Karya</v>
      </c>
      <c r="D147" s="11">
        <f>IFERROR(__xludf.DUMMYFUNCTION("""COMPUTED_VALUE"""),95.2)</f>
        <v>95.2</v>
      </c>
      <c r="E147" s="11" t="str">
        <f>IFERROR(__xludf.DUMMYFUNCTION("""COMPUTED_VALUE"""),"SEDANG")</f>
        <v>SEDANG</v>
      </c>
      <c r="F147" s="11">
        <f>IFERROR(__xludf.DUMMYFUNCTION("""COMPUTED_VALUE"""),2.0)</f>
        <v>2</v>
      </c>
      <c r="G147" s="11">
        <f>IFERROR(__xludf.DUMMYFUNCTION("""COMPUTED_VALUE"""),8.0)</f>
        <v>8</v>
      </c>
      <c r="H147" s="11">
        <f>IFERROR(__xludf.DUMMYFUNCTION("""COMPUTED_VALUE"""),2.0)</f>
        <v>2</v>
      </c>
      <c r="I147" s="11">
        <v>2.0</v>
      </c>
    </row>
    <row r="148">
      <c r="A148" s="9" t="str">
        <f>IFERROR(__xludf.DUMMYFUNCTION("""COMPUTED_VALUE"""),"DR 8751 AF")</f>
        <v>DR 8751 AF</v>
      </c>
      <c r="B148" s="9" t="str">
        <f>IFERROR(__xludf.DUMMYFUNCTION("""COMPUTED_VALUE"""),"TLPG LOMBOK")</f>
        <v>TLPG LOMBOK</v>
      </c>
      <c r="C148" s="9" t="str">
        <f>IFERROR(__xludf.DUMMYFUNCTION("""COMPUTED_VALUE"""),"SPPBE-PT. Dinamika Utama Karya")</f>
        <v>SPPBE-PT. Dinamika Utama Karya</v>
      </c>
      <c r="D148" s="11">
        <f>IFERROR(__xludf.DUMMYFUNCTION("""COMPUTED_VALUE"""),95.2)</f>
        <v>95.2</v>
      </c>
      <c r="E148" s="11" t="str">
        <f>IFERROR(__xludf.DUMMYFUNCTION("""COMPUTED_VALUE"""),"SEDANG")</f>
        <v>SEDANG</v>
      </c>
      <c r="F148" s="11">
        <f>IFERROR(__xludf.DUMMYFUNCTION("""COMPUTED_VALUE"""),2.0)</f>
        <v>2</v>
      </c>
      <c r="G148" s="11">
        <f>IFERROR(__xludf.DUMMYFUNCTION("""COMPUTED_VALUE"""),9.0)</f>
        <v>9</v>
      </c>
      <c r="H148" s="11">
        <f>IFERROR(__xludf.DUMMYFUNCTION("""COMPUTED_VALUE"""),3.0)</f>
        <v>3</v>
      </c>
      <c r="I148" s="11">
        <v>3.0</v>
      </c>
    </row>
    <row r="149">
      <c r="A149" s="9" t="str">
        <f>IFERROR(__xludf.DUMMYFUNCTION("""COMPUTED_VALUE"""),"S 8236 UZ")</f>
        <v>S 8236 UZ</v>
      </c>
      <c r="B149" s="9" t="str">
        <f>IFERROR(__xludf.DUMMYFUNCTION("""COMPUTED_VALUE"""),"TLPG TJ PERAK")</f>
        <v>TLPG TJ PERAK</v>
      </c>
      <c r="C149" s="9" t="str">
        <f>IFERROR(__xludf.DUMMYFUNCTION("""COMPUTED_VALUE"""),"PT GAS BUMI NUSANTARA JAYA")</f>
        <v>PT GAS BUMI NUSANTARA JAYA</v>
      </c>
      <c r="D149" s="11">
        <f>IFERROR(__xludf.DUMMYFUNCTION("""COMPUTED_VALUE"""),94.9)</f>
        <v>94.9</v>
      </c>
      <c r="E149" s="11" t="str">
        <f>IFERROR(__xludf.DUMMYFUNCTION("""COMPUTED_VALUE"""),"SEDANG")</f>
        <v>SEDANG</v>
      </c>
      <c r="F149" s="11">
        <f>IFERROR(__xludf.DUMMYFUNCTION("""COMPUTED_VALUE"""),2.0)</f>
        <v>2</v>
      </c>
      <c r="G149" s="11">
        <f>IFERROR(__xludf.DUMMYFUNCTION("""COMPUTED_VALUE"""),10.0)</f>
        <v>10</v>
      </c>
      <c r="H149" s="11">
        <f>IFERROR(__xludf.DUMMYFUNCTION("""COMPUTED_VALUE"""),4.0)</f>
        <v>4</v>
      </c>
      <c r="I149" s="11">
        <v>4.0</v>
      </c>
    </row>
    <row r="150">
      <c r="A150" s="9" t="str">
        <f>IFERROR(__xludf.DUMMYFUNCTION("""COMPUTED_VALUE"""),"S 8237 UZ")</f>
        <v>S 8237 UZ</v>
      </c>
      <c r="B150" s="9" t="str">
        <f>IFERROR(__xludf.DUMMYFUNCTION("""COMPUTED_VALUE"""),"TLPG TJ PERAK")</f>
        <v>TLPG TJ PERAK</v>
      </c>
      <c r="C150" s="9" t="str">
        <f>IFERROR(__xludf.DUMMYFUNCTION("""COMPUTED_VALUE"""),"PT GAS BUMI NUSANTARA JAYA")</f>
        <v>PT GAS BUMI NUSANTARA JAYA</v>
      </c>
      <c r="D150" s="11">
        <f>IFERROR(__xludf.DUMMYFUNCTION("""COMPUTED_VALUE"""),94.9)</f>
        <v>94.9</v>
      </c>
      <c r="E150" s="11" t="str">
        <f>IFERROR(__xludf.DUMMYFUNCTION("""COMPUTED_VALUE"""),"SEDANG")</f>
        <v>SEDANG</v>
      </c>
      <c r="F150" s="11">
        <f>IFERROR(__xludf.DUMMYFUNCTION("""COMPUTED_VALUE"""),2.0)</f>
        <v>2</v>
      </c>
      <c r="G150" s="11">
        <f>IFERROR(__xludf.DUMMYFUNCTION("""COMPUTED_VALUE"""),11.0)</f>
        <v>11</v>
      </c>
      <c r="H150" s="11">
        <f>IFERROR(__xludf.DUMMYFUNCTION("""COMPUTED_VALUE"""),5.0)</f>
        <v>5</v>
      </c>
      <c r="I150" s="11">
        <v>5.0</v>
      </c>
    </row>
    <row r="151">
      <c r="A151" s="9" t="str">
        <f>IFERROR(__xludf.DUMMYFUNCTION("""COMPUTED_VALUE"""),"DK 8146 BZ")</f>
        <v>DK 8146 BZ</v>
      </c>
      <c r="B151" s="9" t="str">
        <f>IFERROR(__xludf.DUMMYFUNCTION("""COMPUTED_VALUE"""),"TLPG MANGGIS")</f>
        <v>TLPG MANGGIS</v>
      </c>
      <c r="C151" s="9" t="str">
        <f>IFERROR(__xludf.DUMMYFUNCTION("""COMPUTED_VALUE"""),"SPPBE-PT. Pande Agung Dewata")</f>
        <v>SPPBE-PT. Pande Agung Dewata</v>
      </c>
      <c r="D151" s="11">
        <f>IFERROR(__xludf.DUMMYFUNCTION("""COMPUTED_VALUE"""),93.9)</f>
        <v>93.9</v>
      </c>
      <c r="E151" s="11" t="str">
        <f>IFERROR(__xludf.DUMMYFUNCTION("""COMPUTED_VALUE"""),"SEDANG")</f>
        <v>SEDANG</v>
      </c>
      <c r="F151" s="11">
        <f>IFERROR(__xludf.DUMMYFUNCTION("""COMPUTED_VALUE"""),2.0)</f>
        <v>2</v>
      </c>
      <c r="G151" s="11">
        <f>IFERROR(__xludf.DUMMYFUNCTION("""COMPUTED_VALUE"""),3.0)</f>
        <v>3</v>
      </c>
      <c r="H151" s="11">
        <f>IFERROR(__xludf.DUMMYFUNCTION("""COMPUTED_VALUE"""),6.0)</f>
        <v>6</v>
      </c>
      <c r="I151" s="11">
        <v>6.0</v>
      </c>
    </row>
    <row r="152">
      <c r="A152" s="9" t="str">
        <f>IFERROR(__xludf.DUMMYFUNCTION("""COMPUTED_VALUE"""),"DK 8859 CK")</f>
        <v>DK 8859 CK</v>
      </c>
      <c r="B152" s="9" t="str">
        <f>IFERROR(__xludf.DUMMYFUNCTION("""COMPUTED_VALUE"""),"TLPG MANGGIS")</f>
        <v>TLPG MANGGIS</v>
      </c>
      <c r="C152" s="9" t="str">
        <f>IFERROR(__xludf.DUMMYFUNCTION("""COMPUTED_VALUE"""),"SPPBE-PT. Pande Agung Dewata")</f>
        <v>SPPBE-PT. Pande Agung Dewata</v>
      </c>
      <c r="D152" s="11">
        <f>IFERROR(__xludf.DUMMYFUNCTION("""COMPUTED_VALUE"""),93.9)</f>
        <v>93.9</v>
      </c>
      <c r="E152" s="11" t="str">
        <f>IFERROR(__xludf.DUMMYFUNCTION("""COMPUTED_VALUE"""),"SEDANG")</f>
        <v>SEDANG</v>
      </c>
      <c r="F152" s="11">
        <f>IFERROR(__xludf.DUMMYFUNCTION("""COMPUTED_VALUE"""),2.0)</f>
        <v>2</v>
      </c>
      <c r="G152" s="11">
        <f>IFERROR(__xludf.DUMMYFUNCTION("""COMPUTED_VALUE"""),5.0)</f>
        <v>5</v>
      </c>
      <c r="H152" s="11">
        <f>IFERROR(__xludf.DUMMYFUNCTION("""COMPUTED_VALUE"""),7.0)</f>
        <v>7</v>
      </c>
      <c r="I152" s="11">
        <v>7.0</v>
      </c>
    </row>
    <row r="153">
      <c r="A153" s="9" t="str">
        <f>IFERROR(__xludf.DUMMYFUNCTION("""COMPUTED_VALUE"""),"DK 8565 BS")</f>
        <v>DK 8565 BS</v>
      </c>
      <c r="B153" s="9" t="str">
        <f>IFERROR(__xludf.DUMMYFUNCTION("""COMPUTED_VALUE"""),"TLPG MANGGIS")</f>
        <v>TLPG MANGGIS</v>
      </c>
      <c r="C153" s="9" t="str">
        <f>IFERROR(__xludf.DUMMYFUNCTION("""COMPUTED_VALUE"""),"SPPBE-PT. Pande Agung Dewata")</f>
        <v>SPPBE-PT. Pande Agung Dewata</v>
      </c>
      <c r="D153" s="11">
        <f>IFERROR(__xludf.DUMMYFUNCTION("""COMPUTED_VALUE"""),93.9)</f>
        <v>93.9</v>
      </c>
      <c r="E153" s="11" t="str">
        <f>IFERROR(__xludf.DUMMYFUNCTION("""COMPUTED_VALUE"""),"SEDANG")</f>
        <v>SEDANG</v>
      </c>
      <c r="F153" s="11">
        <f>IFERROR(__xludf.DUMMYFUNCTION("""COMPUTED_VALUE"""),2.0)</f>
        <v>2</v>
      </c>
      <c r="G153" s="11">
        <f>IFERROR(__xludf.DUMMYFUNCTION("""COMPUTED_VALUE"""),9.0)</f>
        <v>9</v>
      </c>
      <c r="H153" s="11">
        <f>IFERROR(__xludf.DUMMYFUNCTION("""COMPUTED_VALUE"""),8.0)</f>
        <v>8</v>
      </c>
      <c r="I153" s="11">
        <v>8.0</v>
      </c>
    </row>
    <row r="154">
      <c r="A154" s="9" t="str">
        <f>IFERROR(__xludf.DUMMYFUNCTION("""COMPUTED_VALUE"""),"S 9343 UZ")</f>
        <v>S 9343 UZ</v>
      </c>
      <c r="B154" s="9" t="str">
        <f>IFERROR(__xludf.DUMMYFUNCTION("""COMPUTED_VALUE"""),"TLPG TJ PERAK")</f>
        <v>TLPG TJ PERAK</v>
      </c>
      <c r="C154" s="9" t="str">
        <f>IFERROR(__xludf.DUMMYFUNCTION("""COMPUTED_VALUE"""),"PT DIVA GAS")</f>
        <v>PT DIVA GAS</v>
      </c>
      <c r="D154" s="11">
        <f>IFERROR(__xludf.DUMMYFUNCTION("""COMPUTED_VALUE"""),92.0)</f>
        <v>92</v>
      </c>
      <c r="E154" s="11" t="str">
        <f>IFERROR(__xludf.DUMMYFUNCTION("""COMPUTED_VALUE"""),"SEDANG")</f>
        <v>SEDANG</v>
      </c>
      <c r="F154" s="11">
        <f>IFERROR(__xludf.DUMMYFUNCTION("""COMPUTED_VALUE"""),2.0)</f>
        <v>2</v>
      </c>
      <c r="G154" s="11">
        <f>IFERROR(__xludf.DUMMYFUNCTION("""COMPUTED_VALUE"""),12.0)</f>
        <v>12</v>
      </c>
      <c r="H154" s="11">
        <f>IFERROR(__xludf.DUMMYFUNCTION("""COMPUTED_VALUE"""),9.0)</f>
        <v>9</v>
      </c>
      <c r="I154" s="11">
        <v>9.0</v>
      </c>
    </row>
    <row r="155">
      <c r="A155" s="9" t="str">
        <f>IFERROR(__xludf.DUMMYFUNCTION("""COMPUTED_VALUE"""),"S 8061 UC")</f>
        <v>S 8061 UC</v>
      </c>
      <c r="B155" s="9" t="str">
        <f>IFERROR(__xludf.DUMMYFUNCTION("""COMPUTED_VALUE"""),"TLPG TJ PERAK")</f>
        <v>TLPG TJ PERAK</v>
      </c>
      <c r="C155" s="9" t="str">
        <f>IFERROR(__xludf.DUMMYFUNCTION("""COMPUTED_VALUE"""),"PT LA TUNSA")</f>
        <v>PT LA TUNSA</v>
      </c>
      <c r="D155" s="11">
        <f>IFERROR(__xludf.DUMMYFUNCTION("""COMPUTED_VALUE"""),90.2)</f>
        <v>90.2</v>
      </c>
      <c r="E155" s="11" t="str">
        <f>IFERROR(__xludf.DUMMYFUNCTION("""COMPUTED_VALUE"""),"SEDANG")</f>
        <v>SEDANG</v>
      </c>
      <c r="F155" s="11">
        <f>IFERROR(__xludf.DUMMYFUNCTION("""COMPUTED_VALUE"""),2.0)</f>
        <v>2</v>
      </c>
      <c r="G155" s="11">
        <f>IFERROR(__xludf.DUMMYFUNCTION("""COMPUTED_VALUE"""),10.0)</f>
        <v>10</v>
      </c>
      <c r="H155" s="11">
        <f>IFERROR(__xludf.DUMMYFUNCTION("""COMPUTED_VALUE"""),10.0)</f>
        <v>10</v>
      </c>
      <c r="I155" s="11">
        <v>10.0</v>
      </c>
    </row>
    <row r="156">
      <c r="A156" s="9" t="str">
        <f>IFERROR(__xludf.DUMMYFUNCTION("""COMPUTED_VALUE"""),"S 8752 UC")</f>
        <v>S 8752 UC</v>
      </c>
      <c r="B156" s="9" t="str">
        <f>IFERROR(__xludf.DUMMYFUNCTION("""COMPUTED_VALUE"""),"TLPG TJ PERAK")</f>
        <v>TLPG TJ PERAK</v>
      </c>
      <c r="C156" s="9" t="str">
        <f>IFERROR(__xludf.DUMMYFUNCTION("""COMPUTED_VALUE"""),"PT LA TUNSA")</f>
        <v>PT LA TUNSA</v>
      </c>
      <c r="D156" s="11">
        <f>IFERROR(__xludf.DUMMYFUNCTION("""COMPUTED_VALUE"""),90.2)</f>
        <v>90.2</v>
      </c>
      <c r="E156" s="11" t="str">
        <f>IFERROR(__xludf.DUMMYFUNCTION("""COMPUTED_VALUE"""),"SEDANG")</f>
        <v>SEDANG</v>
      </c>
      <c r="F156" s="11">
        <f>IFERROR(__xludf.DUMMYFUNCTION("""COMPUTED_VALUE"""),2.0)</f>
        <v>2</v>
      </c>
      <c r="G156" s="11">
        <f>IFERROR(__xludf.DUMMYFUNCTION("""COMPUTED_VALUE"""),11.0)</f>
        <v>11</v>
      </c>
      <c r="H156" s="11">
        <f>IFERROR(__xludf.DUMMYFUNCTION("""COMPUTED_VALUE"""),11.0)</f>
        <v>11</v>
      </c>
      <c r="I156" s="11">
        <v>11.0</v>
      </c>
    </row>
    <row r="157">
      <c r="A157" s="9" t="str">
        <f>IFERROR(__xludf.DUMMYFUNCTION("""COMPUTED_VALUE"""),"N 8582 UE")</f>
        <v>N 8582 UE</v>
      </c>
      <c r="B157" s="9" t="str">
        <f>IFERROR(__xludf.DUMMYFUNCTION("""COMPUTED_VALUE"""),"TLPG TJ PERAK")</f>
        <v>TLPG TJ PERAK</v>
      </c>
      <c r="C157" s="9" t="str">
        <f>IFERROR(__xludf.DUMMYFUNCTION("""COMPUTED_VALUE"""),"PT TRIEN GASMIKU")</f>
        <v>PT TRIEN GASMIKU</v>
      </c>
      <c r="D157" s="11">
        <f>IFERROR(__xludf.DUMMYFUNCTION("""COMPUTED_VALUE"""),88.9)</f>
        <v>88.9</v>
      </c>
      <c r="E157" s="11" t="str">
        <f>IFERROR(__xludf.DUMMYFUNCTION("""COMPUTED_VALUE"""),"SEDANG")</f>
        <v>SEDANG</v>
      </c>
      <c r="F157" s="11">
        <f>IFERROR(__xludf.DUMMYFUNCTION("""COMPUTED_VALUE"""),2.0)</f>
        <v>2</v>
      </c>
      <c r="G157" s="11">
        <f>IFERROR(__xludf.DUMMYFUNCTION("""COMPUTED_VALUE"""),8.0)</f>
        <v>8</v>
      </c>
      <c r="H157" s="11">
        <f>IFERROR(__xludf.DUMMYFUNCTION("""COMPUTED_VALUE"""),12.0)</f>
        <v>12</v>
      </c>
      <c r="I157" s="11">
        <v>12.0</v>
      </c>
    </row>
    <row r="158">
      <c r="A158" s="9" t="str">
        <f>IFERROR(__xludf.DUMMYFUNCTION("""COMPUTED_VALUE"""),"N 8660 UH")</f>
        <v>N 8660 UH</v>
      </c>
      <c r="B158" s="9" t="str">
        <f>IFERROR(__xludf.DUMMYFUNCTION("""COMPUTED_VALUE"""),"TLPG TJ PERAK")</f>
        <v>TLPG TJ PERAK</v>
      </c>
      <c r="C158" s="9" t="str">
        <f>IFERROR(__xludf.DUMMYFUNCTION("""COMPUTED_VALUE"""),"PT TRIEN GASMIKU")</f>
        <v>PT TRIEN GASMIKU</v>
      </c>
      <c r="D158" s="11">
        <f>IFERROR(__xludf.DUMMYFUNCTION("""COMPUTED_VALUE"""),88.9)</f>
        <v>88.9</v>
      </c>
      <c r="E158" s="11" t="str">
        <f>IFERROR(__xludf.DUMMYFUNCTION("""COMPUTED_VALUE"""),"SEDANG")</f>
        <v>SEDANG</v>
      </c>
      <c r="F158" s="11">
        <f>IFERROR(__xludf.DUMMYFUNCTION("""COMPUTED_VALUE"""),2.0)</f>
        <v>2</v>
      </c>
      <c r="G158" s="11">
        <f>IFERROR(__xludf.DUMMYFUNCTION("""COMPUTED_VALUE"""),8.0)</f>
        <v>8</v>
      </c>
      <c r="H158" s="11">
        <f>IFERROR(__xludf.DUMMYFUNCTION("""COMPUTED_VALUE"""),1.0)</f>
        <v>1</v>
      </c>
      <c r="I158" s="11">
        <v>1.0</v>
      </c>
    </row>
    <row r="159">
      <c r="A159" s="9" t="str">
        <f>IFERROR(__xludf.DUMMYFUNCTION("""COMPUTED_VALUE"""),"L 8063 UUA")</f>
        <v>L 8063 UUA</v>
      </c>
      <c r="B159" s="9" t="str">
        <f>IFERROR(__xludf.DUMMYFUNCTION("""COMPUTED_VALUE"""),"TLPG TJ PERAK")</f>
        <v>TLPG TJ PERAK</v>
      </c>
      <c r="C159" s="9" t="str">
        <f>IFERROR(__xludf.DUMMYFUNCTION("""COMPUTED_VALUE"""),"PT TRIEN GASMIKU")</f>
        <v>PT TRIEN GASMIKU</v>
      </c>
      <c r="D159" s="11">
        <f>IFERROR(__xludf.DUMMYFUNCTION("""COMPUTED_VALUE"""),88.9)</f>
        <v>88.9</v>
      </c>
      <c r="E159" s="11" t="str">
        <f>IFERROR(__xludf.DUMMYFUNCTION("""COMPUTED_VALUE"""),"SEDANG")</f>
        <v>SEDANG</v>
      </c>
      <c r="F159" s="11">
        <f>IFERROR(__xludf.DUMMYFUNCTION("""COMPUTED_VALUE"""),2.0)</f>
        <v>2</v>
      </c>
      <c r="G159" s="11">
        <f>IFERROR(__xludf.DUMMYFUNCTION("""COMPUTED_VALUE"""),10.0)</f>
        <v>10</v>
      </c>
      <c r="H159" s="11">
        <f>IFERROR(__xludf.DUMMYFUNCTION("""COMPUTED_VALUE"""),2.0)</f>
        <v>2</v>
      </c>
      <c r="I159" s="11">
        <v>2.0</v>
      </c>
    </row>
    <row r="160">
      <c r="A160" s="9" t="str">
        <f>IFERROR(__xludf.DUMMYFUNCTION("""COMPUTED_VALUE"""),"N 8469 US")</f>
        <v>N 8469 US</v>
      </c>
      <c r="B160" s="9" t="str">
        <f>IFERROR(__xludf.DUMMYFUNCTION("""COMPUTED_VALUE"""),"TLPG TJ PERAK")</f>
        <v>TLPG TJ PERAK</v>
      </c>
      <c r="C160" s="9" t="str">
        <f>IFERROR(__xludf.DUMMYFUNCTION("""COMPUTED_VALUE"""),"PT TRIEN GASMIKU")</f>
        <v>PT TRIEN GASMIKU</v>
      </c>
      <c r="D160" s="11">
        <f>IFERROR(__xludf.DUMMYFUNCTION("""COMPUTED_VALUE"""),88.9)</f>
        <v>88.9</v>
      </c>
      <c r="E160" s="11" t="str">
        <f>IFERROR(__xludf.DUMMYFUNCTION("""COMPUTED_VALUE"""),"SEDANG")</f>
        <v>SEDANG</v>
      </c>
      <c r="F160" s="11">
        <f>IFERROR(__xludf.DUMMYFUNCTION("""COMPUTED_VALUE"""),2.0)</f>
        <v>2</v>
      </c>
      <c r="G160" s="11">
        <f>IFERROR(__xludf.DUMMYFUNCTION("""COMPUTED_VALUE"""),10.0)</f>
        <v>10</v>
      </c>
      <c r="H160" s="11">
        <f>IFERROR(__xludf.DUMMYFUNCTION("""COMPUTED_VALUE"""),3.0)</f>
        <v>3</v>
      </c>
      <c r="I160" s="11">
        <v>3.0</v>
      </c>
    </row>
    <row r="161">
      <c r="A161" s="9" t="str">
        <f>IFERROR(__xludf.DUMMYFUNCTION("""COMPUTED_VALUE"""),"S 8104 UH")</f>
        <v>S 8104 UH</v>
      </c>
      <c r="B161" s="9" t="str">
        <f>IFERROR(__xludf.DUMMYFUNCTION("""COMPUTED_VALUE"""),"TLPG TJ PERAK")</f>
        <v>TLPG TJ PERAK</v>
      </c>
      <c r="C161" s="9" t="str">
        <f>IFERROR(__xludf.DUMMYFUNCTION("""COMPUTED_VALUE"""),"PT SEMBILAN SEMBILAN TUBAN PERDANA")</f>
        <v>PT SEMBILAN SEMBILAN TUBAN PERDANA</v>
      </c>
      <c r="D161" s="11">
        <f>IFERROR(__xludf.DUMMYFUNCTION("""COMPUTED_VALUE"""),84.5)</f>
        <v>84.5</v>
      </c>
      <c r="E161" s="11" t="str">
        <f>IFERROR(__xludf.DUMMYFUNCTION("""COMPUTED_VALUE"""),"SEDANG")</f>
        <v>SEDANG</v>
      </c>
      <c r="F161" s="11">
        <f>IFERROR(__xludf.DUMMYFUNCTION("""COMPUTED_VALUE"""),2.0)</f>
        <v>2</v>
      </c>
      <c r="G161" s="11">
        <f>IFERROR(__xludf.DUMMYFUNCTION("""COMPUTED_VALUE"""),10.0)</f>
        <v>10</v>
      </c>
      <c r="H161" s="11">
        <f>IFERROR(__xludf.DUMMYFUNCTION("""COMPUTED_VALUE"""),4.0)</f>
        <v>4</v>
      </c>
      <c r="I161" s="11">
        <v>4.0</v>
      </c>
    </row>
    <row r="162">
      <c r="A162" s="9" t="str">
        <f>IFERROR(__xludf.DUMMYFUNCTION("""COMPUTED_VALUE"""),"S 9096 UH")</f>
        <v>S 9096 UH</v>
      </c>
      <c r="B162" s="9" t="str">
        <f>IFERROR(__xludf.DUMMYFUNCTION("""COMPUTED_VALUE"""),"TLPG TJ PERAK")</f>
        <v>TLPG TJ PERAK</v>
      </c>
      <c r="C162" s="9" t="str">
        <f>IFERROR(__xludf.DUMMYFUNCTION("""COMPUTED_VALUE"""),"PT PURBAYA BAGELEN MANDIRI")</f>
        <v>PT PURBAYA BAGELEN MANDIRI</v>
      </c>
      <c r="D162" s="11">
        <f>IFERROR(__xludf.DUMMYFUNCTION("""COMPUTED_VALUE"""),84.3)</f>
        <v>84.3</v>
      </c>
      <c r="E162" s="11" t="str">
        <f>IFERROR(__xludf.DUMMYFUNCTION("""COMPUTED_VALUE"""),"SEDANG")</f>
        <v>SEDANG</v>
      </c>
      <c r="F162" s="11">
        <f>IFERROR(__xludf.DUMMYFUNCTION("""COMPUTED_VALUE"""),2.0)</f>
        <v>2</v>
      </c>
      <c r="G162" s="11">
        <f>IFERROR(__xludf.DUMMYFUNCTION("""COMPUTED_VALUE"""),12.0)</f>
        <v>12</v>
      </c>
      <c r="H162" s="11">
        <f>IFERROR(__xludf.DUMMYFUNCTION("""COMPUTED_VALUE"""),5.0)</f>
        <v>5</v>
      </c>
      <c r="I162" s="11">
        <v>5.0</v>
      </c>
    </row>
    <row r="163">
      <c r="A163" s="9" t="str">
        <f>IFERROR(__xludf.DUMMYFUNCTION("""COMPUTED_VALUE"""),"S 9650 UE")</f>
        <v>S 9650 UE</v>
      </c>
      <c r="B163" s="9" t="str">
        <f>IFERROR(__xludf.DUMMYFUNCTION("""COMPUTED_VALUE"""),"TLPG TJ PERAK")</f>
        <v>TLPG TJ PERAK</v>
      </c>
      <c r="C163" s="9" t="str">
        <f>IFERROR(__xludf.DUMMYFUNCTION("""COMPUTED_VALUE"""),"PT PURBAYA BAGELEN MANDIRI")</f>
        <v>PT PURBAYA BAGELEN MANDIRI</v>
      </c>
      <c r="D163" s="11">
        <f>IFERROR(__xludf.DUMMYFUNCTION("""COMPUTED_VALUE"""),84.3)</f>
        <v>84.3</v>
      </c>
      <c r="E163" s="11" t="str">
        <f>IFERROR(__xludf.DUMMYFUNCTION("""COMPUTED_VALUE"""),"SEDANG")</f>
        <v>SEDANG</v>
      </c>
      <c r="F163" s="11">
        <f>IFERROR(__xludf.DUMMYFUNCTION("""COMPUTED_VALUE"""),2.0)</f>
        <v>2</v>
      </c>
      <c r="G163" s="11">
        <f>IFERROR(__xludf.DUMMYFUNCTION("""COMPUTED_VALUE"""),12.0)</f>
        <v>12</v>
      </c>
      <c r="H163" s="11">
        <f>IFERROR(__xludf.DUMMYFUNCTION("""COMPUTED_VALUE"""),6.0)</f>
        <v>6</v>
      </c>
      <c r="I163" s="11">
        <v>6.0</v>
      </c>
    </row>
    <row r="164">
      <c r="A164" s="9" t="str">
        <f>IFERROR(__xludf.DUMMYFUNCTION("""COMPUTED_VALUE"""),"N 8657 UV")</f>
        <v>N 8657 UV</v>
      </c>
      <c r="B164" s="9" t="str">
        <f>IFERROR(__xludf.DUMMYFUNCTION("""COMPUTED_VALUE"""),"TLPG TJ PERAK")</f>
        <v>TLPG TJ PERAK</v>
      </c>
      <c r="C164" s="9" t="str">
        <f>IFERROR(__xludf.DUMMYFUNCTION("""COMPUTED_VALUE"""),"PT SURYA MITRA IMPREZA PRATAMA")</f>
        <v>PT SURYA MITRA IMPREZA PRATAMA</v>
      </c>
      <c r="D164" s="11">
        <f>IFERROR(__xludf.DUMMYFUNCTION("""COMPUTED_VALUE"""),80.2)</f>
        <v>80.2</v>
      </c>
      <c r="E164" s="11" t="str">
        <f>IFERROR(__xludf.DUMMYFUNCTION("""COMPUTED_VALUE"""),"SEDANG")</f>
        <v>SEDANG</v>
      </c>
      <c r="F164" s="11">
        <f>IFERROR(__xludf.DUMMYFUNCTION("""COMPUTED_VALUE"""),2.0)</f>
        <v>2</v>
      </c>
      <c r="G164" s="11">
        <f>IFERROR(__xludf.DUMMYFUNCTION("""COMPUTED_VALUE"""),8.0)</f>
        <v>8</v>
      </c>
      <c r="H164" s="11">
        <f>IFERROR(__xludf.DUMMYFUNCTION("""COMPUTED_VALUE"""),7.0)</f>
        <v>7</v>
      </c>
      <c r="I164" s="11">
        <v>7.0</v>
      </c>
    </row>
    <row r="165">
      <c r="A165" s="9" t="str">
        <f>IFERROR(__xludf.DUMMYFUNCTION("""COMPUTED_VALUE"""),"N 8673 UV")</f>
        <v>N 8673 UV</v>
      </c>
      <c r="B165" s="9" t="str">
        <f>IFERROR(__xludf.DUMMYFUNCTION("""COMPUTED_VALUE"""),"TLPG TJ PERAK")</f>
        <v>TLPG TJ PERAK</v>
      </c>
      <c r="C165" s="9" t="str">
        <f>IFERROR(__xludf.DUMMYFUNCTION("""COMPUTED_VALUE"""),"PT BUANATAMA CAHAYA LESTARI")</f>
        <v>PT BUANATAMA CAHAYA LESTARI</v>
      </c>
      <c r="D165" s="11">
        <f>IFERROR(__xludf.DUMMYFUNCTION("""COMPUTED_VALUE"""),80.2)</f>
        <v>80.2</v>
      </c>
      <c r="E165" s="11" t="str">
        <f>IFERROR(__xludf.DUMMYFUNCTION("""COMPUTED_VALUE"""),"SEDANG")</f>
        <v>SEDANG</v>
      </c>
      <c r="F165" s="11">
        <f>IFERROR(__xludf.DUMMYFUNCTION("""COMPUTED_VALUE"""),2.0)</f>
        <v>2</v>
      </c>
      <c r="G165" s="11">
        <f>IFERROR(__xludf.DUMMYFUNCTION("""COMPUTED_VALUE"""),8.0)</f>
        <v>8</v>
      </c>
      <c r="H165" s="11">
        <f>IFERROR(__xludf.DUMMYFUNCTION("""COMPUTED_VALUE"""),8.0)</f>
        <v>8</v>
      </c>
      <c r="I165" s="11">
        <v>8.0</v>
      </c>
    </row>
    <row r="166">
      <c r="A166" s="9" t="str">
        <f>IFERROR(__xludf.DUMMYFUNCTION("""COMPUTED_VALUE"""),"N 8674 UV")</f>
        <v>N 8674 UV</v>
      </c>
      <c r="B166" s="9" t="str">
        <f>IFERROR(__xludf.DUMMYFUNCTION("""COMPUTED_VALUE"""),"TLPG TJ PERAK")</f>
        <v>TLPG TJ PERAK</v>
      </c>
      <c r="C166" s="9" t="str">
        <f>IFERROR(__xludf.DUMMYFUNCTION("""COMPUTED_VALUE"""),"PT BUANATAMA CAHAYA LESTARI")</f>
        <v>PT BUANATAMA CAHAYA LESTARI</v>
      </c>
      <c r="D166" s="11">
        <f>IFERROR(__xludf.DUMMYFUNCTION("""COMPUTED_VALUE"""),80.2)</f>
        <v>80.2</v>
      </c>
      <c r="E166" s="11" t="str">
        <f>IFERROR(__xludf.DUMMYFUNCTION("""COMPUTED_VALUE"""),"SEDANG")</f>
        <v>SEDANG</v>
      </c>
      <c r="F166" s="11">
        <f>IFERROR(__xludf.DUMMYFUNCTION("""COMPUTED_VALUE"""),2.0)</f>
        <v>2</v>
      </c>
      <c r="G166" s="11">
        <f>IFERROR(__xludf.DUMMYFUNCTION("""COMPUTED_VALUE"""),8.0)</f>
        <v>8</v>
      </c>
      <c r="H166" s="11">
        <f>IFERROR(__xludf.DUMMYFUNCTION("""COMPUTED_VALUE"""),9.0)</f>
        <v>9</v>
      </c>
      <c r="I166" s="11">
        <v>9.0</v>
      </c>
    </row>
    <row r="167">
      <c r="A167" s="9" t="str">
        <f>IFERROR(__xludf.DUMMYFUNCTION("""COMPUTED_VALUE"""),"S 8319 UZ")</f>
        <v>S 8319 UZ</v>
      </c>
      <c r="B167" s="9" t="str">
        <f>IFERROR(__xludf.DUMMYFUNCTION("""COMPUTED_VALUE"""),"TLPG TJ PERAK")</f>
        <v>TLPG TJ PERAK</v>
      </c>
      <c r="C167" s="9" t="str">
        <f>IFERROR(__xludf.DUMMYFUNCTION("""COMPUTED_VALUE"""),"PT TRIJAYA ADYMIX MANDIRI")</f>
        <v>PT TRIJAYA ADYMIX MANDIRI</v>
      </c>
      <c r="D167" s="11">
        <f>IFERROR(__xludf.DUMMYFUNCTION("""COMPUTED_VALUE"""),77.9)</f>
        <v>77.9</v>
      </c>
      <c r="E167" s="11" t="str">
        <f>IFERROR(__xludf.DUMMYFUNCTION("""COMPUTED_VALUE"""),"SEDANG")</f>
        <v>SEDANG</v>
      </c>
      <c r="F167" s="11">
        <f>IFERROR(__xludf.DUMMYFUNCTION("""COMPUTED_VALUE"""),2.0)</f>
        <v>2</v>
      </c>
      <c r="G167" s="11">
        <f>IFERROR(__xludf.DUMMYFUNCTION("""COMPUTED_VALUE"""),11.0)</f>
        <v>11</v>
      </c>
      <c r="H167" s="11">
        <f>IFERROR(__xludf.DUMMYFUNCTION("""COMPUTED_VALUE"""),10.0)</f>
        <v>10</v>
      </c>
      <c r="I167" s="11">
        <v>10.0</v>
      </c>
    </row>
    <row r="168">
      <c r="A168" s="9" t="str">
        <f>IFERROR(__xludf.DUMMYFUNCTION("""COMPUTED_VALUE"""),"N 8079 US")</f>
        <v>N 8079 US</v>
      </c>
      <c r="B168" s="9" t="str">
        <f>IFERROR(__xludf.DUMMYFUNCTION("""COMPUTED_VALUE"""),"TLPG TJ PERAK")</f>
        <v>TLPG TJ PERAK</v>
      </c>
      <c r="C168" s="9" t="str">
        <f>IFERROR(__xludf.DUMMYFUNCTION("""COMPUTED_VALUE"""),"PT ANUGERAH SUMBER BERKAT")</f>
        <v>PT ANUGERAH SUMBER BERKAT</v>
      </c>
      <c r="D168" s="11">
        <f>IFERROR(__xludf.DUMMYFUNCTION("""COMPUTED_VALUE"""),75.7)</f>
        <v>75.7</v>
      </c>
      <c r="E168" s="11" t="str">
        <f>IFERROR(__xludf.DUMMYFUNCTION("""COMPUTED_VALUE"""),"SEDANG")</f>
        <v>SEDANG</v>
      </c>
      <c r="F168" s="11">
        <f>IFERROR(__xludf.DUMMYFUNCTION("""COMPUTED_VALUE"""),2.0)</f>
        <v>2</v>
      </c>
      <c r="G168" s="11">
        <f>IFERROR(__xludf.DUMMYFUNCTION("""COMPUTED_VALUE"""),9.0)</f>
        <v>9</v>
      </c>
      <c r="H168" s="11">
        <f>IFERROR(__xludf.DUMMYFUNCTION("""COMPUTED_VALUE"""),11.0)</f>
        <v>11</v>
      </c>
      <c r="I168" s="11">
        <v>11.0</v>
      </c>
    </row>
    <row r="169">
      <c r="A169" s="9" t="str">
        <f>IFERROR(__xludf.DUMMYFUNCTION("""COMPUTED_VALUE"""),"N 8799 UG")</f>
        <v>N 8799 UG</v>
      </c>
      <c r="B169" s="9" t="str">
        <f>IFERROR(__xludf.DUMMYFUNCTION("""COMPUTED_VALUE"""),"TLPG TJ PERAK")</f>
        <v>TLPG TJ PERAK</v>
      </c>
      <c r="C169" s="9" t="str">
        <f>IFERROR(__xludf.DUMMYFUNCTION("""COMPUTED_VALUE"""),"PT ANUGERAH SUMBER BERKAT")</f>
        <v>PT ANUGERAH SUMBER BERKAT</v>
      </c>
      <c r="D169" s="11">
        <f>IFERROR(__xludf.DUMMYFUNCTION("""COMPUTED_VALUE"""),75.7)</f>
        <v>75.7</v>
      </c>
      <c r="E169" s="11" t="str">
        <f>IFERROR(__xludf.DUMMYFUNCTION("""COMPUTED_VALUE"""),"SEDANG")</f>
        <v>SEDANG</v>
      </c>
      <c r="F169" s="11">
        <f>IFERROR(__xludf.DUMMYFUNCTION("""COMPUTED_VALUE"""),2.0)</f>
        <v>2</v>
      </c>
      <c r="G169" s="11">
        <f>IFERROR(__xludf.DUMMYFUNCTION("""COMPUTED_VALUE"""),9.0)</f>
        <v>9</v>
      </c>
      <c r="H169" s="11">
        <f>IFERROR(__xludf.DUMMYFUNCTION("""COMPUTED_VALUE"""),12.0)</f>
        <v>12</v>
      </c>
      <c r="I169" s="11">
        <v>12.0</v>
      </c>
    </row>
    <row r="170">
      <c r="A170" s="9" t="str">
        <f>IFERROR(__xludf.DUMMYFUNCTION("""COMPUTED_VALUE"""),"DR 8309 LH")</f>
        <v>DR 8309 LH</v>
      </c>
      <c r="B170" s="9" t="str">
        <f>IFERROR(__xludf.DUMMYFUNCTION("""COMPUTED_VALUE"""),"TLPG LOMBOK")</f>
        <v>TLPG LOMBOK</v>
      </c>
      <c r="C170" s="9" t="str">
        <f>IFERROR(__xludf.DUMMYFUNCTION("""COMPUTED_VALUE"""),"SPPBE-PT. Bintang Energi Abadi")</f>
        <v>SPPBE-PT. Bintang Energi Abadi</v>
      </c>
      <c r="D170" s="11">
        <f>IFERROR(__xludf.DUMMYFUNCTION("""COMPUTED_VALUE"""),74.3)</f>
        <v>74.3</v>
      </c>
      <c r="E170" s="11" t="str">
        <f>IFERROR(__xludf.DUMMYFUNCTION("""COMPUTED_VALUE"""),"SEDANG")</f>
        <v>SEDANG</v>
      </c>
      <c r="F170" s="11">
        <f>IFERROR(__xludf.DUMMYFUNCTION("""COMPUTED_VALUE"""),2.0)</f>
        <v>2</v>
      </c>
      <c r="G170" s="11">
        <f>IFERROR(__xludf.DUMMYFUNCTION("""COMPUTED_VALUE"""),5.0)</f>
        <v>5</v>
      </c>
      <c r="H170" s="11">
        <f>IFERROR(__xludf.DUMMYFUNCTION("""COMPUTED_VALUE"""),1.0)</f>
        <v>1</v>
      </c>
      <c r="I170" s="11">
        <v>1.0</v>
      </c>
    </row>
    <row r="171">
      <c r="A171" s="9" t="str">
        <f>IFERROR(__xludf.DUMMYFUNCTION("""COMPUTED_VALUE"""),"DR 8527 KC")</f>
        <v>DR 8527 KC</v>
      </c>
      <c r="B171" s="9" t="str">
        <f>IFERROR(__xludf.DUMMYFUNCTION("""COMPUTED_VALUE"""),"TLPG LOMBOK")</f>
        <v>TLPG LOMBOK</v>
      </c>
      <c r="C171" s="9" t="str">
        <f>IFERROR(__xludf.DUMMYFUNCTION("""COMPUTED_VALUE"""),"SPPBE-PT. Bintang Energi Abadi")</f>
        <v>SPPBE-PT. Bintang Energi Abadi</v>
      </c>
      <c r="D171" s="11">
        <f>IFERROR(__xludf.DUMMYFUNCTION("""COMPUTED_VALUE"""),74.3)</f>
        <v>74.3</v>
      </c>
      <c r="E171" s="11" t="str">
        <f>IFERROR(__xludf.DUMMYFUNCTION("""COMPUTED_VALUE"""),"SEDANG")</f>
        <v>SEDANG</v>
      </c>
      <c r="F171" s="11">
        <f>IFERROR(__xludf.DUMMYFUNCTION("""COMPUTED_VALUE"""),2.0)</f>
        <v>2</v>
      </c>
      <c r="G171" s="11">
        <f>IFERROR(__xludf.DUMMYFUNCTION("""COMPUTED_VALUE"""),6.0)</f>
        <v>6</v>
      </c>
      <c r="H171" s="11">
        <f>IFERROR(__xludf.DUMMYFUNCTION("""COMPUTED_VALUE"""),2.0)</f>
        <v>2</v>
      </c>
      <c r="I171" s="11">
        <v>2.0</v>
      </c>
    </row>
    <row r="172">
      <c r="A172" s="9" t="str">
        <f>IFERROR(__xludf.DUMMYFUNCTION("""COMPUTED_VALUE"""),"DR 8528 KC")</f>
        <v>DR 8528 KC</v>
      </c>
      <c r="B172" s="9" t="str">
        <f>IFERROR(__xludf.DUMMYFUNCTION("""COMPUTED_VALUE"""),"TLPG LOMBOK")</f>
        <v>TLPG LOMBOK</v>
      </c>
      <c r="C172" s="9" t="str">
        <f>IFERROR(__xludf.DUMMYFUNCTION("""COMPUTED_VALUE"""),"SPPBE-PT. Bintang Energi Abadi")</f>
        <v>SPPBE-PT. Bintang Energi Abadi</v>
      </c>
      <c r="D172" s="11">
        <f>IFERROR(__xludf.DUMMYFUNCTION("""COMPUTED_VALUE"""),74.3)</f>
        <v>74.3</v>
      </c>
      <c r="E172" s="11" t="str">
        <f>IFERROR(__xludf.DUMMYFUNCTION("""COMPUTED_VALUE"""),"SEDANG")</f>
        <v>SEDANG</v>
      </c>
      <c r="F172" s="11">
        <f>IFERROR(__xludf.DUMMYFUNCTION("""COMPUTED_VALUE"""),2.0)</f>
        <v>2</v>
      </c>
      <c r="G172" s="11">
        <f>IFERROR(__xludf.DUMMYFUNCTION("""COMPUTED_VALUE"""),7.0)</f>
        <v>7</v>
      </c>
      <c r="H172" s="11">
        <f>IFERROR(__xludf.DUMMYFUNCTION("""COMPUTED_VALUE"""),3.0)</f>
        <v>3</v>
      </c>
      <c r="I172" s="11">
        <v>3.0</v>
      </c>
    </row>
    <row r="173">
      <c r="A173" s="9" t="str">
        <f>IFERROR(__xludf.DUMMYFUNCTION("""COMPUTED_VALUE"""),"L 8107 UUA")</f>
        <v>L 8107 UUA</v>
      </c>
      <c r="B173" s="9" t="str">
        <f>IFERROR(__xludf.DUMMYFUNCTION("""COMPUTED_VALUE"""),"TLPG TJ PERAK")</f>
        <v>TLPG TJ PERAK</v>
      </c>
      <c r="C173" s="9" t="str">
        <f>IFERROR(__xludf.DUMMYFUNCTION("""COMPUTED_VALUE"""),"PT GELORA MERATUS MANDIRI")</f>
        <v>PT GELORA MERATUS MANDIRI</v>
      </c>
      <c r="D173" s="11">
        <f>IFERROR(__xludf.DUMMYFUNCTION("""COMPUTED_VALUE"""),69.2)</f>
        <v>69.2</v>
      </c>
      <c r="E173" s="11" t="str">
        <f>IFERROR(__xludf.DUMMYFUNCTION("""COMPUTED_VALUE"""),"SEDANG")</f>
        <v>SEDANG</v>
      </c>
      <c r="F173" s="11">
        <f>IFERROR(__xludf.DUMMYFUNCTION("""COMPUTED_VALUE"""),2.0)</f>
        <v>2</v>
      </c>
      <c r="G173" s="11">
        <f>IFERROR(__xludf.DUMMYFUNCTION("""COMPUTED_VALUE"""),5.0)</f>
        <v>5</v>
      </c>
      <c r="H173" s="11">
        <f>IFERROR(__xludf.DUMMYFUNCTION("""COMPUTED_VALUE"""),4.0)</f>
        <v>4</v>
      </c>
      <c r="I173" s="11">
        <v>4.0</v>
      </c>
    </row>
    <row r="174">
      <c r="A174" s="9" t="str">
        <f>IFERROR(__xludf.DUMMYFUNCTION("""COMPUTED_VALUE"""),"DK 8837 HC")</f>
        <v>DK 8837 HC</v>
      </c>
      <c r="B174" s="9" t="str">
        <f>IFERROR(__xludf.DUMMYFUNCTION("""COMPUTED_VALUE"""),"TLPG MANGGIS")</f>
        <v>TLPG MANGGIS</v>
      </c>
      <c r="C174" s="9" t="str">
        <f>IFERROR(__xludf.DUMMYFUNCTION("""COMPUTED_VALUE"""),"SPPBE-PT. Sembilan Semangat")</f>
        <v>SPPBE-PT. Sembilan Semangat</v>
      </c>
      <c r="D174" s="11">
        <f>IFERROR(__xludf.DUMMYFUNCTION("""COMPUTED_VALUE"""),67.4)</f>
        <v>67.4</v>
      </c>
      <c r="E174" s="11" t="str">
        <f>IFERROR(__xludf.DUMMYFUNCTION("""COMPUTED_VALUE"""),"SEDANG")</f>
        <v>SEDANG</v>
      </c>
      <c r="F174" s="11">
        <f>IFERROR(__xludf.DUMMYFUNCTION("""COMPUTED_VALUE"""),2.0)</f>
        <v>2</v>
      </c>
      <c r="G174" s="11">
        <f>IFERROR(__xludf.DUMMYFUNCTION("""COMPUTED_VALUE"""),4.0)</f>
        <v>4</v>
      </c>
      <c r="H174" s="11">
        <f>IFERROR(__xludf.DUMMYFUNCTION("""COMPUTED_VALUE"""),5.0)</f>
        <v>5</v>
      </c>
      <c r="I174" s="11">
        <v>5.0</v>
      </c>
    </row>
    <row r="175">
      <c r="A175" s="9" t="str">
        <f>IFERROR(__xludf.DUMMYFUNCTION("""COMPUTED_VALUE"""),"DK 8352 GZ")</f>
        <v>DK 8352 GZ</v>
      </c>
      <c r="B175" s="9" t="str">
        <f>IFERROR(__xludf.DUMMYFUNCTION("""COMPUTED_VALUE"""),"TLPG MANGGIS")</f>
        <v>TLPG MANGGIS</v>
      </c>
      <c r="C175" s="9" t="str">
        <f>IFERROR(__xludf.DUMMYFUNCTION("""COMPUTED_VALUE"""),"SPPBE-PT. Sembilan Semangat")</f>
        <v>SPPBE-PT. Sembilan Semangat</v>
      </c>
      <c r="D175" s="11">
        <f>IFERROR(__xludf.DUMMYFUNCTION("""COMPUTED_VALUE"""),67.4)</f>
        <v>67.4</v>
      </c>
      <c r="E175" s="11" t="str">
        <f>IFERROR(__xludf.DUMMYFUNCTION("""COMPUTED_VALUE"""),"SEDANG")</f>
        <v>SEDANG</v>
      </c>
      <c r="F175" s="11">
        <f>IFERROR(__xludf.DUMMYFUNCTION("""COMPUTED_VALUE"""),2.0)</f>
        <v>2</v>
      </c>
      <c r="G175" s="11">
        <f>IFERROR(__xludf.DUMMYFUNCTION("""COMPUTED_VALUE"""),7.0)</f>
        <v>7</v>
      </c>
      <c r="H175" s="11">
        <f>IFERROR(__xludf.DUMMYFUNCTION("""COMPUTED_VALUE"""),6.0)</f>
        <v>6</v>
      </c>
      <c r="I175" s="11">
        <v>6.0</v>
      </c>
    </row>
    <row r="176">
      <c r="A176" s="9" t="str">
        <f>IFERROR(__xludf.DUMMYFUNCTION("""COMPUTED_VALUE"""),"DK 8078 HJ")</f>
        <v>DK 8078 HJ</v>
      </c>
      <c r="B176" s="9" t="str">
        <f>IFERROR(__xludf.DUMMYFUNCTION("""COMPUTED_VALUE"""),"TLPG MANGGIS")</f>
        <v>TLPG MANGGIS</v>
      </c>
      <c r="C176" s="9" t="str">
        <f>IFERROR(__xludf.DUMMYFUNCTION("""COMPUTED_VALUE"""),"SPPBE-PT. Sembilan Semangat")</f>
        <v>SPPBE-PT. Sembilan Semangat</v>
      </c>
      <c r="D176" s="11">
        <f>IFERROR(__xludf.DUMMYFUNCTION("""COMPUTED_VALUE"""),67.4)</f>
        <v>67.4</v>
      </c>
      <c r="E176" s="11" t="str">
        <f>IFERROR(__xludf.DUMMYFUNCTION("""COMPUTED_VALUE"""),"SEDANG")</f>
        <v>SEDANG</v>
      </c>
      <c r="F176" s="11">
        <f>IFERROR(__xludf.DUMMYFUNCTION("""COMPUTED_VALUE"""),2.0)</f>
        <v>2</v>
      </c>
      <c r="G176" s="11">
        <f>IFERROR(__xludf.DUMMYFUNCTION("""COMPUTED_VALUE"""),12.0)</f>
        <v>12</v>
      </c>
      <c r="H176" s="11">
        <f>IFERROR(__xludf.DUMMYFUNCTION("""COMPUTED_VALUE"""),7.0)</f>
        <v>7</v>
      </c>
      <c r="I176" s="11">
        <v>7.0</v>
      </c>
    </row>
    <row r="177">
      <c r="A177" s="9" t="str">
        <f>IFERROR(__xludf.DUMMYFUNCTION("""COMPUTED_VALUE"""),"S 9010 NI")</f>
        <v>S 9010 NI</v>
      </c>
      <c r="B177" s="9" t="str">
        <f>IFERROR(__xludf.DUMMYFUNCTION("""COMPUTED_VALUE"""),"TLPG TJ PERAK")</f>
        <v>TLPG TJ PERAK</v>
      </c>
      <c r="C177" s="9" t="str">
        <f>IFERROR(__xludf.DUMMYFUNCTION("""COMPUTED_VALUE"""),"PT PATERMAN PETRONIAGA")</f>
        <v>PT PATERMAN PETRONIAGA</v>
      </c>
      <c r="D177" s="11">
        <f>IFERROR(__xludf.DUMMYFUNCTION("""COMPUTED_VALUE"""),67.2)</f>
        <v>67.2</v>
      </c>
      <c r="E177" s="11" t="str">
        <f>IFERROR(__xludf.DUMMYFUNCTION("""COMPUTED_VALUE"""),"SEDANG")</f>
        <v>SEDANG</v>
      </c>
      <c r="F177" s="11">
        <f>IFERROR(__xludf.DUMMYFUNCTION("""COMPUTED_VALUE"""),2.0)</f>
        <v>2</v>
      </c>
      <c r="G177" s="11">
        <f>IFERROR(__xludf.DUMMYFUNCTION("""COMPUTED_VALUE"""),12.0)</f>
        <v>12</v>
      </c>
      <c r="H177" s="11">
        <f>IFERROR(__xludf.DUMMYFUNCTION("""COMPUTED_VALUE"""),8.0)</f>
        <v>8</v>
      </c>
      <c r="I177" s="11">
        <v>8.0</v>
      </c>
    </row>
    <row r="178">
      <c r="A178" s="9" t="str">
        <f>IFERROR(__xludf.DUMMYFUNCTION("""COMPUTED_VALUE"""),"S 9973 UQ")</f>
        <v>S 9973 UQ</v>
      </c>
      <c r="B178" s="9" t="str">
        <f>IFERROR(__xludf.DUMMYFUNCTION("""COMPUTED_VALUE"""),"TLPG TJ PERAK")</f>
        <v>TLPG TJ PERAK</v>
      </c>
      <c r="C178" s="9" t="str">
        <f>IFERROR(__xludf.DUMMYFUNCTION("""COMPUTED_VALUE"""),"PT PATERMAN PETRONIAGA")</f>
        <v>PT PATERMAN PETRONIAGA</v>
      </c>
      <c r="D178" s="11">
        <f>IFERROR(__xludf.DUMMYFUNCTION("""COMPUTED_VALUE"""),67.2)</f>
        <v>67.2</v>
      </c>
      <c r="E178" s="11" t="str">
        <f>IFERROR(__xludf.DUMMYFUNCTION("""COMPUTED_VALUE"""),"SEDANG")</f>
        <v>SEDANG</v>
      </c>
      <c r="F178" s="11">
        <f>IFERROR(__xludf.DUMMYFUNCTION("""COMPUTED_VALUE"""),2.0)</f>
        <v>2</v>
      </c>
      <c r="G178" s="11">
        <f>IFERROR(__xludf.DUMMYFUNCTION("""COMPUTED_VALUE"""),12.0)</f>
        <v>12</v>
      </c>
      <c r="H178" s="11">
        <f>IFERROR(__xludf.DUMMYFUNCTION("""COMPUTED_VALUE"""),9.0)</f>
        <v>9</v>
      </c>
      <c r="I178" s="11">
        <v>9.0</v>
      </c>
    </row>
    <row r="179">
      <c r="A179" s="9" t="str">
        <f>IFERROR(__xludf.DUMMYFUNCTION("""COMPUTED_VALUE"""),"N 9478 UG")</f>
        <v>N 9478 UG</v>
      </c>
      <c r="B179" s="9" t="str">
        <f>IFERROR(__xludf.DUMMYFUNCTION("""COMPUTED_VALUE"""),"TLPG TJ PERAK")</f>
        <v>TLPG TJ PERAK</v>
      </c>
      <c r="C179" s="9" t="str">
        <f>IFERROR(__xludf.DUMMYFUNCTION("""COMPUTED_VALUE"""),"PT BINA ANUGERAH INTI KIMIA")</f>
        <v>PT BINA ANUGERAH INTI KIMIA</v>
      </c>
      <c r="D179" s="11">
        <f>IFERROR(__xludf.DUMMYFUNCTION("""COMPUTED_VALUE"""),66.7)</f>
        <v>66.7</v>
      </c>
      <c r="E179" s="11" t="str">
        <f>IFERROR(__xludf.DUMMYFUNCTION("""COMPUTED_VALUE"""),"SEDANG")</f>
        <v>SEDANG</v>
      </c>
      <c r="F179" s="11">
        <f>IFERROR(__xludf.DUMMYFUNCTION("""COMPUTED_VALUE"""),2.0)</f>
        <v>2</v>
      </c>
      <c r="G179" s="11">
        <f>IFERROR(__xludf.DUMMYFUNCTION("""COMPUTED_VALUE"""),10.0)</f>
        <v>10</v>
      </c>
      <c r="H179" s="11">
        <f>IFERROR(__xludf.DUMMYFUNCTION("""COMPUTED_VALUE"""),10.0)</f>
        <v>10</v>
      </c>
      <c r="I179" s="11">
        <v>10.0</v>
      </c>
    </row>
    <row r="180">
      <c r="A180" s="9" t="str">
        <f>IFERROR(__xludf.DUMMYFUNCTION("""COMPUTED_VALUE"""),"N 9578 US")</f>
        <v>N 9578 US</v>
      </c>
      <c r="B180" s="9" t="str">
        <f>IFERROR(__xludf.DUMMYFUNCTION("""COMPUTED_VALUE"""),"TLPG TJ PERAK")</f>
        <v>TLPG TJ PERAK</v>
      </c>
      <c r="C180" s="9" t="str">
        <f>IFERROR(__xludf.DUMMYFUNCTION("""COMPUTED_VALUE"""),"PT BINA ANUGERAH INTI KIMIA")</f>
        <v>PT BINA ANUGERAH INTI KIMIA</v>
      </c>
      <c r="D180" s="11">
        <f>IFERROR(__xludf.DUMMYFUNCTION("""COMPUTED_VALUE"""),66.7)</f>
        <v>66.7</v>
      </c>
      <c r="E180" s="11" t="str">
        <f>IFERROR(__xludf.DUMMYFUNCTION("""COMPUTED_VALUE"""),"SEDANG")</f>
        <v>SEDANG</v>
      </c>
      <c r="F180" s="11">
        <f>IFERROR(__xludf.DUMMYFUNCTION("""COMPUTED_VALUE"""),2.0)</f>
        <v>2</v>
      </c>
      <c r="G180" s="11">
        <f>IFERROR(__xludf.DUMMYFUNCTION("""COMPUTED_VALUE"""),10.0)</f>
        <v>10</v>
      </c>
      <c r="H180" s="11">
        <f>IFERROR(__xludf.DUMMYFUNCTION("""COMPUTED_VALUE"""),11.0)</f>
        <v>11</v>
      </c>
      <c r="I180" s="11">
        <v>11.0</v>
      </c>
    </row>
    <row r="181">
      <c r="A181" s="9" t="str">
        <f>IFERROR(__xludf.DUMMYFUNCTION("""COMPUTED_VALUE"""),"S 8543 UN")</f>
        <v>S 8543 UN</v>
      </c>
      <c r="B181" s="9" t="str">
        <f>IFERROR(__xludf.DUMMYFUNCTION("""COMPUTED_VALUE"""),"TLPG TJ PERAK")</f>
        <v>TLPG TJ PERAK</v>
      </c>
      <c r="C181" s="9" t="str">
        <f>IFERROR(__xludf.DUMMYFUNCTION("""COMPUTED_VALUE"""),"PT AMANATUL UMMAH GAS")</f>
        <v>PT AMANATUL UMMAH GAS</v>
      </c>
      <c r="D181" s="11">
        <f>IFERROR(__xludf.DUMMYFUNCTION("""COMPUTED_VALUE"""),65.8)</f>
        <v>65.8</v>
      </c>
      <c r="E181" s="11" t="str">
        <f>IFERROR(__xludf.DUMMYFUNCTION("""COMPUTED_VALUE"""),"SEDANG")</f>
        <v>SEDANG</v>
      </c>
      <c r="F181" s="11">
        <f>IFERROR(__xludf.DUMMYFUNCTION("""COMPUTED_VALUE"""),2.0)</f>
        <v>2</v>
      </c>
      <c r="G181" s="11">
        <f>IFERROR(__xludf.DUMMYFUNCTION("""COMPUTED_VALUE"""),11.0)</f>
        <v>11</v>
      </c>
      <c r="H181" s="11">
        <f>IFERROR(__xludf.DUMMYFUNCTION("""COMPUTED_VALUE"""),12.0)</f>
        <v>12</v>
      </c>
      <c r="I181" s="11">
        <v>12.0</v>
      </c>
    </row>
    <row r="182">
      <c r="A182" s="9" t="str">
        <f>IFERROR(__xludf.DUMMYFUNCTION("""COMPUTED_VALUE"""),"S 8548 UN")</f>
        <v>S 8548 UN</v>
      </c>
      <c r="B182" s="9" t="str">
        <f>IFERROR(__xludf.DUMMYFUNCTION("""COMPUTED_VALUE"""),"TLPG TJ PERAK")</f>
        <v>TLPG TJ PERAK</v>
      </c>
      <c r="C182" s="9" t="str">
        <f>IFERROR(__xludf.DUMMYFUNCTION("""COMPUTED_VALUE"""),"PT AMANATUL UMMAH GAS")</f>
        <v>PT AMANATUL UMMAH GAS</v>
      </c>
      <c r="D182" s="11">
        <f>IFERROR(__xludf.DUMMYFUNCTION("""COMPUTED_VALUE"""),65.8)</f>
        <v>65.8</v>
      </c>
      <c r="E182" s="11" t="str">
        <f>IFERROR(__xludf.DUMMYFUNCTION("""COMPUTED_VALUE"""),"SEDANG")</f>
        <v>SEDANG</v>
      </c>
      <c r="F182" s="11">
        <f>IFERROR(__xludf.DUMMYFUNCTION("""COMPUTED_VALUE"""),2.0)</f>
        <v>2</v>
      </c>
      <c r="G182" s="11">
        <f>IFERROR(__xludf.DUMMYFUNCTION("""COMPUTED_VALUE"""),11.0)</f>
        <v>11</v>
      </c>
      <c r="H182" s="11">
        <f>IFERROR(__xludf.DUMMYFUNCTION("""COMPUTED_VALUE"""),1.0)</f>
        <v>1</v>
      </c>
      <c r="I182" s="11">
        <v>1.0</v>
      </c>
    </row>
    <row r="183">
      <c r="A183" s="9" t="str">
        <f>IFERROR(__xludf.DUMMYFUNCTION("""COMPUTED_VALUE"""),"S 7850 UN")</f>
        <v>S 7850 UN</v>
      </c>
      <c r="B183" s="9" t="str">
        <f>IFERROR(__xludf.DUMMYFUNCTION("""COMPUTED_VALUE"""),"TLPG TJ PERAK")</f>
        <v>TLPG TJ PERAK</v>
      </c>
      <c r="C183" s="9" t="str">
        <f>IFERROR(__xludf.DUMMYFUNCTION("""COMPUTED_VALUE"""),"PT TRIMEGAH FARGASINDO")</f>
        <v>PT TRIMEGAH FARGASINDO</v>
      </c>
      <c r="D183" s="11">
        <f>IFERROR(__xludf.DUMMYFUNCTION("""COMPUTED_VALUE"""),64.1)</f>
        <v>64.1</v>
      </c>
      <c r="E183" s="11" t="str">
        <f>IFERROR(__xludf.DUMMYFUNCTION("""COMPUTED_VALUE"""),"SEDANG")</f>
        <v>SEDANG</v>
      </c>
      <c r="F183" s="11">
        <f>IFERROR(__xludf.DUMMYFUNCTION("""COMPUTED_VALUE"""),2.0)</f>
        <v>2</v>
      </c>
      <c r="G183" s="11">
        <f>IFERROR(__xludf.DUMMYFUNCTION("""COMPUTED_VALUE"""),10.0)</f>
        <v>10</v>
      </c>
      <c r="H183" s="11">
        <f>IFERROR(__xludf.DUMMYFUNCTION("""COMPUTED_VALUE"""),2.0)</f>
        <v>2</v>
      </c>
      <c r="I183" s="11">
        <v>2.0</v>
      </c>
    </row>
    <row r="184">
      <c r="A184" s="9" t="str">
        <f>IFERROR(__xludf.DUMMYFUNCTION("""COMPUTED_VALUE"""),"S 8943 UU")</f>
        <v>S 8943 UU</v>
      </c>
      <c r="B184" s="9" t="str">
        <f>IFERROR(__xludf.DUMMYFUNCTION("""COMPUTED_VALUE"""),"TLPG TJ PERAK")</f>
        <v>TLPG TJ PERAK</v>
      </c>
      <c r="C184" s="9" t="str">
        <f>IFERROR(__xludf.DUMMYFUNCTION("""COMPUTED_VALUE"""),"PT TRIMEGAH FARGASINDO")</f>
        <v>PT TRIMEGAH FARGASINDO</v>
      </c>
      <c r="D184" s="11">
        <f>IFERROR(__xludf.DUMMYFUNCTION("""COMPUTED_VALUE"""),64.1)</f>
        <v>64.1</v>
      </c>
      <c r="E184" s="11" t="str">
        <f>IFERROR(__xludf.DUMMYFUNCTION("""COMPUTED_VALUE"""),"SEDANG")</f>
        <v>SEDANG</v>
      </c>
      <c r="F184" s="11">
        <f>IFERROR(__xludf.DUMMYFUNCTION("""COMPUTED_VALUE"""),2.0)</f>
        <v>2</v>
      </c>
      <c r="G184" s="11">
        <f>IFERROR(__xludf.DUMMYFUNCTION("""COMPUTED_VALUE"""),11.0)</f>
        <v>11</v>
      </c>
      <c r="H184" s="11">
        <f>IFERROR(__xludf.DUMMYFUNCTION("""COMPUTED_VALUE"""),3.0)</f>
        <v>3</v>
      </c>
      <c r="I184" s="11">
        <v>3.0</v>
      </c>
    </row>
    <row r="185">
      <c r="A185" s="9" t="str">
        <f>IFERROR(__xludf.DUMMYFUNCTION("""COMPUTED_VALUE"""),"N 9344 EE")</f>
        <v>N 9344 EE</v>
      </c>
      <c r="B185" s="9" t="str">
        <f>IFERROR(__xludf.DUMMYFUNCTION("""COMPUTED_VALUE"""),"TLPG TJ PERAK")</f>
        <v>TLPG TJ PERAK</v>
      </c>
      <c r="C185" s="9" t="str">
        <f>IFERROR(__xludf.DUMMYFUNCTION("""COMPUTED_VALUE"""),"PT TATA BERSAMA")</f>
        <v>PT TATA BERSAMA</v>
      </c>
      <c r="D185" s="11">
        <f>IFERROR(__xludf.DUMMYFUNCTION("""COMPUTED_VALUE"""),61.2)</f>
        <v>61.2</v>
      </c>
      <c r="E185" s="11" t="str">
        <f>IFERROR(__xludf.DUMMYFUNCTION("""COMPUTED_VALUE"""),"SEDANG")</f>
        <v>SEDANG</v>
      </c>
      <c r="F185" s="11">
        <f>IFERROR(__xludf.DUMMYFUNCTION("""COMPUTED_VALUE"""),2.0)</f>
        <v>2</v>
      </c>
      <c r="G185" s="11">
        <f>IFERROR(__xludf.DUMMYFUNCTION("""COMPUTED_VALUE"""),9.0)</f>
        <v>9</v>
      </c>
      <c r="H185" s="11">
        <f>IFERROR(__xludf.DUMMYFUNCTION("""COMPUTED_VALUE"""),4.0)</f>
        <v>4</v>
      </c>
      <c r="I185" s="11">
        <v>4.0</v>
      </c>
    </row>
    <row r="186">
      <c r="A186" s="9" t="str">
        <f>IFERROR(__xludf.DUMMYFUNCTION("""COMPUTED_VALUE"""),"N 8834 US")</f>
        <v>N 8834 US</v>
      </c>
      <c r="B186" s="9" t="str">
        <f>IFERROR(__xludf.DUMMYFUNCTION("""COMPUTED_VALUE"""),"TLPG TJ PERAK")</f>
        <v>TLPG TJ PERAK</v>
      </c>
      <c r="C186" s="9" t="str">
        <f>IFERROR(__xludf.DUMMYFUNCTION("""COMPUTED_VALUE"""),"PT TATA BERSAMA")</f>
        <v>PT TATA BERSAMA</v>
      </c>
      <c r="D186" s="11">
        <f>IFERROR(__xludf.DUMMYFUNCTION("""COMPUTED_VALUE"""),61.2)</f>
        <v>61.2</v>
      </c>
      <c r="E186" s="11" t="str">
        <f>IFERROR(__xludf.DUMMYFUNCTION("""COMPUTED_VALUE"""),"SEDANG")</f>
        <v>SEDANG</v>
      </c>
      <c r="F186" s="11">
        <f>IFERROR(__xludf.DUMMYFUNCTION("""COMPUTED_VALUE"""),2.0)</f>
        <v>2</v>
      </c>
      <c r="G186" s="11">
        <f>IFERROR(__xludf.DUMMYFUNCTION("""COMPUTED_VALUE"""),10.0)</f>
        <v>10</v>
      </c>
      <c r="H186" s="11">
        <f>IFERROR(__xludf.DUMMYFUNCTION("""COMPUTED_VALUE"""),5.0)</f>
        <v>5</v>
      </c>
      <c r="I186" s="11">
        <v>5.0</v>
      </c>
    </row>
    <row r="187">
      <c r="A187" s="9" t="str">
        <f>IFERROR(__xludf.DUMMYFUNCTION("""COMPUTED_VALUE"""),"S 8936 UM")</f>
        <v>S 8936 UM</v>
      </c>
      <c r="B187" s="9" t="str">
        <f>IFERROR(__xludf.DUMMYFUNCTION("""COMPUTED_VALUE"""),"TLPG TJ PERAK")</f>
        <v>TLPG TJ PERAK</v>
      </c>
      <c r="C187" s="9" t="str">
        <f>IFERROR(__xludf.DUMMYFUNCTION("""COMPUTED_VALUE"""),"PT PROFIL SUKSES ABADI")</f>
        <v>PT PROFIL SUKSES ABADI</v>
      </c>
      <c r="D187" s="11">
        <f>IFERROR(__xludf.DUMMYFUNCTION("""COMPUTED_VALUE"""),58.9)</f>
        <v>58.9</v>
      </c>
      <c r="E187" s="11" t="str">
        <f>IFERROR(__xludf.DUMMYFUNCTION("""COMPUTED_VALUE"""),"SEDANG")</f>
        <v>SEDANG</v>
      </c>
      <c r="F187" s="11">
        <f>IFERROR(__xludf.DUMMYFUNCTION("""COMPUTED_VALUE"""),2.0)</f>
        <v>2</v>
      </c>
      <c r="G187" s="11">
        <f>IFERROR(__xludf.DUMMYFUNCTION("""COMPUTED_VALUE"""),12.0)</f>
        <v>12</v>
      </c>
      <c r="H187" s="11">
        <f>IFERROR(__xludf.DUMMYFUNCTION("""COMPUTED_VALUE"""),6.0)</f>
        <v>6</v>
      </c>
      <c r="I187" s="11">
        <v>6.0</v>
      </c>
    </row>
    <row r="188">
      <c r="A188" s="9" t="str">
        <f>IFERROR(__xludf.DUMMYFUNCTION("""COMPUTED_VALUE"""),"S 9611 UJ")</f>
        <v>S 9611 UJ</v>
      </c>
      <c r="B188" s="9" t="str">
        <f>IFERROR(__xludf.DUMMYFUNCTION("""COMPUTED_VALUE"""),"TLPG TJ PERAK")</f>
        <v>TLPG TJ PERAK</v>
      </c>
      <c r="C188" s="9" t="str">
        <f>IFERROR(__xludf.DUMMYFUNCTION("""COMPUTED_VALUE"""),"PT CATUR MITRA LAMONGAN PRIMA GAS")</f>
        <v>PT CATUR MITRA LAMONGAN PRIMA GAS</v>
      </c>
      <c r="D188" s="11">
        <f>IFERROR(__xludf.DUMMYFUNCTION("""COMPUTED_VALUE"""),55.9)</f>
        <v>55.9</v>
      </c>
      <c r="E188" s="11" t="str">
        <f>IFERROR(__xludf.DUMMYFUNCTION("""COMPUTED_VALUE"""),"SEDANG")</f>
        <v>SEDANG</v>
      </c>
      <c r="F188" s="11">
        <f>IFERROR(__xludf.DUMMYFUNCTION("""COMPUTED_VALUE"""),2.0)</f>
        <v>2</v>
      </c>
      <c r="G188" s="11">
        <f>IFERROR(__xludf.DUMMYFUNCTION("""COMPUTED_VALUE"""),12.0)</f>
        <v>12</v>
      </c>
      <c r="H188" s="11">
        <f>IFERROR(__xludf.DUMMYFUNCTION("""COMPUTED_VALUE"""),7.0)</f>
        <v>7</v>
      </c>
      <c r="I188" s="11">
        <v>7.0</v>
      </c>
    </row>
    <row r="189">
      <c r="A189" s="9" t="str">
        <f>IFERROR(__xludf.DUMMYFUNCTION("""COMPUTED_VALUE"""),"S 9614 UJ")</f>
        <v>S 9614 UJ</v>
      </c>
      <c r="B189" s="9" t="str">
        <f>IFERROR(__xludf.DUMMYFUNCTION("""COMPUTED_VALUE"""),"TLPG TJ PERAK")</f>
        <v>TLPG TJ PERAK</v>
      </c>
      <c r="C189" s="9" t="str">
        <f>IFERROR(__xludf.DUMMYFUNCTION("""COMPUTED_VALUE"""),"PT CATUR MITRA LAMONGAN PRIMA GAS")</f>
        <v>PT CATUR MITRA LAMONGAN PRIMA GAS</v>
      </c>
      <c r="D189" s="11">
        <f>IFERROR(__xludf.DUMMYFUNCTION("""COMPUTED_VALUE"""),55.9)</f>
        <v>55.9</v>
      </c>
      <c r="E189" s="11" t="str">
        <f>IFERROR(__xludf.DUMMYFUNCTION("""COMPUTED_VALUE"""),"SEDANG")</f>
        <v>SEDANG</v>
      </c>
      <c r="F189" s="11">
        <f>IFERROR(__xludf.DUMMYFUNCTION("""COMPUTED_VALUE"""),2.0)</f>
        <v>2</v>
      </c>
      <c r="G189" s="11">
        <f>IFERROR(__xludf.DUMMYFUNCTION("""COMPUTED_VALUE"""),12.0)</f>
        <v>12</v>
      </c>
      <c r="H189" s="11">
        <f>IFERROR(__xludf.DUMMYFUNCTION("""COMPUTED_VALUE"""),8.0)</f>
        <v>8</v>
      </c>
      <c r="I189" s="11">
        <v>8.0</v>
      </c>
    </row>
    <row r="190">
      <c r="A190" s="9" t="str">
        <f>IFERROR(__xludf.DUMMYFUNCTION("""COMPUTED_VALUE"""),"DK 8236 GH")</f>
        <v>DK 8236 GH</v>
      </c>
      <c r="B190" s="9" t="str">
        <f>IFERROR(__xludf.DUMMYFUNCTION("""COMPUTED_VALUE"""),"TLPG MANGGIS")</f>
        <v>TLPG MANGGIS</v>
      </c>
      <c r="C190" s="9" t="str">
        <f>IFERROR(__xludf.DUMMYFUNCTION("""COMPUTED_VALUE"""),"SPPBE-PT. Kiani Pasifik Nusantara")</f>
        <v>SPPBE-PT. Kiani Pasifik Nusantara</v>
      </c>
      <c r="D190" s="11">
        <f>IFERROR(__xludf.DUMMYFUNCTION("""COMPUTED_VALUE"""),55.1)</f>
        <v>55.1</v>
      </c>
      <c r="E190" s="11" t="str">
        <f>IFERROR(__xludf.DUMMYFUNCTION("""COMPUTED_VALUE"""),"SEDANG")</f>
        <v>SEDANG</v>
      </c>
      <c r="F190" s="11">
        <f>IFERROR(__xludf.DUMMYFUNCTION("""COMPUTED_VALUE"""),2.0)</f>
        <v>2</v>
      </c>
      <c r="G190" s="11">
        <f>IFERROR(__xludf.DUMMYFUNCTION("""COMPUTED_VALUE"""),6.0)</f>
        <v>6</v>
      </c>
      <c r="H190" s="11">
        <f>IFERROR(__xludf.DUMMYFUNCTION("""COMPUTED_VALUE"""),9.0)</f>
        <v>9</v>
      </c>
      <c r="I190" s="11">
        <v>9.0</v>
      </c>
    </row>
    <row r="191">
      <c r="A191" s="9" t="str">
        <f>IFERROR(__xludf.DUMMYFUNCTION("""COMPUTED_VALUE"""),"DK 8268 HH")</f>
        <v>DK 8268 HH</v>
      </c>
      <c r="B191" s="9" t="str">
        <f>IFERROR(__xludf.DUMMYFUNCTION("""COMPUTED_VALUE"""),"TLPG MANGGIS")</f>
        <v>TLPG MANGGIS</v>
      </c>
      <c r="C191" s="9" t="str">
        <f>IFERROR(__xludf.DUMMYFUNCTION("""COMPUTED_VALUE"""),"SPPBE-PT. Kiani Pasifik Nusantara")</f>
        <v>SPPBE-PT. Kiani Pasifik Nusantara</v>
      </c>
      <c r="D191" s="11">
        <f>IFERROR(__xludf.DUMMYFUNCTION("""COMPUTED_VALUE"""),55.1)</f>
        <v>55.1</v>
      </c>
      <c r="E191" s="11" t="str">
        <f>IFERROR(__xludf.DUMMYFUNCTION("""COMPUTED_VALUE"""),"SEDANG")</f>
        <v>SEDANG</v>
      </c>
      <c r="F191" s="11">
        <f>IFERROR(__xludf.DUMMYFUNCTION("""COMPUTED_VALUE"""),2.0)</f>
        <v>2</v>
      </c>
      <c r="G191" s="11">
        <f>IFERROR(__xludf.DUMMYFUNCTION("""COMPUTED_VALUE"""),6.0)</f>
        <v>6</v>
      </c>
      <c r="H191" s="11">
        <f>IFERROR(__xludf.DUMMYFUNCTION("""COMPUTED_VALUE"""),10.0)</f>
        <v>10</v>
      </c>
      <c r="I191" s="11">
        <v>10.0</v>
      </c>
    </row>
    <row r="192">
      <c r="A192" s="9" t="str">
        <f>IFERROR(__xludf.DUMMYFUNCTION("""COMPUTED_VALUE"""),"DK 8302 HF")</f>
        <v>DK 8302 HF</v>
      </c>
      <c r="B192" s="9" t="str">
        <f>IFERROR(__xludf.DUMMYFUNCTION("""COMPUTED_VALUE"""),"TLPG MANGGIS")</f>
        <v>TLPG MANGGIS</v>
      </c>
      <c r="C192" s="9" t="str">
        <f>IFERROR(__xludf.DUMMYFUNCTION("""COMPUTED_VALUE"""),"SPPBE-PT. Kiani Pasifik Nusantara")</f>
        <v>SPPBE-PT. Kiani Pasifik Nusantara</v>
      </c>
      <c r="D192" s="11">
        <f>IFERROR(__xludf.DUMMYFUNCTION("""COMPUTED_VALUE"""),55.1)</f>
        <v>55.1</v>
      </c>
      <c r="E192" s="11" t="str">
        <f>IFERROR(__xludf.DUMMYFUNCTION("""COMPUTED_VALUE"""),"SEDANG")</f>
        <v>SEDANG</v>
      </c>
      <c r="F192" s="11">
        <f>IFERROR(__xludf.DUMMYFUNCTION("""COMPUTED_VALUE"""),2.0)</f>
        <v>2</v>
      </c>
      <c r="G192" s="11">
        <f>IFERROR(__xludf.DUMMYFUNCTION("""COMPUTED_VALUE"""),7.0)</f>
        <v>7</v>
      </c>
      <c r="H192" s="11">
        <f>IFERROR(__xludf.DUMMYFUNCTION("""COMPUTED_VALUE"""),11.0)</f>
        <v>11</v>
      </c>
      <c r="I192" s="11">
        <v>11.0</v>
      </c>
    </row>
    <row r="193">
      <c r="A193" s="9" t="str">
        <f>IFERROR(__xludf.DUMMYFUNCTION("""COMPUTED_VALUE"""),"N 8006 UT")</f>
        <v>N 8006 UT</v>
      </c>
      <c r="B193" s="9" t="str">
        <f>IFERROR(__xludf.DUMMYFUNCTION("""COMPUTED_VALUE"""),"TLPG TJ PERAK")</f>
        <v>TLPG TJ PERAK</v>
      </c>
      <c r="C193" s="9" t="str">
        <f>IFERROR(__xludf.DUMMYFUNCTION("""COMPUTED_VALUE"""),"PT ANUGERAH JATI UTAMA")</f>
        <v>PT ANUGERAH JATI UTAMA</v>
      </c>
      <c r="D193" s="11">
        <f>IFERROR(__xludf.DUMMYFUNCTION("""COMPUTED_VALUE"""),54.2)</f>
        <v>54.2</v>
      </c>
      <c r="E193" s="11" t="str">
        <f>IFERROR(__xludf.DUMMYFUNCTION("""COMPUTED_VALUE"""),"SEDANG")</f>
        <v>SEDANG</v>
      </c>
      <c r="F193" s="11">
        <f>IFERROR(__xludf.DUMMYFUNCTION("""COMPUTED_VALUE"""),2.0)</f>
        <v>2</v>
      </c>
      <c r="G193" s="11">
        <f>IFERROR(__xludf.DUMMYFUNCTION("""COMPUTED_VALUE"""),8.0)</f>
        <v>8</v>
      </c>
      <c r="H193" s="11">
        <f>IFERROR(__xludf.DUMMYFUNCTION("""COMPUTED_VALUE"""),12.0)</f>
        <v>12</v>
      </c>
      <c r="I193" s="11">
        <v>12.0</v>
      </c>
    </row>
    <row r="194">
      <c r="A194" s="9" t="str">
        <f>IFERROR(__xludf.DUMMYFUNCTION("""COMPUTED_VALUE"""),"N 8714 US")</f>
        <v>N 8714 US</v>
      </c>
      <c r="B194" s="9" t="str">
        <f>IFERROR(__xludf.DUMMYFUNCTION("""COMPUTED_VALUE"""),"TLPG TJ PERAK")</f>
        <v>TLPG TJ PERAK</v>
      </c>
      <c r="C194" s="9" t="str">
        <f>IFERROR(__xludf.DUMMYFUNCTION("""COMPUTED_VALUE"""),"PT ANUGERAH JATI UTAMA")</f>
        <v>PT ANUGERAH JATI UTAMA</v>
      </c>
      <c r="D194" s="11">
        <f>IFERROR(__xludf.DUMMYFUNCTION("""COMPUTED_VALUE"""),54.2)</f>
        <v>54.2</v>
      </c>
      <c r="E194" s="11" t="str">
        <f>IFERROR(__xludf.DUMMYFUNCTION("""COMPUTED_VALUE"""),"SEDANG")</f>
        <v>SEDANG</v>
      </c>
      <c r="F194" s="11">
        <f>IFERROR(__xludf.DUMMYFUNCTION("""COMPUTED_VALUE"""),2.0)</f>
        <v>2</v>
      </c>
      <c r="G194" s="11">
        <f>IFERROR(__xludf.DUMMYFUNCTION("""COMPUTED_VALUE"""),9.0)</f>
        <v>9</v>
      </c>
      <c r="H194" s="11">
        <f>IFERROR(__xludf.DUMMYFUNCTION("""COMPUTED_VALUE"""),1.0)</f>
        <v>1</v>
      </c>
      <c r="I194" s="11">
        <v>1.0</v>
      </c>
    </row>
    <row r="195">
      <c r="A195" s="9" t="str">
        <f>IFERROR(__xludf.DUMMYFUNCTION("""COMPUTED_VALUE"""),"AD 9780 AB")</f>
        <v>AD 9780 AB</v>
      </c>
      <c r="B195" s="9" t="str">
        <f>IFERROR(__xludf.DUMMYFUNCTION("""COMPUTED_VALUE"""),"TLPG LOMBOK")</f>
        <v>TLPG LOMBOK</v>
      </c>
      <c r="C195" s="9" t="str">
        <f>IFERROR(__xludf.DUMMYFUNCTION("""COMPUTED_VALUE"""),"SPPBE-PT. Lombok Putra Gas")</f>
        <v>SPPBE-PT. Lombok Putra Gas</v>
      </c>
      <c r="D195" s="11">
        <f>IFERROR(__xludf.DUMMYFUNCTION("""COMPUTED_VALUE"""),53.9)</f>
        <v>53.9</v>
      </c>
      <c r="E195" s="11" t="str">
        <f>IFERROR(__xludf.DUMMYFUNCTION("""COMPUTED_VALUE"""),"SEDANG")</f>
        <v>SEDANG</v>
      </c>
      <c r="F195" s="11">
        <f>IFERROR(__xludf.DUMMYFUNCTION("""COMPUTED_VALUE"""),2.0)</f>
        <v>2</v>
      </c>
      <c r="G195" s="11">
        <f>IFERROR(__xludf.DUMMYFUNCTION("""COMPUTED_VALUE"""),1.0)</f>
        <v>1</v>
      </c>
      <c r="H195" s="11">
        <f>IFERROR(__xludf.DUMMYFUNCTION("""COMPUTED_VALUE"""),2.0)</f>
        <v>2</v>
      </c>
      <c r="I195" s="11">
        <v>2.0</v>
      </c>
    </row>
    <row r="196">
      <c r="A196" s="9" t="str">
        <f>IFERROR(__xludf.DUMMYFUNCTION("""COMPUTED_VALUE"""),"AD 9838 AB")</f>
        <v>AD 9838 AB</v>
      </c>
      <c r="B196" s="9" t="str">
        <f>IFERROR(__xludf.DUMMYFUNCTION("""COMPUTED_VALUE"""),"TLPG LOMBOK")</f>
        <v>TLPG LOMBOK</v>
      </c>
      <c r="C196" s="9" t="str">
        <f>IFERROR(__xludf.DUMMYFUNCTION("""COMPUTED_VALUE"""),"SPPBE-PT. Lombok Putra Gas")</f>
        <v>SPPBE-PT. Lombok Putra Gas</v>
      </c>
      <c r="D196" s="11">
        <f>IFERROR(__xludf.DUMMYFUNCTION("""COMPUTED_VALUE"""),53.9)</f>
        <v>53.9</v>
      </c>
      <c r="E196" s="11" t="str">
        <f>IFERROR(__xludf.DUMMYFUNCTION("""COMPUTED_VALUE"""),"SEDANG")</f>
        <v>SEDANG</v>
      </c>
      <c r="F196" s="11">
        <f>IFERROR(__xludf.DUMMYFUNCTION("""COMPUTED_VALUE"""),2.0)</f>
        <v>2</v>
      </c>
      <c r="G196" s="11">
        <f>IFERROR(__xludf.DUMMYFUNCTION("""COMPUTED_VALUE"""),2.0)</f>
        <v>2</v>
      </c>
      <c r="H196" s="11">
        <f>IFERROR(__xludf.DUMMYFUNCTION("""COMPUTED_VALUE"""),3.0)</f>
        <v>3</v>
      </c>
      <c r="I196" s="11">
        <v>3.0</v>
      </c>
    </row>
    <row r="197">
      <c r="A197" s="9" t="str">
        <f>IFERROR(__xludf.DUMMYFUNCTION("""COMPUTED_VALUE"""),"AD 9877 AB")</f>
        <v>AD 9877 AB</v>
      </c>
      <c r="B197" s="9" t="str">
        <f>IFERROR(__xludf.DUMMYFUNCTION("""COMPUTED_VALUE"""),"TLPG LOMBOK")</f>
        <v>TLPG LOMBOK</v>
      </c>
      <c r="C197" s="9" t="str">
        <f>IFERROR(__xludf.DUMMYFUNCTION("""COMPUTED_VALUE"""),"SPPBE-PT. Lombok Putra Gas")</f>
        <v>SPPBE-PT. Lombok Putra Gas</v>
      </c>
      <c r="D197" s="11">
        <f>IFERROR(__xludf.DUMMYFUNCTION("""COMPUTED_VALUE"""),53.9)</f>
        <v>53.9</v>
      </c>
      <c r="E197" s="11" t="str">
        <f>IFERROR(__xludf.DUMMYFUNCTION("""COMPUTED_VALUE"""),"SEDANG")</f>
        <v>SEDANG</v>
      </c>
      <c r="F197" s="11">
        <f>IFERROR(__xludf.DUMMYFUNCTION("""COMPUTED_VALUE"""),2.0)</f>
        <v>2</v>
      </c>
      <c r="G197" s="11">
        <f>IFERROR(__xludf.DUMMYFUNCTION("""COMPUTED_VALUE"""),2.0)</f>
        <v>2</v>
      </c>
      <c r="H197" s="11">
        <f>IFERROR(__xludf.DUMMYFUNCTION("""COMPUTED_VALUE"""),4.0)</f>
        <v>4</v>
      </c>
      <c r="I197" s="11">
        <v>4.0</v>
      </c>
    </row>
    <row r="198">
      <c r="A198" s="9" t="str">
        <f>IFERROR(__xludf.DUMMYFUNCTION("""COMPUTED_VALUE"""),"S 8058 UL")</f>
        <v>S 8058 UL</v>
      </c>
      <c r="B198" s="9" t="str">
        <f>IFERROR(__xludf.DUMMYFUNCTION("""COMPUTED_VALUE"""),"TLPG MEM GRESIK")</f>
        <v>TLPG MEM GRESIK</v>
      </c>
      <c r="C198" s="9" t="str">
        <f>IFERROR(__xludf.DUMMYFUNCTION("""COMPUTED_VALUE"""),"PT LAMONGAN GAS LESTARI")</f>
        <v>PT LAMONGAN GAS LESTARI</v>
      </c>
      <c r="D198" s="11">
        <f>IFERROR(__xludf.DUMMYFUNCTION("""COMPUTED_VALUE"""),53.4)</f>
        <v>53.4</v>
      </c>
      <c r="E198" s="11" t="str">
        <f>IFERROR(__xludf.DUMMYFUNCTION("""COMPUTED_VALUE"""),"SEDANG")</f>
        <v>SEDANG</v>
      </c>
      <c r="F198" s="11">
        <f>IFERROR(__xludf.DUMMYFUNCTION("""COMPUTED_VALUE"""),2.0)</f>
        <v>2</v>
      </c>
      <c r="G198" s="11">
        <f>IFERROR(__xludf.DUMMYFUNCTION("""COMPUTED_VALUE"""),11.0)</f>
        <v>11</v>
      </c>
      <c r="H198" s="11">
        <f>IFERROR(__xludf.DUMMYFUNCTION("""COMPUTED_VALUE"""),5.0)</f>
        <v>5</v>
      </c>
      <c r="I198" s="11">
        <v>5.0</v>
      </c>
    </row>
    <row r="199">
      <c r="A199" s="9" t="str">
        <f>IFERROR(__xludf.DUMMYFUNCTION("""COMPUTED_VALUE"""),"W 8409 UQ")</f>
        <v>W 8409 UQ</v>
      </c>
      <c r="B199" s="9" t="str">
        <f>IFERROR(__xludf.DUMMYFUNCTION("""COMPUTED_VALUE"""),"TLPG MEM GRESIK")</f>
        <v>TLPG MEM GRESIK</v>
      </c>
      <c r="C199" s="9" t="str">
        <f>IFERROR(__xludf.DUMMYFUNCTION("""COMPUTED_VALUE"""),"PT KARYA JAYA LESTARI")</f>
        <v>PT KARYA JAYA LESTARI</v>
      </c>
      <c r="D199" s="11">
        <f>IFERROR(__xludf.DUMMYFUNCTION("""COMPUTED_VALUE"""),50.9)</f>
        <v>50.9</v>
      </c>
      <c r="E199" s="11" t="str">
        <f>IFERROR(__xludf.DUMMYFUNCTION("""COMPUTED_VALUE"""),"SEDANG")</f>
        <v>SEDANG</v>
      </c>
      <c r="F199" s="11">
        <f>IFERROR(__xludf.DUMMYFUNCTION("""COMPUTED_VALUE"""),2.0)</f>
        <v>2</v>
      </c>
      <c r="G199" s="11">
        <f>IFERROR(__xludf.DUMMYFUNCTION("""COMPUTED_VALUE"""),12.0)</f>
        <v>12</v>
      </c>
      <c r="H199" s="11">
        <f>IFERROR(__xludf.DUMMYFUNCTION("""COMPUTED_VALUE"""),6.0)</f>
        <v>6</v>
      </c>
      <c r="I199" s="11">
        <v>6.0</v>
      </c>
    </row>
    <row r="200">
      <c r="A200" s="9" t="str">
        <f>IFERROR(__xludf.DUMMYFUNCTION("""COMPUTED_VALUE"""),"DK 8694 KP")</f>
        <v>DK 8694 KP</v>
      </c>
      <c r="B200" s="9" t="str">
        <f>IFERROR(__xludf.DUMMYFUNCTION("""COMPUTED_VALUE"""),"TLPG MANGGIS")</f>
        <v>TLPG MANGGIS</v>
      </c>
      <c r="C200" s="9" t="str">
        <f>IFERROR(__xludf.DUMMYFUNCTION("""COMPUTED_VALUE"""),"SPPBE-PT. Prapen Artha Dewata")</f>
        <v>SPPBE-PT. Prapen Artha Dewata</v>
      </c>
      <c r="D200" s="11">
        <f>IFERROR(__xludf.DUMMYFUNCTION("""COMPUTED_VALUE"""),49.9)</f>
        <v>49.9</v>
      </c>
      <c r="E200" s="11" t="str">
        <f>IFERROR(__xludf.DUMMYFUNCTION("""COMPUTED_VALUE"""),"DEKAT")</f>
        <v>DEKAT</v>
      </c>
      <c r="F200" s="11">
        <f>IFERROR(__xludf.DUMMYFUNCTION("""COMPUTED_VALUE"""),1.0)</f>
        <v>1</v>
      </c>
      <c r="G200" s="11">
        <f>IFERROR(__xludf.DUMMYFUNCTION("""COMPUTED_VALUE"""),11.0)</f>
        <v>11</v>
      </c>
      <c r="H200" s="11">
        <f>IFERROR(__xludf.DUMMYFUNCTION("""COMPUTED_VALUE"""),7.0)</f>
        <v>7</v>
      </c>
      <c r="I200" s="11">
        <v>7.0</v>
      </c>
    </row>
    <row r="201">
      <c r="A201" s="9" t="str">
        <f>IFERROR(__xludf.DUMMYFUNCTION("""COMPUTED_VALUE"""),"DK 8636 BE")</f>
        <v>DK 8636 BE</v>
      </c>
      <c r="B201" s="9" t="str">
        <f>IFERROR(__xludf.DUMMYFUNCTION("""COMPUTED_VALUE"""),"TLPG MANGGIS")</f>
        <v>TLPG MANGGIS</v>
      </c>
      <c r="C201" s="9" t="str">
        <f>IFERROR(__xludf.DUMMYFUNCTION("""COMPUTED_VALUE"""),"PT CAHAYA ASTIKA DHARMA")</f>
        <v>PT CAHAYA ASTIKA DHARMA</v>
      </c>
      <c r="D201" s="11">
        <f>IFERROR(__xludf.DUMMYFUNCTION("""COMPUTED_VALUE"""),49.4)</f>
        <v>49.4</v>
      </c>
      <c r="E201" s="11" t="str">
        <f>IFERROR(__xludf.DUMMYFUNCTION("""COMPUTED_VALUE"""),"DEKAT")</f>
        <v>DEKAT</v>
      </c>
      <c r="F201" s="11">
        <f>IFERROR(__xludf.DUMMYFUNCTION("""COMPUTED_VALUE"""),1.0)</f>
        <v>1</v>
      </c>
      <c r="G201" s="11">
        <f>IFERROR(__xludf.DUMMYFUNCTION("""COMPUTED_VALUE"""),12.0)</f>
        <v>12</v>
      </c>
      <c r="H201" s="11">
        <f>IFERROR(__xludf.DUMMYFUNCTION("""COMPUTED_VALUE"""),8.0)</f>
        <v>8</v>
      </c>
      <c r="I201" s="11">
        <v>8.0</v>
      </c>
    </row>
    <row r="202">
      <c r="A202" s="9" t="str">
        <f>IFERROR(__xludf.DUMMYFUNCTION("""COMPUTED_VALUE"""),"DK 8834 BM")</f>
        <v>DK 8834 BM</v>
      </c>
      <c r="B202" s="9" t="str">
        <f>IFERROR(__xludf.DUMMYFUNCTION("""COMPUTED_VALUE"""),"TLPG MANGGIS")</f>
        <v>TLPG MANGGIS</v>
      </c>
      <c r="C202" s="9" t="str">
        <f>IFERROR(__xludf.DUMMYFUNCTION("""COMPUTED_VALUE"""),"SPPBE-PT. Cahaya Astika Dharma")</f>
        <v>SPPBE-PT. Cahaya Astika Dharma</v>
      </c>
      <c r="D202" s="11">
        <f>IFERROR(__xludf.DUMMYFUNCTION("""COMPUTED_VALUE"""),49.4)</f>
        <v>49.4</v>
      </c>
      <c r="E202" s="11" t="str">
        <f>IFERROR(__xludf.DUMMYFUNCTION("""COMPUTED_VALUE"""),"DEKAT")</f>
        <v>DEKAT</v>
      </c>
      <c r="F202" s="11">
        <f>IFERROR(__xludf.DUMMYFUNCTION("""COMPUTED_VALUE"""),1.0)</f>
        <v>1</v>
      </c>
      <c r="G202" s="11">
        <f>IFERROR(__xludf.DUMMYFUNCTION("""COMPUTED_VALUE"""),12.0)</f>
        <v>12</v>
      </c>
      <c r="H202" s="11">
        <f>IFERROR(__xludf.DUMMYFUNCTION("""COMPUTED_VALUE"""),9.0)</f>
        <v>9</v>
      </c>
      <c r="I202" s="11">
        <v>9.0</v>
      </c>
    </row>
    <row r="203">
      <c r="A203" s="9" t="str">
        <f>IFERROR(__xludf.DUMMYFUNCTION("""COMPUTED_VALUE"""),"DK 8773 MG")</f>
        <v>DK 8773 MG</v>
      </c>
      <c r="B203" s="9" t="str">
        <f>IFERROR(__xludf.DUMMYFUNCTION("""COMPUTED_VALUE"""),"TLPG LOMBOK")</f>
        <v>TLPG LOMBOK</v>
      </c>
      <c r="C203" s="9" t="str">
        <f>IFERROR(__xludf.DUMMYFUNCTION("""COMPUTED_VALUE"""),"SPPBE-PT. Harapan Jaya Utama")</f>
        <v>SPPBE-PT. Harapan Jaya Utama</v>
      </c>
      <c r="D203" s="11">
        <f>IFERROR(__xludf.DUMMYFUNCTION("""COMPUTED_VALUE"""),48.5)</f>
        <v>48.5</v>
      </c>
      <c r="E203" s="11" t="str">
        <f>IFERROR(__xludf.DUMMYFUNCTION("""COMPUTED_VALUE"""),"DEKAT")</f>
        <v>DEKAT</v>
      </c>
      <c r="F203" s="11">
        <f>IFERROR(__xludf.DUMMYFUNCTION("""COMPUTED_VALUE"""),1.0)</f>
        <v>1</v>
      </c>
      <c r="G203" s="11">
        <f>IFERROR(__xludf.DUMMYFUNCTION("""COMPUTED_VALUE"""),4.0)</f>
        <v>4</v>
      </c>
      <c r="H203" s="11">
        <f>IFERROR(__xludf.DUMMYFUNCTION("""COMPUTED_VALUE"""),10.0)</f>
        <v>10</v>
      </c>
      <c r="I203" s="11">
        <v>10.0</v>
      </c>
    </row>
    <row r="204">
      <c r="A204" s="9" t="str">
        <f>IFERROR(__xludf.DUMMYFUNCTION("""COMPUTED_VALUE"""),"W 8921 UR")</f>
        <v>W 8921 UR</v>
      </c>
      <c r="B204" s="9" t="str">
        <f>IFERROR(__xludf.DUMMYFUNCTION("""COMPUTED_VALUE"""),"TLPG TJ PERAK")</f>
        <v>TLPG TJ PERAK</v>
      </c>
      <c r="C204" s="9" t="str">
        <f>IFERROR(__xludf.DUMMYFUNCTION("""COMPUTED_VALUE"""),"PT WIN MED INDONESIA")</f>
        <v>PT WIN MED INDONESIA</v>
      </c>
      <c r="D204" s="11">
        <f>IFERROR(__xludf.DUMMYFUNCTION("""COMPUTED_VALUE"""),47.8)</f>
        <v>47.8</v>
      </c>
      <c r="E204" s="11" t="str">
        <f>IFERROR(__xludf.DUMMYFUNCTION("""COMPUTED_VALUE"""),"DEKAT")</f>
        <v>DEKAT</v>
      </c>
      <c r="F204" s="11">
        <f>IFERROR(__xludf.DUMMYFUNCTION("""COMPUTED_VALUE"""),1.0)</f>
        <v>1</v>
      </c>
      <c r="G204" s="11">
        <f>IFERROR(__xludf.DUMMYFUNCTION("""COMPUTED_VALUE"""),7.0)</f>
        <v>7</v>
      </c>
      <c r="H204" s="11">
        <f>IFERROR(__xludf.DUMMYFUNCTION("""COMPUTED_VALUE"""),11.0)</f>
        <v>11</v>
      </c>
      <c r="I204" s="11">
        <v>11.0</v>
      </c>
    </row>
    <row r="205">
      <c r="A205" s="9" t="str">
        <f>IFERROR(__xludf.DUMMYFUNCTION("""COMPUTED_VALUE"""),"W 8041 UW")</f>
        <v>W 8041 UW</v>
      </c>
      <c r="B205" s="9" t="str">
        <f>IFERROR(__xludf.DUMMYFUNCTION("""COMPUTED_VALUE"""),"TLPG TJ PERAK")</f>
        <v>TLPG TJ PERAK</v>
      </c>
      <c r="C205" s="9" t="str">
        <f>IFERROR(__xludf.DUMMYFUNCTION("""COMPUTED_VALUE"""),"PT WIN MED INDONESIA")</f>
        <v>PT WIN MED INDONESIA</v>
      </c>
      <c r="D205" s="11">
        <f>IFERROR(__xludf.DUMMYFUNCTION("""COMPUTED_VALUE"""),47.8)</f>
        <v>47.8</v>
      </c>
      <c r="E205" s="11" t="str">
        <f>IFERROR(__xludf.DUMMYFUNCTION("""COMPUTED_VALUE"""),"DEKAT")</f>
        <v>DEKAT</v>
      </c>
      <c r="F205" s="11">
        <f>IFERROR(__xludf.DUMMYFUNCTION("""COMPUTED_VALUE"""),1.0)</f>
        <v>1</v>
      </c>
      <c r="G205" s="11">
        <f>IFERROR(__xludf.DUMMYFUNCTION("""COMPUTED_VALUE"""),12.0)</f>
        <v>12</v>
      </c>
      <c r="H205" s="11">
        <f>IFERROR(__xludf.DUMMYFUNCTION("""COMPUTED_VALUE"""),12.0)</f>
        <v>12</v>
      </c>
      <c r="I205" s="11">
        <v>12.0</v>
      </c>
    </row>
    <row r="206">
      <c r="A206" s="9" t="str">
        <f>IFERROR(__xludf.DUMMYFUNCTION("""COMPUTED_VALUE"""),"DK 8394 CP")</f>
        <v>DK 8394 CP</v>
      </c>
      <c r="B206" s="9" t="str">
        <f>IFERROR(__xludf.DUMMYFUNCTION("""COMPUTED_VALUE"""),"TLPG MANGGIS")</f>
        <v>TLPG MANGGIS</v>
      </c>
      <c r="C206" s="9" t="str">
        <f>IFERROR(__xludf.DUMMYFUNCTION("""COMPUTED_VALUE"""),"SPPBE-PT. Sadikun LPG 3Kg")</f>
        <v>SPPBE-PT. Sadikun LPG 3Kg</v>
      </c>
      <c r="D206" s="11">
        <f>IFERROR(__xludf.DUMMYFUNCTION("""COMPUTED_VALUE"""),46.6)</f>
        <v>46.6</v>
      </c>
      <c r="E206" s="11" t="str">
        <f>IFERROR(__xludf.DUMMYFUNCTION("""COMPUTED_VALUE"""),"DEKAT")</f>
        <v>DEKAT</v>
      </c>
      <c r="F206" s="11">
        <f>IFERROR(__xludf.DUMMYFUNCTION("""COMPUTED_VALUE"""),1.0)</f>
        <v>1</v>
      </c>
      <c r="G206" s="11">
        <f>IFERROR(__xludf.DUMMYFUNCTION("""COMPUTED_VALUE"""),8.0)</f>
        <v>8</v>
      </c>
      <c r="H206" s="11">
        <f>IFERROR(__xludf.DUMMYFUNCTION("""COMPUTED_VALUE"""),1.0)</f>
        <v>1</v>
      </c>
      <c r="I206" s="11">
        <v>1.0</v>
      </c>
    </row>
    <row r="207">
      <c r="A207" s="9" t="str">
        <f>IFERROR(__xludf.DUMMYFUNCTION("""COMPUTED_VALUE"""),"DK 8100 CL")</f>
        <v>DK 8100 CL</v>
      </c>
      <c r="B207" s="9" t="str">
        <f>IFERROR(__xludf.DUMMYFUNCTION("""COMPUTED_VALUE"""),"TLPG MANGGIS")</f>
        <v>TLPG MANGGIS</v>
      </c>
      <c r="C207" s="9" t="str">
        <f>IFERROR(__xludf.DUMMYFUNCTION("""COMPUTED_VALUE"""),"SPPBE-PT. Sadikun LPG 3Kg")</f>
        <v>SPPBE-PT. Sadikun LPG 3Kg</v>
      </c>
      <c r="D207" s="11">
        <f>IFERROR(__xludf.DUMMYFUNCTION("""COMPUTED_VALUE"""),46.6)</f>
        <v>46.6</v>
      </c>
      <c r="E207" s="11" t="str">
        <f>IFERROR(__xludf.DUMMYFUNCTION("""COMPUTED_VALUE"""),"DEKAT")</f>
        <v>DEKAT</v>
      </c>
      <c r="F207" s="11">
        <f>IFERROR(__xludf.DUMMYFUNCTION("""COMPUTED_VALUE"""),1.0)</f>
        <v>1</v>
      </c>
      <c r="G207" s="11">
        <f>IFERROR(__xludf.DUMMYFUNCTION("""COMPUTED_VALUE"""),9.0)</f>
        <v>9</v>
      </c>
      <c r="H207" s="11">
        <f>IFERROR(__xludf.DUMMYFUNCTION("""COMPUTED_VALUE"""),2.0)</f>
        <v>2</v>
      </c>
      <c r="I207" s="11">
        <v>2.0</v>
      </c>
    </row>
    <row r="208">
      <c r="A208" s="9" t="str">
        <f>IFERROR(__xludf.DUMMYFUNCTION("""COMPUTED_VALUE"""),"DK 8547 CV")</f>
        <v>DK 8547 CV</v>
      </c>
      <c r="B208" s="9" t="str">
        <f>IFERROR(__xludf.DUMMYFUNCTION("""COMPUTED_VALUE"""),"TLPG MANGGIS")</f>
        <v>TLPG MANGGIS</v>
      </c>
      <c r="C208" s="9" t="str">
        <f>IFERROR(__xludf.DUMMYFUNCTION("""COMPUTED_VALUE"""),"SPPBE-PT. Sadikun LPG 3Kg")</f>
        <v>SPPBE-PT. Sadikun LPG 3Kg</v>
      </c>
      <c r="D208" s="11">
        <f>IFERROR(__xludf.DUMMYFUNCTION("""COMPUTED_VALUE"""),46.6)</f>
        <v>46.6</v>
      </c>
      <c r="E208" s="11" t="str">
        <f>IFERROR(__xludf.DUMMYFUNCTION("""COMPUTED_VALUE"""),"DEKAT")</f>
        <v>DEKAT</v>
      </c>
      <c r="F208" s="11">
        <f>IFERROR(__xludf.DUMMYFUNCTION("""COMPUTED_VALUE"""),1.0)</f>
        <v>1</v>
      </c>
      <c r="G208" s="11">
        <f>IFERROR(__xludf.DUMMYFUNCTION("""COMPUTED_VALUE"""),9.0)</f>
        <v>9</v>
      </c>
      <c r="H208" s="11">
        <f>IFERROR(__xludf.DUMMYFUNCTION("""COMPUTED_VALUE"""),3.0)</f>
        <v>3</v>
      </c>
      <c r="I208" s="11">
        <v>3.0</v>
      </c>
    </row>
    <row r="209">
      <c r="A209" s="9" t="str">
        <f>IFERROR(__xludf.DUMMYFUNCTION("""COMPUTED_VALUE"""),"S 8347 UQ")</f>
        <v>S 8347 UQ</v>
      </c>
      <c r="B209" s="9" t="str">
        <f>IFERROR(__xludf.DUMMYFUNCTION("""COMPUTED_VALUE"""),"TLPG TJ PERAK")</f>
        <v>TLPG TJ PERAK</v>
      </c>
      <c r="C209" s="9" t="str">
        <f>IFERROR(__xludf.DUMMYFUNCTION("""COMPUTED_VALUE"""),"PT ANTARES JAYA SAKTI")</f>
        <v>PT ANTARES JAYA SAKTI</v>
      </c>
      <c r="D209" s="11">
        <f>IFERROR(__xludf.DUMMYFUNCTION("""COMPUTED_VALUE"""),44.3)</f>
        <v>44.3</v>
      </c>
      <c r="E209" s="11" t="str">
        <f>IFERROR(__xludf.DUMMYFUNCTION("""COMPUTED_VALUE"""),"DEKAT")</f>
        <v>DEKAT</v>
      </c>
      <c r="F209" s="11">
        <f>IFERROR(__xludf.DUMMYFUNCTION("""COMPUTED_VALUE"""),1.0)</f>
        <v>1</v>
      </c>
      <c r="G209" s="11">
        <f>IFERROR(__xludf.DUMMYFUNCTION("""COMPUTED_VALUE"""),11.0)</f>
        <v>11</v>
      </c>
      <c r="H209" s="11">
        <f>IFERROR(__xludf.DUMMYFUNCTION("""COMPUTED_VALUE"""),4.0)</f>
        <v>4</v>
      </c>
      <c r="I209" s="11">
        <v>4.0</v>
      </c>
    </row>
    <row r="210">
      <c r="A210" s="9" t="str">
        <f>IFERROR(__xludf.DUMMYFUNCTION("""COMPUTED_VALUE"""),"DK 8368 PA")</f>
        <v>DK 8368 PA</v>
      </c>
      <c r="B210" s="9" t="str">
        <f>IFERROR(__xludf.DUMMYFUNCTION("""COMPUTED_VALUE"""),"TLPG MANGGIS")</f>
        <v>TLPG MANGGIS</v>
      </c>
      <c r="C210" s="9" t="str">
        <f>IFERROR(__xludf.DUMMYFUNCTION("""COMPUTED_VALUE"""),"SPPBE-PT. Segara Windhu Dewata")</f>
        <v>SPPBE-PT. Segara Windhu Dewata</v>
      </c>
      <c r="D210" s="11">
        <f>IFERROR(__xludf.DUMMYFUNCTION("""COMPUTED_VALUE"""),43.2)</f>
        <v>43.2</v>
      </c>
      <c r="E210" s="11" t="str">
        <f>IFERROR(__xludf.DUMMYFUNCTION("""COMPUTED_VALUE"""),"DEKAT")</f>
        <v>DEKAT</v>
      </c>
      <c r="F210" s="11">
        <f>IFERROR(__xludf.DUMMYFUNCTION("""COMPUTED_VALUE"""),1.0)</f>
        <v>1</v>
      </c>
      <c r="G210" s="11">
        <f>IFERROR(__xludf.DUMMYFUNCTION("""COMPUTED_VALUE"""),8.0)</f>
        <v>8</v>
      </c>
      <c r="H210" s="11">
        <f>IFERROR(__xludf.DUMMYFUNCTION("""COMPUTED_VALUE"""),5.0)</f>
        <v>5</v>
      </c>
      <c r="I210" s="11">
        <v>5.0</v>
      </c>
    </row>
    <row r="211">
      <c r="A211" s="9" t="str">
        <f>IFERROR(__xludf.DUMMYFUNCTION("""COMPUTED_VALUE"""),"DK 8369 PA")</f>
        <v>DK 8369 PA</v>
      </c>
      <c r="B211" s="9" t="str">
        <f>IFERROR(__xludf.DUMMYFUNCTION("""COMPUTED_VALUE"""),"TLPG MANGGIS")</f>
        <v>TLPG MANGGIS</v>
      </c>
      <c r="C211" s="9" t="str">
        <f>IFERROR(__xludf.DUMMYFUNCTION("""COMPUTED_VALUE"""),"SPPBE-PT. Segara Windhu Dewata")</f>
        <v>SPPBE-PT. Segara Windhu Dewata</v>
      </c>
      <c r="D211" s="11">
        <f>IFERROR(__xludf.DUMMYFUNCTION("""COMPUTED_VALUE"""),43.2)</f>
        <v>43.2</v>
      </c>
      <c r="E211" s="11" t="str">
        <f>IFERROR(__xludf.DUMMYFUNCTION("""COMPUTED_VALUE"""),"DEKAT")</f>
        <v>DEKAT</v>
      </c>
      <c r="F211" s="11">
        <f>IFERROR(__xludf.DUMMYFUNCTION("""COMPUTED_VALUE"""),1.0)</f>
        <v>1</v>
      </c>
      <c r="G211" s="11">
        <f>IFERROR(__xludf.DUMMYFUNCTION("""COMPUTED_VALUE"""),8.0)</f>
        <v>8</v>
      </c>
      <c r="H211" s="11">
        <f>IFERROR(__xludf.DUMMYFUNCTION("""COMPUTED_VALUE"""),6.0)</f>
        <v>6</v>
      </c>
      <c r="I211" s="11">
        <v>6.0</v>
      </c>
    </row>
    <row r="212">
      <c r="A212" s="9" t="str">
        <f>IFERROR(__xludf.DUMMYFUNCTION("""COMPUTED_VALUE"""),"S 8977 UL")</f>
        <v>S 8977 UL</v>
      </c>
      <c r="B212" s="9" t="str">
        <f>IFERROR(__xludf.DUMMYFUNCTION("""COMPUTED_VALUE"""),"TLPG TJ PERAK")</f>
        <v>TLPG TJ PERAK</v>
      </c>
      <c r="C212" s="9" t="str">
        <f>IFERROR(__xludf.DUMMYFUNCTION("""COMPUTED_VALUE"""),"PT SRI MUKTI RAYA")</f>
        <v>PT SRI MUKTI RAYA</v>
      </c>
      <c r="D212" s="11">
        <f>IFERROR(__xludf.DUMMYFUNCTION("""COMPUTED_VALUE"""),42.2)</f>
        <v>42.2</v>
      </c>
      <c r="E212" s="11" t="str">
        <f>IFERROR(__xludf.DUMMYFUNCTION("""COMPUTED_VALUE"""),"DEKAT")</f>
        <v>DEKAT</v>
      </c>
      <c r="F212" s="11">
        <f>IFERROR(__xludf.DUMMYFUNCTION("""COMPUTED_VALUE"""),1.0)</f>
        <v>1</v>
      </c>
      <c r="G212" s="11">
        <f>IFERROR(__xludf.DUMMYFUNCTION("""COMPUTED_VALUE"""),11.0)</f>
        <v>11</v>
      </c>
      <c r="H212" s="11">
        <f>IFERROR(__xludf.DUMMYFUNCTION("""COMPUTED_VALUE"""),7.0)</f>
        <v>7</v>
      </c>
      <c r="I212" s="11">
        <v>7.0</v>
      </c>
    </row>
    <row r="213">
      <c r="A213" s="9" t="str">
        <f>IFERROR(__xludf.DUMMYFUNCTION("""COMPUTED_VALUE"""),"DK 8735 DQ")</f>
        <v>DK 8735 DQ</v>
      </c>
      <c r="B213" s="9" t="str">
        <f>IFERROR(__xludf.DUMMYFUNCTION("""COMPUTED_VALUE"""),"TLPG MANGGIS")</f>
        <v>TLPG MANGGIS</v>
      </c>
      <c r="C213" s="9" t="str">
        <f>IFERROR(__xludf.DUMMYFUNCTION("""COMPUTED_VALUE"""),"SPPBE-PT. Candra Karya Gas")</f>
        <v>SPPBE-PT. Candra Karya Gas</v>
      </c>
      <c r="D213" s="11">
        <f>IFERROR(__xludf.DUMMYFUNCTION("""COMPUTED_VALUE"""),41.3)</f>
        <v>41.3</v>
      </c>
      <c r="E213" s="11" t="str">
        <f>IFERROR(__xludf.DUMMYFUNCTION("""COMPUTED_VALUE"""),"DEKAT")</f>
        <v>DEKAT</v>
      </c>
      <c r="F213" s="11">
        <f>IFERROR(__xludf.DUMMYFUNCTION("""COMPUTED_VALUE"""),1.0)</f>
        <v>1</v>
      </c>
      <c r="G213" s="11">
        <f>IFERROR(__xludf.DUMMYFUNCTION("""COMPUTED_VALUE"""),11.0)</f>
        <v>11</v>
      </c>
      <c r="H213" s="11">
        <f>IFERROR(__xludf.DUMMYFUNCTION("""COMPUTED_VALUE"""),8.0)</f>
        <v>8</v>
      </c>
      <c r="I213" s="11">
        <v>8.0</v>
      </c>
    </row>
    <row r="214">
      <c r="A214" s="9" t="str">
        <f>IFERROR(__xludf.DUMMYFUNCTION("""COMPUTED_VALUE"""),"DK 8737 DQ")</f>
        <v>DK 8737 DQ</v>
      </c>
      <c r="B214" s="9" t="str">
        <f>IFERROR(__xludf.DUMMYFUNCTION("""COMPUTED_VALUE"""),"TLPG MANGGIS")</f>
        <v>TLPG MANGGIS</v>
      </c>
      <c r="C214" s="9" t="str">
        <f>IFERROR(__xludf.DUMMYFUNCTION("""COMPUTED_VALUE"""),"SPPBE-PT. Candra Karya Gas")</f>
        <v>SPPBE-PT. Candra Karya Gas</v>
      </c>
      <c r="D214" s="11">
        <f>IFERROR(__xludf.DUMMYFUNCTION("""COMPUTED_VALUE"""),41.3)</f>
        <v>41.3</v>
      </c>
      <c r="E214" s="11" t="str">
        <f>IFERROR(__xludf.DUMMYFUNCTION("""COMPUTED_VALUE"""),"DEKAT")</f>
        <v>DEKAT</v>
      </c>
      <c r="F214" s="11">
        <f>IFERROR(__xludf.DUMMYFUNCTION("""COMPUTED_VALUE"""),1.0)</f>
        <v>1</v>
      </c>
      <c r="G214" s="11">
        <f>IFERROR(__xludf.DUMMYFUNCTION("""COMPUTED_VALUE"""),12.0)</f>
        <v>12</v>
      </c>
      <c r="H214" s="11">
        <f>IFERROR(__xludf.DUMMYFUNCTION("""COMPUTED_VALUE"""),9.0)</f>
        <v>9</v>
      </c>
      <c r="I214" s="11">
        <v>9.0</v>
      </c>
    </row>
    <row r="215">
      <c r="A215" s="9" t="str">
        <f>IFERROR(__xludf.DUMMYFUNCTION("""COMPUTED_VALUE"""),"DK 8584 OL")</f>
        <v>DK 8584 OL</v>
      </c>
      <c r="B215" s="9" t="str">
        <f>IFERROR(__xludf.DUMMYFUNCTION("""COMPUTED_VALUE"""),"TLPG MANGGIS")</f>
        <v>TLPG MANGGIS</v>
      </c>
      <c r="C215" s="9" t="str">
        <f>IFERROR(__xludf.DUMMYFUNCTION("""COMPUTED_VALUE"""),"SPPBE-PT. Putra Bali Dwipa")</f>
        <v>SPPBE-PT. Putra Bali Dwipa</v>
      </c>
      <c r="D215" s="11">
        <f>IFERROR(__xludf.DUMMYFUNCTION("""COMPUTED_VALUE"""),40.9)</f>
        <v>40.9</v>
      </c>
      <c r="E215" s="11" t="str">
        <f>IFERROR(__xludf.DUMMYFUNCTION("""COMPUTED_VALUE"""),"DEKAT")</f>
        <v>DEKAT</v>
      </c>
      <c r="F215" s="11">
        <f>IFERROR(__xludf.DUMMYFUNCTION("""COMPUTED_VALUE"""),1.0)</f>
        <v>1</v>
      </c>
      <c r="G215" s="11">
        <f>IFERROR(__xludf.DUMMYFUNCTION("""COMPUTED_VALUE"""),10.0)</f>
        <v>10</v>
      </c>
      <c r="H215" s="11">
        <f>IFERROR(__xludf.DUMMYFUNCTION("""COMPUTED_VALUE"""),10.0)</f>
        <v>10</v>
      </c>
      <c r="I215" s="11">
        <v>10.0</v>
      </c>
    </row>
    <row r="216">
      <c r="A216" s="9" t="str">
        <f>IFERROR(__xludf.DUMMYFUNCTION("""COMPUTED_VALUE"""),"DK 8587 OL")</f>
        <v>DK 8587 OL</v>
      </c>
      <c r="B216" s="9" t="str">
        <f>IFERROR(__xludf.DUMMYFUNCTION("""COMPUTED_VALUE"""),"TLPG MANGGIS")</f>
        <v>TLPG MANGGIS</v>
      </c>
      <c r="C216" s="9" t="str">
        <f>IFERROR(__xludf.DUMMYFUNCTION("""COMPUTED_VALUE"""),"SPPBE-PT. Putra Bali Dwipa")</f>
        <v>SPPBE-PT. Putra Bali Dwipa</v>
      </c>
      <c r="D216" s="11">
        <f>IFERROR(__xludf.DUMMYFUNCTION("""COMPUTED_VALUE"""),40.9)</f>
        <v>40.9</v>
      </c>
      <c r="E216" s="11" t="str">
        <f>IFERROR(__xludf.DUMMYFUNCTION("""COMPUTED_VALUE"""),"DEKAT")</f>
        <v>DEKAT</v>
      </c>
      <c r="F216" s="11">
        <f>IFERROR(__xludf.DUMMYFUNCTION("""COMPUTED_VALUE"""),1.0)</f>
        <v>1</v>
      </c>
      <c r="G216" s="11">
        <f>IFERROR(__xludf.DUMMYFUNCTION("""COMPUTED_VALUE"""),10.0)</f>
        <v>10</v>
      </c>
      <c r="H216" s="11">
        <f>IFERROR(__xludf.DUMMYFUNCTION("""COMPUTED_VALUE"""),11.0)</f>
        <v>11</v>
      </c>
      <c r="I216" s="11">
        <v>11.0</v>
      </c>
    </row>
    <row r="217">
      <c r="A217" s="9" t="str">
        <f>IFERROR(__xludf.DUMMYFUNCTION("""COMPUTED_VALUE"""),"DK 8588 OL")</f>
        <v>DK 8588 OL</v>
      </c>
      <c r="B217" s="9" t="str">
        <f>IFERROR(__xludf.DUMMYFUNCTION("""COMPUTED_VALUE"""),"TLPG MANGGIS")</f>
        <v>TLPG MANGGIS</v>
      </c>
      <c r="C217" s="9" t="str">
        <f>IFERROR(__xludf.DUMMYFUNCTION("""COMPUTED_VALUE"""),"SPPBE-PT. Putra Bali Dwipa")</f>
        <v>SPPBE-PT. Putra Bali Dwipa</v>
      </c>
      <c r="D217" s="11">
        <f>IFERROR(__xludf.DUMMYFUNCTION("""COMPUTED_VALUE"""),40.9)</f>
        <v>40.9</v>
      </c>
      <c r="E217" s="11" t="str">
        <f>IFERROR(__xludf.DUMMYFUNCTION("""COMPUTED_VALUE"""),"DEKAT")</f>
        <v>DEKAT</v>
      </c>
      <c r="F217" s="11">
        <f>IFERROR(__xludf.DUMMYFUNCTION("""COMPUTED_VALUE"""),1.0)</f>
        <v>1</v>
      </c>
      <c r="G217" s="11">
        <f>IFERROR(__xludf.DUMMYFUNCTION("""COMPUTED_VALUE"""),10.0)</f>
        <v>10</v>
      </c>
      <c r="H217" s="11">
        <f>IFERROR(__xludf.DUMMYFUNCTION("""COMPUTED_VALUE"""),12.0)</f>
        <v>12</v>
      </c>
      <c r="I217" s="11">
        <v>12.0</v>
      </c>
    </row>
    <row r="218">
      <c r="A218" s="9" t="str">
        <f>IFERROR(__xludf.DUMMYFUNCTION("""COMPUTED_VALUE"""),"W 8303 PG")</f>
        <v>W 8303 PG</v>
      </c>
      <c r="B218" s="9" t="str">
        <f>IFERROR(__xludf.DUMMYFUNCTION("""COMPUTED_VALUE"""),"TLPG TJ PERAK")</f>
        <v>TLPG TJ PERAK</v>
      </c>
      <c r="C218" s="9" t="str">
        <f>IFERROR(__xludf.DUMMYFUNCTION("""COMPUTED_VALUE"""),"PT KARYA MEGA GAS MANDIRI")</f>
        <v>PT KARYA MEGA GAS MANDIRI</v>
      </c>
      <c r="D218" s="11">
        <f>IFERROR(__xludf.DUMMYFUNCTION("""COMPUTED_VALUE"""),40.4)</f>
        <v>40.4</v>
      </c>
      <c r="E218" s="11" t="str">
        <f>IFERROR(__xludf.DUMMYFUNCTION("""COMPUTED_VALUE"""),"DEKAT")</f>
        <v>DEKAT</v>
      </c>
      <c r="F218" s="11">
        <f>IFERROR(__xludf.DUMMYFUNCTION("""COMPUTED_VALUE"""),1.0)</f>
        <v>1</v>
      </c>
      <c r="G218" s="11">
        <f>IFERROR(__xludf.DUMMYFUNCTION("""COMPUTED_VALUE"""),12.0)</f>
        <v>12</v>
      </c>
      <c r="H218" s="11">
        <f>IFERROR(__xludf.DUMMYFUNCTION("""COMPUTED_VALUE"""),1.0)</f>
        <v>1</v>
      </c>
      <c r="I218" s="11">
        <v>1.0</v>
      </c>
    </row>
    <row r="219">
      <c r="A219" s="9" t="str">
        <f>IFERROR(__xludf.DUMMYFUNCTION("""COMPUTED_VALUE"""),"DK 8596 AO")</f>
        <v>DK 8596 AO</v>
      </c>
      <c r="B219" s="9" t="str">
        <f>IFERROR(__xludf.DUMMYFUNCTION("""COMPUTED_VALUE"""),"TLPG LOMBOK")</f>
        <v>TLPG LOMBOK</v>
      </c>
      <c r="C219" s="9" t="str">
        <f>IFERROR(__xludf.DUMMYFUNCTION("""COMPUTED_VALUE"""),"SPPBE-PT. Permata Indah Dewata")</f>
        <v>SPPBE-PT. Permata Indah Dewata</v>
      </c>
      <c r="D219" s="11">
        <f>IFERROR(__xludf.DUMMYFUNCTION("""COMPUTED_VALUE"""),39.2)</f>
        <v>39.2</v>
      </c>
      <c r="E219" s="11" t="str">
        <f>IFERROR(__xludf.DUMMYFUNCTION("""COMPUTED_VALUE"""),"DEKAT")</f>
        <v>DEKAT</v>
      </c>
      <c r="F219" s="11">
        <f>IFERROR(__xludf.DUMMYFUNCTION("""COMPUTED_VALUE"""),1.0)</f>
        <v>1</v>
      </c>
      <c r="G219" s="11">
        <f>IFERROR(__xludf.DUMMYFUNCTION("""COMPUTED_VALUE"""),3.0)</f>
        <v>3</v>
      </c>
      <c r="H219" s="11">
        <f>IFERROR(__xludf.DUMMYFUNCTION("""COMPUTED_VALUE"""),2.0)</f>
        <v>2</v>
      </c>
      <c r="I219" s="11">
        <v>2.0</v>
      </c>
    </row>
    <row r="220">
      <c r="A220" s="9" t="str">
        <f>IFERROR(__xludf.DUMMYFUNCTION("""COMPUTED_VALUE"""),"DK 8611 AO")</f>
        <v>DK 8611 AO</v>
      </c>
      <c r="B220" s="9" t="str">
        <f>IFERROR(__xludf.DUMMYFUNCTION("""COMPUTED_VALUE"""),"TLPG LOMBOK")</f>
        <v>TLPG LOMBOK</v>
      </c>
      <c r="C220" s="9" t="str">
        <f>IFERROR(__xludf.DUMMYFUNCTION("""COMPUTED_VALUE"""),"SPPBE-PT. Permata Indah Dewata")</f>
        <v>SPPBE-PT. Permata Indah Dewata</v>
      </c>
      <c r="D220" s="11">
        <f>IFERROR(__xludf.DUMMYFUNCTION("""COMPUTED_VALUE"""),39.2)</f>
        <v>39.2</v>
      </c>
      <c r="E220" s="11" t="str">
        <f>IFERROR(__xludf.DUMMYFUNCTION("""COMPUTED_VALUE"""),"DEKAT")</f>
        <v>DEKAT</v>
      </c>
      <c r="F220" s="11">
        <f>IFERROR(__xludf.DUMMYFUNCTION("""COMPUTED_VALUE"""),1.0)</f>
        <v>1</v>
      </c>
      <c r="G220" s="11">
        <f>IFERROR(__xludf.DUMMYFUNCTION("""COMPUTED_VALUE"""),3.0)</f>
        <v>3</v>
      </c>
      <c r="H220" s="11">
        <f>IFERROR(__xludf.DUMMYFUNCTION("""COMPUTED_VALUE"""),3.0)</f>
        <v>3</v>
      </c>
      <c r="I220" s="11">
        <v>3.0</v>
      </c>
    </row>
    <row r="221">
      <c r="A221" s="9" t="str">
        <f>IFERROR(__xludf.DUMMYFUNCTION("""COMPUTED_VALUE"""),"DK 8197 BK")</f>
        <v>DK 8197 BK</v>
      </c>
      <c r="B221" s="9" t="str">
        <f>IFERROR(__xludf.DUMMYFUNCTION("""COMPUTED_VALUE"""),"TLPG MANGGIS")</f>
        <v>TLPG MANGGIS</v>
      </c>
      <c r="C221" s="9" t="str">
        <f>IFERROR(__xludf.DUMMYFUNCTION("""COMPUTED_VALUE"""),"SPPBE-PT. Sari Dharma Mandiri")</f>
        <v>SPPBE-PT. Sari Dharma Mandiri</v>
      </c>
      <c r="D221" s="11">
        <f>IFERROR(__xludf.DUMMYFUNCTION("""COMPUTED_VALUE"""),37.5)</f>
        <v>37.5</v>
      </c>
      <c r="E221" s="11" t="str">
        <f>IFERROR(__xludf.DUMMYFUNCTION("""COMPUTED_VALUE"""),"DEKAT")</f>
        <v>DEKAT</v>
      </c>
      <c r="F221" s="11">
        <f>IFERROR(__xludf.DUMMYFUNCTION("""COMPUTED_VALUE"""),1.0)</f>
        <v>1</v>
      </c>
      <c r="G221" s="11">
        <f>IFERROR(__xludf.DUMMYFUNCTION("""COMPUTED_VALUE"""),4.0)</f>
        <v>4</v>
      </c>
      <c r="H221" s="11">
        <f>IFERROR(__xludf.DUMMYFUNCTION("""COMPUTED_VALUE"""),4.0)</f>
        <v>4</v>
      </c>
      <c r="I221" s="11">
        <v>4.0</v>
      </c>
    </row>
    <row r="222">
      <c r="A222" s="9" t="str">
        <f>IFERROR(__xludf.DUMMYFUNCTION("""COMPUTED_VALUE"""),"DK 8198 BK")</f>
        <v>DK 8198 BK</v>
      </c>
      <c r="B222" s="9" t="str">
        <f>IFERROR(__xludf.DUMMYFUNCTION("""COMPUTED_VALUE"""),"TLPG MANGGIS")</f>
        <v>TLPG MANGGIS</v>
      </c>
      <c r="C222" s="9" t="str">
        <f>IFERROR(__xludf.DUMMYFUNCTION("""COMPUTED_VALUE"""),"SPPBE-PT. Sari Dharma Mandiri")</f>
        <v>SPPBE-PT. Sari Dharma Mandiri</v>
      </c>
      <c r="D222" s="11">
        <f>IFERROR(__xludf.DUMMYFUNCTION("""COMPUTED_VALUE"""),37.5)</f>
        <v>37.5</v>
      </c>
      <c r="E222" s="11" t="str">
        <f>IFERROR(__xludf.DUMMYFUNCTION("""COMPUTED_VALUE"""),"DEKAT")</f>
        <v>DEKAT</v>
      </c>
      <c r="F222" s="11">
        <f>IFERROR(__xludf.DUMMYFUNCTION("""COMPUTED_VALUE"""),1.0)</f>
        <v>1</v>
      </c>
      <c r="G222" s="11">
        <f>IFERROR(__xludf.DUMMYFUNCTION("""COMPUTED_VALUE"""),5.0)</f>
        <v>5</v>
      </c>
      <c r="H222" s="11">
        <f>IFERROR(__xludf.DUMMYFUNCTION("""COMPUTED_VALUE"""),5.0)</f>
        <v>5</v>
      </c>
      <c r="I222" s="11">
        <v>5.0</v>
      </c>
    </row>
    <row r="223">
      <c r="A223" s="9" t="str">
        <f>IFERROR(__xludf.DUMMYFUNCTION("""COMPUTED_VALUE"""),"DK 8967 CA")</f>
        <v>DK 8967 CA</v>
      </c>
      <c r="B223" s="9" t="str">
        <f>IFERROR(__xludf.DUMMYFUNCTION("""COMPUTED_VALUE"""),"TLPG MANGGIS")</f>
        <v>TLPG MANGGIS</v>
      </c>
      <c r="C223" s="9" t="str">
        <f>IFERROR(__xludf.DUMMYFUNCTION("""COMPUTED_VALUE"""),"SPPBE-PT. Sari Dharma Mandiri")</f>
        <v>SPPBE-PT. Sari Dharma Mandiri</v>
      </c>
      <c r="D223" s="11">
        <f>IFERROR(__xludf.DUMMYFUNCTION("""COMPUTED_VALUE"""),37.5)</f>
        <v>37.5</v>
      </c>
      <c r="E223" s="11" t="str">
        <f>IFERROR(__xludf.DUMMYFUNCTION("""COMPUTED_VALUE"""),"DEKAT")</f>
        <v>DEKAT</v>
      </c>
      <c r="F223" s="11">
        <f>IFERROR(__xludf.DUMMYFUNCTION("""COMPUTED_VALUE"""),1.0)</f>
        <v>1</v>
      </c>
      <c r="G223" s="11">
        <f>IFERROR(__xludf.DUMMYFUNCTION("""COMPUTED_VALUE"""),9.0)</f>
        <v>9</v>
      </c>
      <c r="H223" s="11">
        <f>IFERROR(__xludf.DUMMYFUNCTION("""COMPUTED_VALUE"""),6.0)</f>
        <v>6</v>
      </c>
      <c r="I223" s="11">
        <v>6.0</v>
      </c>
    </row>
    <row r="224">
      <c r="A224" s="9" t="str">
        <f>IFERROR(__xludf.DUMMYFUNCTION("""COMPUTED_VALUE"""),"DR 8129 AH")</f>
        <v>DR 8129 AH</v>
      </c>
      <c r="B224" s="9" t="str">
        <f>IFERROR(__xludf.DUMMYFUNCTION("""COMPUTED_VALUE"""),"TLPG LOMBOK")</f>
        <v>TLPG LOMBOK</v>
      </c>
      <c r="C224" s="9" t="str">
        <f>IFERROR(__xludf.DUMMYFUNCTION("""COMPUTED_VALUE"""),"SPPBE-PT. Surya Adiguna Indogas")</f>
        <v>SPPBE-PT. Surya Adiguna Indogas</v>
      </c>
      <c r="D224" s="11">
        <f>IFERROR(__xludf.DUMMYFUNCTION("""COMPUTED_VALUE"""),37.2)</f>
        <v>37.2</v>
      </c>
      <c r="E224" s="11" t="str">
        <f>IFERROR(__xludf.DUMMYFUNCTION("""COMPUTED_VALUE"""),"DEKAT")</f>
        <v>DEKAT</v>
      </c>
      <c r="F224" s="11">
        <f>IFERROR(__xludf.DUMMYFUNCTION("""COMPUTED_VALUE"""),1.0)</f>
        <v>1</v>
      </c>
      <c r="G224" s="11">
        <f>IFERROR(__xludf.DUMMYFUNCTION("""COMPUTED_VALUE"""),5.0)</f>
        <v>5</v>
      </c>
      <c r="H224" s="11">
        <f>IFERROR(__xludf.DUMMYFUNCTION("""COMPUTED_VALUE"""),7.0)</f>
        <v>7</v>
      </c>
      <c r="I224" s="11">
        <v>7.0</v>
      </c>
    </row>
    <row r="225">
      <c r="A225" s="9" t="str">
        <f>IFERROR(__xludf.DUMMYFUNCTION("""COMPUTED_VALUE"""),"L 8115 UUC")</f>
        <v>L 8115 UUC</v>
      </c>
      <c r="B225" s="9" t="str">
        <f>IFERROR(__xludf.DUMMYFUNCTION("""COMPUTED_VALUE"""),"TLPG LOMBOK")</f>
        <v>TLPG LOMBOK</v>
      </c>
      <c r="C225" s="9" t="str">
        <f>IFERROR(__xludf.DUMMYFUNCTION("""COMPUTED_VALUE"""),"SPPBE-PT. Surya Adiguna Indogas")</f>
        <v>SPPBE-PT. Surya Adiguna Indogas</v>
      </c>
      <c r="D225" s="11">
        <f>IFERROR(__xludf.DUMMYFUNCTION("""COMPUTED_VALUE"""),37.2)</f>
        <v>37.2</v>
      </c>
      <c r="E225" s="11" t="str">
        <f>IFERROR(__xludf.DUMMYFUNCTION("""COMPUTED_VALUE"""),"DEKAT")</f>
        <v>DEKAT</v>
      </c>
      <c r="F225" s="11">
        <f>IFERROR(__xludf.DUMMYFUNCTION("""COMPUTED_VALUE"""),1.0)</f>
        <v>1</v>
      </c>
      <c r="G225" s="11">
        <f>IFERROR(__xludf.DUMMYFUNCTION("""COMPUTED_VALUE"""),10.0)</f>
        <v>10</v>
      </c>
      <c r="H225" s="11">
        <f>IFERROR(__xludf.DUMMYFUNCTION("""COMPUTED_VALUE"""),8.0)</f>
        <v>8</v>
      </c>
      <c r="I225" s="11">
        <v>8.0</v>
      </c>
    </row>
    <row r="226">
      <c r="A226" s="9" t="str">
        <f>IFERROR(__xludf.DUMMYFUNCTION("""COMPUTED_VALUE"""),"W 8059 UD")</f>
        <v>W 8059 UD</v>
      </c>
      <c r="B226" s="9" t="str">
        <f>IFERROR(__xludf.DUMMYFUNCTION("""COMPUTED_VALUE"""),"TLPG LOMBOK")</f>
        <v>TLPG LOMBOK</v>
      </c>
      <c r="C226" s="9" t="str">
        <f>IFERROR(__xludf.DUMMYFUNCTION("""COMPUTED_VALUE"""),"SPPBE-PT. Surya Adiguna Indogas")</f>
        <v>SPPBE-PT. Surya Adiguna Indogas</v>
      </c>
      <c r="D226" s="11">
        <f>IFERROR(__xludf.DUMMYFUNCTION("""COMPUTED_VALUE"""),37.2)</f>
        <v>37.2</v>
      </c>
      <c r="E226" s="11" t="str">
        <f>IFERROR(__xludf.DUMMYFUNCTION("""COMPUTED_VALUE"""),"DEKAT")</f>
        <v>DEKAT</v>
      </c>
      <c r="F226" s="11">
        <f>IFERROR(__xludf.DUMMYFUNCTION("""COMPUTED_VALUE"""),1.0)</f>
        <v>1</v>
      </c>
      <c r="G226" s="11">
        <f>IFERROR(__xludf.DUMMYFUNCTION("""COMPUTED_VALUE"""),11.0)</f>
        <v>11</v>
      </c>
      <c r="H226" s="11">
        <f>IFERROR(__xludf.DUMMYFUNCTION("""COMPUTED_VALUE"""),9.0)</f>
        <v>9</v>
      </c>
      <c r="I226" s="11">
        <v>9.0</v>
      </c>
    </row>
    <row r="227">
      <c r="A227" s="9" t="str">
        <f>IFERROR(__xludf.DUMMYFUNCTION("""COMPUTED_VALUE"""),"W 8042 UD")</f>
        <v>W 8042 UD</v>
      </c>
      <c r="B227" s="9" t="str">
        <f>IFERROR(__xludf.DUMMYFUNCTION("""COMPUTED_VALUE"""),"TLPG LOMBOK")</f>
        <v>TLPG LOMBOK</v>
      </c>
      <c r="C227" s="9" t="str">
        <f>IFERROR(__xludf.DUMMYFUNCTION("""COMPUTED_VALUE"""),"SPPBE-PT. Surya Adiguna Indogas")</f>
        <v>SPPBE-PT. Surya Adiguna Indogas</v>
      </c>
      <c r="D227" s="11">
        <f>IFERROR(__xludf.DUMMYFUNCTION("""COMPUTED_VALUE"""),37.2)</f>
        <v>37.2</v>
      </c>
      <c r="E227" s="11" t="str">
        <f>IFERROR(__xludf.DUMMYFUNCTION("""COMPUTED_VALUE"""),"DEKAT")</f>
        <v>DEKAT</v>
      </c>
      <c r="F227" s="11">
        <f>IFERROR(__xludf.DUMMYFUNCTION("""COMPUTED_VALUE"""),1.0)</f>
        <v>1</v>
      </c>
      <c r="G227" s="11">
        <f>IFERROR(__xludf.DUMMYFUNCTION("""COMPUTED_VALUE"""),12.0)</f>
        <v>12</v>
      </c>
      <c r="H227" s="11">
        <f>IFERROR(__xludf.DUMMYFUNCTION("""COMPUTED_VALUE"""),10.0)</f>
        <v>10</v>
      </c>
      <c r="I227" s="11">
        <v>10.0</v>
      </c>
    </row>
    <row r="228">
      <c r="A228" s="9" t="str">
        <f>IFERROR(__xludf.DUMMYFUNCTION("""COMPUTED_VALUE"""),"AG 8063 UZ")</f>
        <v>AG 8063 UZ</v>
      </c>
      <c r="B228" s="9" t="str">
        <f>IFERROR(__xludf.DUMMYFUNCTION("""COMPUTED_VALUE"""),"TLPG TJ PERAK")</f>
        <v>TLPG TJ PERAK</v>
      </c>
      <c r="C228" s="9" t="str">
        <f>IFERROR(__xludf.DUMMYFUNCTION("""COMPUTED_VALUE"""),"PT TRIAS MULTI NASIONAL")</f>
        <v>PT TRIAS MULTI NASIONAL</v>
      </c>
      <c r="D228" s="11">
        <f>IFERROR(__xludf.DUMMYFUNCTION("""COMPUTED_VALUE"""),33.6)</f>
        <v>33.6</v>
      </c>
      <c r="E228" s="11" t="str">
        <f>IFERROR(__xludf.DUMMYFUNCTION("""COMPUTED_VALUE"""),"DEKAT")</f>
        <v>DEKAT</v>
      </c>
      <c r="F228" s="11">
        <f>IFERROR(__xludf.DUMMYFUNCTION("""COMPUTED_VALUE"""),1.0)</f>
        <v>1</v>
      </c>
      <c r="G228" s="11">
        <f>IFERROR(__xludf.DUMMYFUNCTION("""COMPUTED_VALUE"""),9.0)</f>
        <v>9</v>
      </c>
      <c r="H228" s="11">
        <f>IFERROR(__xludf.DUMMYFUNCTION("""COMPUTED_VALUE"""),11.0)</f>
        <v>11</v>
      </c>
      <c r="I228" s="11">
        <v>11.0</v>
      </c>
    </row>
    <row r="229">
      <c r="A229" s="9" t="str">
        <f>IFERROR(__xludf.DUMMYFUNCTION("""COMPUTED_VALUE"""),"DR 8542 AG")</f>
        <v>DR 8542 AG</v>
      </c>
      <c r="B229" s="9" t="str">
        <f>IFERROR(__xludf.DUMMYFUNCTION("""COMPUTED_VALUE"""),"TLPG LOMBOK")</f>
        <v>TLPG LOMBOK</v>
      </c>
      <c r="C229" s="9" t="str">
        <f>IFERROR(__xludf.DUMMYFUNCTION("""COMPUTED_VALUE"""),"SPPBE-PT. Lombok Menara Energigas")</f>
        <v>SPPBE-PT. Lombok Menara Energigas</v>
      </c>
      <c r="D229" s="11">
        <f>IFERROR(__xludf.DUMMYFUNCTION("""COMPUTED_VALUE"""),31.3)</f>
        <v>31.3</v>
      </c>
      <c r="E229" s="11" t="str">
        <f>IFERROR(__xludf.DUMMYFUNCTION("""COMPUTED_VALUE"""),"DEKAT")</f>
        <v>DEKAT</v>
      </c>
      <c r="F229" s="11">
        <f>IFERROR(__xludf.DUMMYFUNCTION("""COMPUTED_VALUE"""),1.0)</f>
        <v>1</v>
      </c>
      <c r="G229" s="11">
        <f>IFERROR(__xludf.DUMMYFUNCTION("""COMPUTED_VALUE"""),7.0)</f>
        <v>7</v>
      </c>
      <c r="H229" s="11">
        <f>IFERROR(__xludf.DUMMYFUNCTION("""COMPUTED_VALUE"""),12.0)</f>
        <v>12</v>
      </c>
      <c r="I229" s="11">
        <v>12.0</v>
      </c>
    </row>
    <row r="230">
      <c r="A230" s="9" t="str">
        <f>IFERROR(__xludf.DUMMYFUNCTION("""COMPUTED_VALUE"""),"DR 8543 AG")</f>
        <v>DR 8543 AG</v>
      </c>
      <c r="B230" s="9" t="str">
        <f>IFERROR(__xludf.DUMMYFUNCTION("""COMPUTED_VALUE"""),"TLPG LOMBOK")</f>
        <v>TLPG LOMBOK</v>
      </c>
      <c r="C230" s="9" t="str">
        <f>IFERROR(__xludf.DUMMYFUNCTION("""COMPUTED_VALUE"""),"SPPBE-PT. Lombok Menara Energigas")</f>
        <v>SPPBE-PT. Lombok Menara Energigas</v>
      </c>
      <c r="D230" s="11">
        <f>IFERROR(__xludf.DUMMYFUNCTION("""COMPUTED_VALUE"""),31.3)</f>
        <v>31.3</v>
      </c>
      <c r="E230" s="11" t="str">
        <f>IFERROR(__xludf.DUMMYFUNCTION("""COMPUTED_VALUE"""),"DEKAT")</f>
        <v>DEKAT</v>
      </c>
      <c r="F230" s="11">
        <f>IFERROR(__xludf.DUMMYFUNCTION("""COMPUTED_VALUE"""),1.0)</f>
        <v>1</v>
      </c>
      <c r="G230" s="11">
        <f>IFERROR(__xludf.DUMMYFUNCTION("""COMPUTED_VALUE"""),8.0)</f>
        <v>8</v>
      </c>
      <c r="H230" s="11">
        <f>IFERROR(__xludf.DUMMYFUNCTION("""COMPUTED_VALUE"""),1.0)</f>
        <v>1</v>
      </c>
      <c r="I230" s="11">
        <v>1.0</v>
      </c>
    </row>
    <row r="231">
      <c r="A231" s="9" t="str">
        <f>IFERROR(__xludf.DUMMYFUNCTION("""COMPUTED_VALUE"""),"W 8637 DV")</f>
        <v>W 8637 DV</v>
      </c>
      <c r="B231" s="9" t="str">
        <f>IFERROR(__xludf.DUMMYFUNCTION("""COMPUTED_VALUE"""),"TLPG TJ PERAK")</f>
        <v>TLPG TJ PERAK</v>
      </c>
      <c r="C231" s="9" t="str">
        <f>IFERROR(__xludf.DUMMYFUNCTION("""COMPUTED_VALUE"""),"PT SUGIHARTO BERJAYA")</f>
        <v>PT SUGIHARTO BERJAYA</v>
      </c>
      <c r="D231" s="11">
        <f>IFERROR(__xludf.DUMMYFUNCTION("""COMPUTED_VALUE"""),28.2)</f>
        <v>28.2</v>
      </c>
      <c r="E231" s="11" t="str">
        <f>IFERROR(__xludf.DUMMYFUNCTION("""COMPUTED_VALUE"""),"DEKAT")</f>
        <v>DEKAT</v>
      </c>
      <c r="F231" s="11">
        <f>IFERROR(__xludf.DUMMYFUNCTION("""COMPUTED_VALUE"""),1.0)</f>
        <v>1</v>
      </c>
      <c r="G231" s="11">
        <f>IFERROR(__xludf.DUMMYFUNCTION("""COMPUTED_VALUE"""),12.0)</f>
        <v>12</v>
      </c>
      <c r="H231" s="11">
        <f>IFERROR(__xludf.DUMMYFUNCTION("""COMPUTED_VALUE"""),2.0)</f>
        <v>2</v>
      </c>
      <c r="I231" s="11">
        <v>2.0</v>
      </c>
    </row>
    <row r="232">
      <c r="A232" s="9" t="str">
        <f>IFERROR(__xludf.DUMMYFUNCTION("""COMPUTED_VALUE"""),"M 8068 UH")</f>
        <v>M 8068 UH</v>
      </c>
      <c r="B232" s="9" t="str">
        <f>IFERROR(__xludf.DUMMYFUNCTION("""COMPUTED_VALUE"""),"TLPG TJ PERAK")</f>
        <v>TLPG TJ PERAK</v>
      </c>
      <c r="C232" s="9" t="str">
        <f>IFERROR(__xludf.DUMMYFUNCTION("""COMPUTED_VALUE"""),"PT TRIJAYA ADYMIX BANGKALAN")</f>
        <v>PT TRIJAYA ADYMIX BANGKALAN</v>
      </c>
      <c r="D232" s="11">
        <f>IFERROR(__xludf.DUMMYFUNCTION("""COMPUTED_VALUE"""),28.1)</f>
        <v>28.1</v>
      </c>
      <c r="E232" s="11" t="str">
        <f>IFERROR(__xludf.DUMMYFUNCTION("""COMPUTED_VALUE"""),"DEKAT")</f>
        <v>DEKAT</v>
      </c>
      <c r="F232" s="11">
        <f>IFERROR(__xludf.DUMMYFUNCTION("""COMPUTED_VALUE"""),1.0)</f>
        <v>1</v>
      </c>
      <c r="G232" s="11">
        <f>IFERROR(__xludf.DUMMYFUNCTION("""COMPUTED_VALUE"""),7.0)</f>
        <v>7</v>
      </c>
      <c r="H232" s="11">
        <f>IFERROR(__xludf.DUMMYFUNCTION("""COMPUTED_VALUE"""),3.0)</f>
        <v>3</v>
      </c>
      <c r="I232" s="11">
        <v>3.0</v>
      </c>
    </row>
    <row r="233">
      <c r="A233" s="9" t="str">
        <f>IFERROR(__xludf.DUMMYFUNCTION("""COMPUTED_VALUE"""),"M 8366 UG")</f>
        <v>M 8366 UG</v>
      </c>
      <c r="B233" s="9" t="str">
        <f>IFERROR(__xludf.DUMMYFUNCTION("""COMPUTED_VALUE"""),"TLPG TJ PERAK")</f>
        <v>TLPG TJ PERAK</v>
      </c>
      <c r="C233" s="9" t="str">
        <f>IFERROR(__xludf.DUMMYFUNCTION("""COMPUTED_VALUE"""),"PT TRIJAYA ADYMIX BANGKALAN")</f>
        <v>PT TRIJAYA ADYMIX BANGKALAN</v>
      </c>
      <c r="D233" s="11">
        <f>IFERROR(__xludf.DUMMYFUNCTION("""COMPUTED_VALUE"""),28.1)</f>
        <v>28.1</v>
      </c>
      <c r="E233" s="11" t="str">
        <f>IFERROR(__xludf.DUMMYFUNCTION("""COMPUTED_VALUE"""),"DEKAT")</f>
        <v>DEKAT</v>
      </c>
      <c r="F233" s="11">
        <f>IFERROR(__xludf.DUMMYFUNCTION("""COMPUTED_VALUE"""),1.0)</f>
        <v>1</v>
      </c>
      <c r="G233" s="11">
        <f>IFERROR(__xludf.DUMMYFUNCTION("""COMPUTED_VALUE"""),7.0)</f>
        <v>7</v>
      </c>
      <c r="H233" s="11">
        <f>IFERROR(__xludf.DUMMYFUNCTION("""COMPUTED_VALUE"""),4.0)</f>
        <v>4</v>
      </c>
      <c r="I233" s="12">
        <v>6.0</v>
      </c>
    </row>
    <row r="234">
      <c r="A234" s="9" t="str">
        <f>IFERROR(__xludf.DUMMYFUNCTION("""COMPUTED_VALUE"""),"DK 8203 KO")</f>
        <v>DK 8203 KO</v>
      </c>
      <c r="B234" s="9" t="str">
        <f>IFERROR(__xludf.DUMMYFUNCTION("""COMPUTED_VALUE"""),"TLPG MANGGIS")</f>
        <v>TLPG MANGGIS</v>
      </c>
      <c r="C234" s="9" t="str">
        <f>IFERROR(__xludf.DUMMYFUNCTION("""COMPUTED_VALUE"""),"SPPBE-PT. Dasico Panca Rena")</f>
        <v>SPPBE-PT. Dasico Panca Rena</v>
      </c>
      <c r="D234" s="11">
        <f>IFERROR(__xludf.DUMMYFUNCTION("""COMPUTED_VALUE"""),27.6)</f>
        <v>27.6</v>
      </c>
      <c r="E234" s="11" t="str">
        <f>IFERROR(__xludf.DUMMYFUNCTION("""COMPUTED_VALUE"""),"DEKAT")</f>
        <v>DEKAT</v>
      </c>
      <c r="F234" s="11">
        <f>IFERROR(__xludf.DUMMYFUNCTION("""COMPUTED_VALUE"""),1.0)</f>
        <v>1</v>
      </c>
      <c r="G234" s="11">
        <f>IFERROR(__xludf.DUMMYFUNCTION("""COMPUTED_VALUE"""),5.0)</f>
        <v>5</v>
      </c>
      <c r="H234" s="11">
        <f>IFERROR(__xludf.DUMMYFUNCTION("""COMPUTED_VALUE"""),5.0)</f>
        <v>5</v>
      </c>
      <c r="I234" s="11">
        <v>5.0</v>
      </c>
    </row>
    <row r="235">
      <c r="A235" s="9" t="str">
        <f>IFERROR(__xludf.DUMMYFUNCTION("""COMPUTED_VALUE"""),"DK 8204 KO")</f>
        <v>DK 8204 KO</v>
      </c>
      <c r="B235" s="9" t="str">
        <f>IFERROR(__xludf.DUMMYFUNCTION("""COMPUTED_VALUE"""),"TLPG MANGGIS")</f>
        <v>TLPG MANGGIS</v>
      </c>
      <c r="C235" s="9" t="str">
        <f>IFERROR(__xludf.DUMMYFUNCTION("""COMPUTED_VALUE"""),"SPPBE-PT. Dasico Panca Rena")</f>
        <v>SPPBE-PT. Dasico Panca Rena</v>
      </c>
      <c r="D235" s="11">
        <f>IFERROR(__xludf.DUMMYFUNCTION("""COMPUTED_VALUE"""),27.6)</f>
        <v>27.6</v>
      </c>
      <c r="E235" s="11" t="str">
        <f>IFERROR(__xludf.DUMMYFUNCTION("""COMPUTED_VALUE"""),"DEKAT")</f>
        <v>DEKAT</v>
      </c>
      <c r="F235" s="11">
        <f>IFERROR(__xludf.DUMMYFUNCTION("""COMPUTED_VALUE"""),1.0)</f>
        <v>1</v>
      </c>
      <c r="G235" s="11">
        <f>IFERROR(__xludf.DUMMYFUNCTION("""COMPUTED_VALUE"""),5.0)</f>
        <v>5</v>
      </c>
      <c r="H235" s="11">
        <f>IFERROR(__xludf.DUMMYFUNCTION("""COMPUTED_VALUE"""),6.0)</f>
        <v>6</v>
      </c>
      <c r="I235" s="11">
        <v>6.0</v>
      </c>
    </row>
    <row r="236">
      <c r="A236" s="9" t="str">
        <f>IFERROR(__xludf.DUMMYFUNCTION("""COMPUTED_VALUE"""),"W 8729 QD")</f>
        <v>W 8729 QD</v>
      </c>
      <c r="B236" s="9" t="str">
        <f>IFERROR(__xludf.DUMMYFUNCTION("""COMPUTED_VALUE"""),"TLPG TJ PERAK")</f>
        <v>TLPG TJ PERAK</v>
      </c>
      <c r="C236" s="9" t="str">
        <f>IFERROR(__xludf.DUMMYFUNCTION("""COMPUTED_VALUE"""),"PT SUMAN GAUNG PERSADA")</f>
        <v>PT SUMAN GAUNG PERSADA</v>
      </c>
      <c r="D236" s="11">
        <f>IFERROR(__xludf.DUMMYFUNCTION("""COMPUTED_VALUE"""),24.2)</f>
        <v>24.2</v>
      </c>
      <c r="E236" s="11" t="str">
        <f>IFERROR(__xludf.DUMMYFUNCTION("""COMPUTED_VALUE"""),"DEKAT")</f>
        <v>DEKAT</v>
      </c>
      <c r="F236" s="11">
        <f>IFERROR(__xludf.DUMMYFUNCTION("""COMPUTED_VALUE"""),1.0)</f>
        <v>1</v>
      </c>
      <c r="G236" s="11">
        <f>IFERROR(__xludf.DUMMYFUNCTION("""COMPUTED_VALUE"""),6.0)</f>
        <v>6</v>
      </c>
      <c r="H236" s="11">
        <f>IFERROR(__xludf.DUMMYFUNCTION("""COMPUTED_VALUE"""),7.0)</f>
        <v>7</v>
      </c>
      <c r="I236" s="11">
        <v>7.0</v>
      </c>
    </row>
    <row r="237">
      <c r="A237" s="9" t="str">
        <f>IFERROR(__xludf.DUMMYFUNCTION("""COMPUTED_VALUE"""),"W 8193 PF")</f>
        <v>W 8193 PF</v>
      </c>
      <c r="B237" s="9" t="str">
        <f>IFERROR(__xludf.DUMMYFUNCTION("""COMPUTED_VALUE"""),"TLPG TJ PERAK")</f>
        <v>TLPG TJ PERAK</v>
      </c>
      <c r="C237" s="9" t="str">
        <f>IFERROR(__xludf.DUMMYFUNCTION("""COMPUTED_VALUE"""),"PT BONGKARAN ENERGI")</f>
        <v>PT BONGKARAN ENERGI</v>
      </c>
      <c r="D237" s="11">
        <f>IFERROR(__xludf.DUMMYFUNCTION("""COMPUTED_VALUE"""),24.2)</f>
        <v>24.2</v>
      </c>
      <c r="E237" s="11" t="str">
        <f>IFERROR(__xludf.DUMMYFUNCTION("""COMPUTED_VALUE"""),"DEKAT")</f>
        <v>DEKAT</v>
      </c>
      <c r="F237" s="11">
        <f>IFERROR(__xludf.DUMMYFUNCTION("""COMPUTED_VALUE"""),1.0)</f>
        <v>1</v>
      </c>
      <c r="G237" s="11">
        <f>IFERROR(__xludf.DUMMYFUNCTION("""COMPUTED_VALUE"""),12.0)</f>
        <v>12</v>
      </c>
      <c r="H237" s="11">
        <f>IFERROR(__xludf.DUMMYFUNCTION("""COMPUTED_VALUE"""),8.0)</f>
        <v>8</v>
      </c>
      <c r="I237" s="11">
        <v>8.0</v>
      </c>
    </row>
    <row r="238">
      <c r="A238" s="9" t="str">
        <f>IFERROR(__xludf.DUMMYFUNCTION("""COMPUTED_VALUE"""),"W 9170 PD")</f>
        <v>W 9170 PD</v>
      </c>
      <c r="B238" s="9" t="str">
        <f>IFERROR(__xludf.DUMMYFUNCTION("""COMPUTED_VALUE"""),"TLPG TJ PERAK")</f>
        <v>TLPG TJ PERAK</v>
      </c>
      <c r="C238" s="9" t="str">
        <f>IFERROR(__xludf.DUMMYFUNCTION("""COMPUTED_VALUE"""),"PT NAWA PELITA RAYA")</f>
        <v>PT NAWA PELITA RAYA</v>
      </c>
      <c r="D238" s="11">
        <f>IFERROR(__xludf.DUMMYFUNCTION("""COMPUTED_VALUE"""),23.7)</f>
        <v>23.7</v>
      </c>
      <c r="E238" s="11" t="str">
        <f>IFERROR(__xludf.DUMMYFUNCTION("""COMPUTED_VALUE"""),"DEKAT")</f>
        <v>DEKAT</v>
      </c>
      <c r="F238" s="11">
        <f>IFERROR(__xludf.DUMMYFUNCTION("""COMPUTED_VALUE"""),1.0)</f>
        <v>1</v>
      </c>
      <c r="G238" s="11">
        <f>IFERROR(__xludf.DUMMYFUNCTION("""COMPUTED_VALUE"""),4.0)</f>
        <v>4</v>
      </c>
      <c r="H238" s="11">
        <f>IFERROR(__xludf.DUMMYFUNCTION("""COMPUTED_VALUE"""),9.0)</f>
        <v>9</v>
      </c>
      <c r="I238" s="11">
        <v>9.0</v>
      </c>
    </row>
    <row r="239">
      <c r="A239" s="9" t="str">
        <f>IFERROR(__xludf.DUMMYFUNCTION("""COMPUTED_VALUE"""),"W 8353 UR")</f>
        <v>W 8353 UR</v>
      </c>
      <c r="B239" s="9" t="str">
        <f>IFERROR(__xludf.DUMMYFUNCTION("""COMPUTED_VALUE"""),"TLPG TJ PERAK")</f>
        <v>TLPG TJ PERAK</v>
      </c>
      <c r="C239" s="9" t="str">
        <f>IFERROR(__xludf.DUMMYFUNCTION("""COMPUTED_VALUE"""),"PT NAWA PELITA RAYA")</f>
        <v>PT NAWA PELITA RAYA</v>
      </c>
      <c r="D239" s="11">
        <f>IFERROR(__xludf.DUMMYFUNCTION("""COMPUTED_VALUE"""),23.7)</f>
        <v>23.7</v>
      </c>
      <c r="E239" s="11" t="str">
        <f>IFERROR(__xludf.DUMMYFUNCTION("""COMPUTED_VALUE"""),"DEKAT")</f>
        <v>DEKAT</v>
      </c>
      <c r="F239" s="11">
        <f>IFERROR(__xludf.DUMMYFUNCTION("""COMPUTED_VALUE"""),1.0)</f>
        <v>1</v>
      </c>
      <c r="G239" s="11">
        <f>IFERROR(__xludf.DUMMYFUNCTION("""COMPUTED_VALUE"""),12.0)</f>
        <v>12</v>
      </c>
      <c r="H239" s="11">
        <f>IFERROR(__xludf.DUMMYFUNCTION("""COMPUTED_VALUE"""),10.0)</f>
        <v>10</v>
      </c>
      <c r="I239" s="11">
        <v>10.0</v>
      </c>
    </row>
    <row r="240">
      <c r="A240" s="9" t="str">
        <f>IFERROR(__xludf.DUMMYFUNCTION("""COMPUTED_VALUE"""),"DK 8139 TS")</f>
        <v>DK 8139 TS</v>
      </c>
      <c r="B240" s="9" t="str">
        <f>IFERROR(__xludf.DUMMYFUNCTION("""COMPUTED_VALUE"""),"TLPG MANGGIS")</f>
        <v>TLPG MANGGIS</v>
      </c>
      <c r="C240" s="9" t="str">
        <f>IFERROR(__xludf.DUMMYFUNCTION("""COMPUTED_VALUE"""),"SPPBE-PT. Gasari Mas Timur")</f>
        <v>SPPBE-PT. Gasari Mas Timur</v>
      </c>
      <c r="D240" s="11">
        <f>IFERROR(__xludf.DUMMYFUNCTION("""COMPUTED_VALUE"""),22.5)</f>
        <v>22.5</v>
      </c>
      <c r="E240" s="11" t="str">
        <f>IFERROR(__xludf.DUMMYFUNCTION("""COMPUTED_VALUE"""),"DEKAT")</f>
        <v>DEKAT</v>
      </c>
      <c r="F240" s="11">
        <f>IFERROR(__xludf.DUMMYFUNCTION("""COMPUTED_VALUE"""),1.0)</f>
        <v>1</v>
      </c>
      <c r="G240" s="11">
        <f>IFERROR(__xludf.DUMMYFUNCTION("""COMPUTED_VALUE"""),3.0)</f>
        <v>3</v>
      </c>
      <c r="H240" s="11">
        <f>IFERROR(__xludf.DUMMYFUNCTION("""COMPUTED_VALUE"""),11.0)</f>
        <v>11</v>
      </c>
      <c r="I240" s="11">
        <v>11.0</v>
      </c>
    </row>
    <row r="241">
      <c r="A241" s="9" t="str">
        <f>IFERROR(__xludf.DUMMYFUNCTION("""COMPUTED_VALUE"""),"DK 8148 TS")</f>
        <v>DK 8148 TS</v>
      </c>
      <c r="B241" s="9" t="str">
        <f>IFERROR(__xludf.DUMMYFUNCTION("""COMPUTED_VALUE"""),"TLPG MANGGIS")</f>
        <v>TLPG MANGGIS</v>
      </c>
      <c r="C241" s="9" t="str">
        <f>IFERROR(__xludf.DUMMYFUNCTION("""COMPUTED_VALUE"""),"SPPBE-PT. Gasari Mas Timur")</f>
        <v>SPPBE-PT. Gasari Mas Timur</v>
      </c>
      <c r="D241" s="11">
        <f>IFERROR(__xludf.DUMMYFUNCTION("""COMPUTED_VALUE"""),22.5)</f>
        <v>22.5</v>
      </c>
      <c r="E241" s="11" t="str">
        <f>IFERROR(__xludf.DUMMYFUNCTION("""COMPUTED_VALUE"""),"DEKAT")</f>
        <v>DEKAT</v>
      </c>
      <c r="F241" s="11">
        <f>IFERROR(__xludf.DUMMYFUNCTION("""COMPUTED_VALUE"""),1.0)</f>
        <v>1</v>
      </c>
      <c r="G241" s="11">
        <f>IFERROR(__xludf.DUMMYFUNCTION("""COMPUTED_VALUE"""),4.0)</f>
        <v>4</v>
      </c>
      <c r="H241" s="11">
        <f>IFERROR(__xludf.DUMMYFUNCTION("""COMPUTED_VALUE"""),12.0)</f>
        <v>12</v>
      </c>
      <c r="I241" s="11">
        <v>12.0</v>
      </c>
    </row>
    <row r="242">
      <c r="A242" s="9" t="str">
        <f>IFERROR(__xludf.DUMMYFUNCTION("""COMPUTED_VALUE"""),"DR 8761 DC")</f>
        <v>DR 8761 DC</v>
      </c>
      <c r="B242" s="9" t="str">
        <f>IFERROR(__xludf.DUMMYFUNCTION("""COMPUTED_VALUE"""),"TLPG LOMBOK")</f>
        <v>TLPG LOMBOK</v>
      </c>
      <c r="C242" s="9" t="str">
        <f>IFERROR(__xludf.DUMMYFUNCTION("""COMPUTED_VALUE"""),"SPPBE-PT. Om Agus")</f>
        <v>SPPBE-PT. Om Agus</v>
      </c>
      <c r="D242" s="11">
        <f>IFERROR(__xludf.DUMMYFUNCTION("""COMPUTED_VALUE"""),18.7)</f>
        <v>18.7</v>
      </c>
      <c r="E242" s="11" t="str">
        <f>IFERROR(__xludf.DUMMYFUNCTION("""COMPUTED_VALUE"""),"DEKAT")</f>
        <v>DEKAT</v>
      </c>
      <c r="F242" s="11">
        <f>IFERROR(__xludf.DUMMYFUNCTION("""COMPUTED_VALUE"""),1.0)</f>
        <v>1</v>
      </c>
      <c r="G242" s="11">
        <f>IFERROR(__xludf.DUMMYFUNCTION("""COMPUTED_VALUE"""),1.0)</f>
        <v>1</v>
      </c>
      <c r="H242" s="11">
        <f>IFERROR(__xludf.DUMMYFUNCTION("""COMPUTED_VALUE"""),1.0)</f>
        <v>1</v>
      </c>
      <c r="I242" s="11">
        <v>1.0</v>
      </c>
    </row>
    <row r="243">
      <c r="A243" s="9" t="str">
        <f>IFERROR(__xludf.DUMMYFUNCTION("""COMPUTED_VALUE"""),"DR 8772 DC")</f>
        <v>DR 8772 DC</v>
      </c>
      <c r="B243" s="9" t="str">
        <f>IFERROR(__xludf.DUMMYFUNCTION("""COMPUTED_VALUE"""),"TLPG LOMBOK")</f>
        <v>TLPG LOMBOK</v>
      </c>
      <c r="C243" s="9" t="str">
        <f>IFERROR(__xludf.DUMMYFUNCTION("""COMPUTED_VALUE"""),"PT OM AGUS")</f>
        <v>PT OM AGUS</v>
      </c>
      <c r="D243" s="11">
        <f>IFERROR(__xludf.DUMMYFUNCTION("""COMPUTED_VALUE"""),18.7)</f>
        <v>18.7</v>
      </c>
      <c r="E243" s="11" t="str">
        <f>IFERROR(__xludf.DUMMYFUNCTION("""COMPUTED_VALUE"""),"DEKAT")</f>
        <v>DEKAT</v>
      </c>
      <c r="F243" s="11">
        <f>IFERROR(__xludf.DUMMYFUNCTION("""COMPUTED_VALUE"""),1.0)</f>
        <v>1</v>
      </c>
      <c r="G243" s="11">
        <f>IFERROR(__xludf.DUMMYFUNCTION("""COMPUTED_VALUE"""),4.0)</f>
        <v>4</v>
      </c>
      <c r="H243" s="11">
        <f>IFERROR(__xludf.DUMMYFUNCTION("""COMPUTED_VALUE"""),2.0)</f>
        <v>2</v>
      </c>
      <c r="I243" s="11">
        <v>2.0</v>
      </c>
    </row>
    <row r="244">
      <c r="A244" s="9" t="str">
        <f>IFERROR(__xludf.DUMMYFUNCTION("""COMPUTED_VALUE"""),"L 8035 BL")</f>
        <v>L 8035 BL</v>
      </c>
      <c r="B244" s="9" t="str">
        <f>IFERROR(__xludf.DUMMYFUNCTION("""COMPUTED_VALUE"""),"TLPG TJ PERAK")</f>
        <v>TLPG TJ PERAK</v>
      </c>
      <c r="C244" s="9" t="str">
        <f>IFERROR(__xludf.DUMMYFUNCTION("""COMPUTED_VALUE"""),"PT CAHAYA ANUGERAH GASINDO")</f>
        <v>PT CAHAYA ANUGERAH GASINDO</v>
      </c>
      <c r="D244" s="11">
        <f>IFERROR(__xludf.DUMMYFUNCTION("""COMPUTED_VALUE"""),18.0)</f>
        <v>18</v>
      </c>
      <c r="E244" s="11" t="str">
        <f>IFERROR(__xludf.DUMMYFUNCTION("""COMPUTED_VALUE"""),"DEKAT")</f>
        <v>DEKAT</v>
      </c>
      <c r="F244" s="11">
        <f>IFERROR(__xludf.DUMMYFUNCTION("""COMPUTED_VALUE"""),1.0)</f>
        <v>1</v>
      </c>
      <c r="G244" s="11">
        <f>IFERROR(__xludf.DUMMYFUNCTION("""COMPUTED_VALUE"""),5.0)</f>
        <v>5</v>
      </c>
      <c r="H244" s="11">
        <f>IFERROR(__xludf.DUMMYFUNCTION("""COMPUTED_VALUE"""),3.0)</f>
        <v>3</v>
      </c>
      <c r="I244" s="12">
        <v>2.0</v>
      </c>
    </row>
    <row r="245">
      <c r="A245" s="9" t="str">
        <f>IFERROR(__xludf.DUMMYFUNCTION("""COMPUTED_VALUE"""),"B 9914 PEI")</f>
        <v>B 9914 PEI</v>
      </c>
      <c r="B245" s="9" t="str">
        <f>IFERROR(__xludf.DUMMYFUNCTION("""COMPUTED_VALUE"""),"TLPG MANGGIS")</f>
        <v>TLPG MANGGIS</v>
      </c>
      <c r="C245" s="9" t="str">
        <f>IFERROR(__xludf.DUMMYFUNCTION("""COMPUTED_VALUE"""),"SPPBE-PT. Pancadarma Puspawira Putra")</f>
        <v>SPPBE-PT. Pancadarma Puspawira Putra</v>
      </c>
      <c r="D245" s="11">
        <f>IFERROR(__xludf.DUMMYFUNCTION("""COMPUTED_VALUE"""),17.2)</f>
        <v>17.2</v>
      </c>
      <c r="E245" s="11" t="str">
        <f>IFERROR(__xludf.DUMMYFUNCTION("""COMPUTED_VALUE"""),"DEKAT")</f>
        <v>DEKAT</v>
      </c>
      <c r="F245" s="11">
        <f>IFERROR(__xludf.DUMMYFUNCTION("""COMPUTED_VALUE"""),1.0)</f>
        <v>1</v>
      </c>
      <c r="G245" s="11">
        <f>IFERROR(__xludf.DUMMYFUNCTION("""COMPUTED_VALUE"""),1.0)</f>
        <v>1</v>
      </c>
      <c r="H245" s="11">
        <f>IFERROR(__xludf.DUMMYFUNCTION("""COMPUTED_VALUE"""),4.0)</f>
        <v>4</v>
      </c>
      <c r="I245" s="11">
        <v>4.0</v>
      </c>
    </row>
    <row r="246">
      <c r="A246" s="9" t="str">
        <f>IFERROR(__xludf.DUMMYFUNCTION("""COMPUTED_VALUE"""),"DK 8141 JM")</f>
        <v>DK 8141 JM</v>
      </c>
      <c r="B246" s="9" t="str">
        <f>IFERROR(__xludf.DUMMYFUNCTION("""COMPUTED_VALUE"""),"TLPG MANGGIS")</f>
        <v>TLPG MANGGIS</v>
      </c>
      <c r="C246" s="9" t="str">
        <f>IFERROR(__xludf.DUMMYFUNCTION("""COMPUTED_VALUE"""),"SPPBE-PT. Pancadarma Puspawira Putra")</f>
        <v>SPPBE-PT. Pancadarma Puspawira Putra</v>
      </c>
      <c r="D246" s="11">
        <f>IFERROR(__xludf.DUMMYFUNCTION("""COMPUTED_VALUE"""),17.2)</f>
        <v>17.2</v>
      </c>
      <c r="E246" s="11" t="str">
        <f>IFERROR(__xludf.DUMMYFUNCTION("""COMPUTED_VALUE"""),"DEKAT")</f>
        <v>DEKAT</v>
      </c>
      <c r="F246" s="11">
        <f>IFERROR(__xludf.DUMMYFUNCTION("""COMPUTED_VALUE"""),1.0)</f>
        <v>1</v>
      </c>
      <c r="G246" s="11">
        <f>IFERROR(__xludf.DUMMYFUNCTION("""COMPUTED_VALUE"""),3.0)</f>
        <v>3</v>
      </c>
      <c r="H246" s="11">
        <f>IFERROR(__xludf.DUMMYFUNCTION("""COMPUTED_VALUE"""),5.0)</f>
        <v>5</v>
      </c>
      <c r="I246" s="11">
        <v>5.0</v>
      </c>
    </row>
    <row r="247">
      <c r="A247" s="9" t="str">
        <f>IFERROR(__xludf.DUMMYFUNCTION("""COMPUTED_VALUE"""),"L 8121 UUA")</f>
        <v>L 8121 UUA</v>
      </c>
      <c r="B247" s="9" t="str">
        <f>IFERROR(__xludf.DUMMYFUNCTION("""COMPUTED_VALUE"""),"TLPG MEM GRESIK")</f>
        <v>TLPG MEM GRESIK</v>
      </c>
      <c r="C247" s="9" t="str">
        <f>IFERROR(__xludf.DUMMYFUNCTION("""COMPUTED_VALUE"""),"PT UNIVERSAL ENERGY PRATAMA")</f>
        <v>PT UNIVERSAL ENERGY PRATAMA</v>
      </c>
      <c r="D247" s="11">
        <f>IFERROR(__xludf.DUMMYFUNCTION("""COMPUTED_VALUE"""),17.0)</f>
        <v>17</v>
      </c>
      <c r="E247" s="11" t="str">
        <f>IFERROR(__xludf.DUMMYFUNCTION("""COMPUTED_VALUE"""),"DEKAT")</f>
        <v>DEKAT</v>
      </c>
      <c r="F247" s="11">
        <f>IFERROR(__xludf.DUMMYFUNCTION("""COMPUTED_VALUE"""),1.0)</f>
        <v>1</v>
      </c>
      <c r="G247" s="11">
        <f>IFERROR(__xludf.DUMMYFUNCTION("""COMPUTED_VALUE"""),6.0)</f>
        <v>6</v>
      </c>
      <c r="H247" s="11">
        <f>IFERROR(__xludf.DUMMYFUNCTION("""COMPUTED_VALUE"""),6.0)</f>
        <v>6</v>
      </c>
      <c r="I247" s="12">
        <v>4.0</v>
      </c>
    </row>
    <row r="248">
      <c r="A248" s="9" t="str">
        <f>IFERROR(__xludf.DUMMYFUNCTION("""COMPUTED_VALUE"""),"L 8303 UDD")</f>
        <v>L 8303 UDD</v>
      </c>
      <c r="B248" s="9" t="str">
        <f>IFERROR(__xludf.DUMMYFUNCTION("""COMPUTED_VALUE"""),"TLPG MEM GRESIK")</f>
        <v>TLPG MEM GRESIK</v>
      </c>
      <c r="C248" s="9" t="str">
        <f>IFERROR(__xludf.DUMMYFUNCTION("""COMPUTED_VALUE"""),"PT BAKTI NUSA PERDANA")</f>
        <v>PT BAKTI NUSA PERDANA</v>
      </c>
      <c r="D248" s="11">
        <f>IFERROR(__xludf.DUMMYFUNCTION("""COMPUTED_VALUE"""),17.0)</f>
        <v>17</v>
      </c>
      <c r="E248" s="11" t="str">
        <f>IFERROR(__xludf.DUMMYFUNCTION("""COMPUTED_VALUE"""),"DEKAT")</f>
        <v>DEKAT</v>
      </c>
      <c r="F248" s="11">
        <f>IFERROR(__xludf.DUMMYFUNCTION("""COMPUTED_VALUE"""),1.0)</f>
        <v>1</v>
      </c>
      <c r="G248" s="11">
        <f>IFERROR(__xludf.DUMMYFUNCTION("""COMPUTED_VALUE"""),7.0)</f>
        <v>7</v>
      </c>
      <c r="H248" s="11">
        <f>IFERROR(__xludf.DUMMYFUNCTION("""COMPUTED_VALUE"""),7.0)</f>
        <v>7</v>
      </c>
      <c r="I248" s="11">
        <v>7.0</v>
      </c>
    </row>
    <row r="249">
      <c r="A249" s="9" t="str">
        <f>IFERROR(__xludf.DUMMYFUNCTION("""COMPUTED_VALUE"""),"L 9552 UW")</f>
        <v>L 9552 UW</v>
      </c>
      <c r="B249" s="9" t="str">
        <f>IFERROR(__xludf.DUMMYFUNCTION("""COMPUTED_VALUE"""),"TLPG MEM GRESIK")</f>
        <v>TLPG MEM GRESIK</v>
      </c>
      <c r="C249" s="9" t="str">
        <f>IFERROR(__xludf.DUMMYFUNCTION("""COMPUTED_VALUE"""),"PT UNIVERSAL ENERGY PRATAMA")</f>
        <v>PT UNIVERSAL ENERGY PRATAMA</v>
      </c>
      <c r="D249" s="11">
        <f>IFERROR(__xludf.DUMMYFUNCTION("""COMPUTED_VALUE"""),17.0)</f>
        <v>17</v>
      </c>
      <c r="E249" s="11" t="str">
        <f>IFERROR(__xludf.DUMMYFUNCTION("""COMPUTED_VALUE"""),"DEKAT")</f>
        <v>DEKAT</v>
      </c>
      <c r="F249" s="11">
        <f>IFERROR(__xludf.DUMMYFUNCTION("""COMPUTED_VALUE"""),1.0)</f>
        <v>1</v>
      </c>
      <c r="G249" s="11">
        <f>IFERROR(__xludf.DUMMYFUNCTION("""COMPUTED_VALUE"""),7.0)</f>
        <v>7</v>
      </c>
      <c r="H249" s="11">
        <f>IFERROR(__xludf.DUMMYFUNCTION("""COMPUTED_VALUE"""),8.0)</f>
        <v>8</v>
      </c>
      <c r="I249" s="11">
        <v>8.0</v>
      </c>
    </row>
    <row r="250">
      <c r="A250" s="9" t="str">
        <f>IFERROR(__xludf.DUMMYFUNCTION("""COMPUTED_VALUE"""),"L 8684 AG")</f>
        <v>L 8684 AG</v>
      </c>
      <c r="B250" s="9" t="str">
        <f>IFERROR(__xludf.DUMMYFUNCTION("""COMPUTED_VALUE"""),"TLPG TJ PERAK")</f>
        <v>TLPG TJ PERAK</v>
      </c>
      <c r="C250" s="9" t="str">
        <f>IFERROR(__xludf.DUMMYFUNCTION("""COMPUTED_VALUE"""),"PT ANDHIKA PUTRA TRIGAS LENTERA")</f>
        <v>PT ANDHIKA PUTRA TRIGAS LENTERA</v>
      </c>
      <c r="D250" s="11">
        <f>IFERROR(__xludf.DUMMYFUNCTION("""COMPUTED_VALUE"""),12.8)</f>
        <v>12.8</v>
      </c>
      <c r="E250" s="11" t="str">
        <f>IFERROR(__xludf.DUMMYFUNCTION("""COMPUTED_VALUE"""),"DEKAT")</f>
        <v>DEKAT</v>
      </c>
      <c r="F250" s="11">
        <f>IFERROR(__xludf.DUMMYFUNCTION("""COMPUTED_VALUE"""),1.0)</f>
        <v>1</v>
      </c>
      <c r="G250" s="11">
        <f>IFERROR(__xludf.DUMMYFUNCTION("""COMPUTED_VALUE"""),5.0)</f>
        <v>5</v>
      </c>
      <c r="H250" s="11">
        <f>IFERROR(__xludf.DUMMYFUNCTION("""COMPUTED_VALUE"""),9.0)</f>
        <v>9</v>
      </c>
      <c r="I250" s="11">
        <v>9.0</v>
      </c>
    </row>
    <row r="251">
      <c r="A251" s="9" t="str">
        <f>IFERROR(__xludf.DUMMYFUNCTION("""COMPUTED_VALUE"""),"L 9644 BB")</f>
        <v>L 9644 BB</v>
      </c>
      <c r="B251" s="9" t="str">
        <f>IFERROR(__xludf.DUMMYFUNCTION("""COMPUTED_VALUE"""),"TLPG TJ PERAK")</f>
        <v>TLPG TJ PERAK</v>
      </c>
      <c r="C251" s="9" t="str">
        <f>IFERROR(__xludf.DUMMYFUNCTION("""COMPUTED_VALUE"""),"PT ANDHIKA PUTRA TRIGAS LENTERA")</f>
        <v>PT ANDHIKA PUTRA TRIGAS LENTERA</v>
      </c>
      <c r="D251" s="11">
        <f>IFERROR(__xludf.DUMMYFUNCTION("""COMPUTED_VALUE"""),12.8)</f>
        <v>12.8</v>
      </c>
      <c r="E251" s="11" t="str">
        <f>IFERROR(__xludf.DUMMYFUNCTION("""COMPUTED_VALUE"""),"DEKAT")</f>
        <v>DEKAT</v>
      </c>
      <c r="F251" s="11">
        <f>IFERROR(__xludf.DUMMYFUNCTION("""COMPUTED_VALUE"""),1.0)</f>
        <v>1</v>
      </c>
      <c r="G251" s="11">
        <f>IFERROR(__xludf.DUMMYFUNCTION("""COMPUTED_VALUE"""),6.0)</f>
        <v>6</v>
      </c>
      <c r="H251" s="11">
        <f>IFERROR(__xludf.DUMMYFUNCTION("""COMPUTED_VALUE"""),10.0)</f>
        <v>10</v>
      </c>
      <c r="I251" s="11">
        <v>10.0</v>
      </c>
    </row>
    <row r="252">
      <c r="A252" s="9" t="str">
        <f>IFERROR(__xludf.DUMMYFUNCTION("""COMPUTED_VALUE"""),"L 8454 N")</f>
        <v>L 8454 N</v>
      </c>
      <c r="B252" s="9" t="str">
        <f>IFERROR(__xludf.DUMMYFUNCTION("""COMPUTED_VALUE"""),"TLPG TJ PERAK")</f>
        <v>TLPG TJ PERAK</v>
      </c>
      <c r="C252" s="9" t="str">
        <f>IFERROR(__xludf.DUMMYFUNCTION("""COMPUTED_VALUE"""),"PT ANDHIKA DIAN UTAMA")</f>
        <v>PT ANDHIKA DIAN UTAMA</v>
      </c>
      <c r="D252" s="11">
        <f>IFERROR(__xludf.DUMMYFUNCTION("""COMPUTED_VALUE"""),12.7)</f>
        <v>12.7</v>
      </c>
      <c r="E252" s="11" t="str">
        <f>IFERROR(__xludf.DUMMYFUNCTION("""COMPUTED_VALUE"""),"DEKAT")</f>
        <v>DEKAT</v>
      </c>
      <c r="F252" s="11">
        <f>IFERROR(__xludf.DUMMYFUNCTION("""COMPUTED_VALUE"""),1.0)</f>
        <v>1</v>
      </c>
      <c r="G252" s="11">
        <f>IFERROR(__xludf.DUMMYFUNCTION("""COMPUTED_VALUE"""),5.0)</f>
        <v>5</v>
      </c>
      <c r="H252" s="11">
        <f>IFERROR(__xludf.DUMMYFUNCTION("""COMPUTED_VALUE"""),11.0)</f>
        <v>11</v>
      </c>
      <c r="I252" s="11">
        <v>11.0</v>
      </c>
    </row>
    <row r="253">
      <c r="A253" s="9" t="str">
        <f>IFERROR(__xludf.DUMMYFUNCTION("""COMPUTED_VALUE"""),"L 8013 UX")</f>
        <v>L 8013 UX</v>
      </c>
      <c r="B253" s="9" t="str">
        <f>IFERROR(__xludf.DUMMYFUNCTION("""COMPUTED_VALUE"""),"TLPG MEM GRESIK")</f>
        <v>TLPG MEM GRESIK</v>
      </c>
      <c r="C253" s="9" t="str">
        <f>IFERROR(__xludf.DUMMYFUNCTION("""COMPUTED_VALUE"""),"PT PERMATA ENERGI BUMI INDONESIA")</f>
        <v>PT PERMATA ENERGI BUMI INDONESIA</v>
      </c>
      <c r="D253" s="11">
        <f>IFERROR(__xludf.DUMMYFUNCTION("""COMPUTED_VALUE"""),12.2)</f>
        <v>12.2</v>
      </c>
      <c r="E253" s="11" t="str">
        <f>IFERROR(__xludf.DUMMYFUNCTION("""COMPUTED_VALUE"""),"DEKAT")</f>
        <v>DEKAT</v>
      </c>
      <c r="F253" s="11">
        <f>IFERROR(__xludf.DUMMYFUNCTION("""COMPUTED_VALUE"""),1.0)</f>
        <v>1</v>
      </c>
      <c r="G253" s="11">
        <f>IFERROR(__xludf.DUMMYFUNCTION("""COMPUTED_VALUE"""),4.0)</f>
        <v>4</v>
      </c>
      <c r="H253" s="11">
        <f>IFERROR(__xludf.DUMMYFUNCTION("""COMPUTED_VALUE"""),12.0)</f>
        <v>12</v>
      </c>
      <c r="I253" s="11">
        <v>12.0</v>
      </c>
    </row>
    <row r="254">
      <c r="A254" s="9" t="str">
        <f>IFERROR(__xludf.DUMMYFUNCTION("""COMPUTED_VALUE"""),"L 8192 UX")</f>
        <v>L 8192 UX</v>
      </c>
      <c r="B254" s="9" t="str">
        <f>IFERROR(__xludf.DUMMYFUNCTION("""COMPUTED_VALUE"""),"TLPG MEM GRESIK")</f>
        <v>TLPG MEM GRESIK</v>
      </c>
      <c r="C254" s="9" t="str">
        <f>IFERROR(__xludf.DUMMYFUNCTION("""COMPUTED_VALUE"""),"PT PERMATA ENERGI BUMI INDONESIA")</f>
        <v>PT PERMATA ENERGI BUMI INDONESIA</v>
      </c>
      <c r="D254" s="11">
        <f>IFERROR(__xludf.DUMMYFUNCTION("""COMPUTED_VALUE"""),12.2)</f>
        <v>12.2</v>
      </c>
      <c r="E254" s="11" t="str">
        <f>IFERROR(__xludf.DUMMYFUNCTION("""COMPUTED_VALUE"""),"DEKAT")</f>
        <v>DEKAT</v>
      </c>
      <c r="F254" s="11">
        <f>IFERROR(__xludf.DUMMYFUNCTION("""COMPUTED_VALUE"""),1.0)</f>
        <v>1</v>
      </c>
      <c r="G254" s="11">
        <f>IFERROR(__xludf.DUMMYFUNCTION("""COMPUTED_VALUE"""),7.0)</f>
        <v>7</v>
      </c>
      <c r="H254" s="11">
        <f>IFERROR(__xludf.DUMMYFUNCTION("""COMPUTED_VALUE"""),1.0)</f>
        <v>1</v>
      </c>
      <c r="I254" s="11">
        <v>1.0</v>
      </c>
    </row>
    <row r="255">
      <c r="A255" s="9" t="str">
        <f>IFERROR(__xludf.DUMMYFUNCTION("""COMPUTED_VALUE"""),"AE 8850 UT")</f>
        <v>AE 8850 UT</v>
      </c>
      <c r="B255" s="9" t="str">
        <f>IFERROR(__xludf.DUMMYFUNCTION("""COMPUTED_VALUE"""),"TLPG TJ PERAK")</f>
        <v>TLPG TJ PERAK</v>
      </c>
      <c r="C255" s="9" t="str">
        <f>IFERROR(__xludf.DUMMYFUNCTION("""COMPUTED_VALUE"""),"PT GUBAH TIARA PERKASA")</f>
        <v>PT GUBAH TIARA PERKASA</v>
      </c>
      <c r="D255" s="11">
        <f>IFERROR(__xludf.DUMMYFUNCTION("""COMPUTED_VALUE"""),11.9)</f>
        <v>11.9</v>
      </c>
      <c r="E255" s="11" t="str">
        <f>IFERROR(__xludf.DUMMYFUNCTION("""COMPUTED_VALUE"""),"DEKAT")</f>
        <v>DEKAT</v>
      </c>
      <c r="F255" s="11">
        <f>IFERROR(__xludf.DUMMYFUNCTION("""COMPUTED_VALUE"""),1.0)</f>
        <v>1</v>
      </c>
      <c r="G255" s="11">
        <f>IFERROR(__xludf.DUMMYFUNCTION("""COMPUTED_VALUE"""),6.0)</f>
        <v>6</v>
      </c>
      <c r="H255" s="11">
        <f>IFERROR(__xludf.DUMMYFUNCTION("""COMPUTED_VALUE"""),2.0)</f>
        <v>2</v>
      </c>
      <c r="I255" s="12">
        <v>3.0</v>
      </c>
    </row>
    <row r="256">
      <c r="A256" s="9" t="str">
        <f>IFERROR(__xludf.DUMMYFUNCTION("""COMPUTED_VALUE"""),"AG 8828 UW")</f>
        <v>AG 8828 UW</v>
      </c>
      <c r="B256" s="9" t="str">
        <f>IFERROR(__xludf.DUMMYFUNCTION("""COMPUTED_VALUE"""),"TLPG TJ PERAK")</f>
        <v>TLPG TJ PERAK</v>
      </c>
      <c r="C256" s="9" t="str">
        <f>IFERROR(__xludf.DUMMYFUNCTION("""COMPUTED_VALUE"""),"PT GUBAH TIARA PERKASA")</f>
        <v>PT GUBAH TIARA PERKASA</v>
      </c>
      <c r="D256" s="11">
        <f>IFERROR(__xludf.DUMMYFUNCTION("""COMPUTED_VALUE"""),11.9)</f>
        <v>11.9</v>
      </c>
      <c r="E256" s="11" t="str">
        <f>IFERROR(__xludf.DUMMYFUNCTION("""COMPUTED_VALUE"""),"DEKAT")</f>
        <v>DEKAT</v>
      </c>
      <c r="F256" s="11">
        <f>IFERROR(__xludf.DUMMYFUNCTION("""COMPUTED_VALUE"""),1.0)</f>
        <v>1</v>
      </c>
      <c r="G256" s="11">
        <f>IFERROR(__xludf.DUMMYFUNCTION("""COMPUTED_VALUE"""),6.0)</f>
        <v>6</v>
      </c>
      <c r="H256" s="11">
        <f>IFERROR(__xludf.DUMMYFUNCTION("""COMPUTED_VALUE"""),3.0)</f>
        <v>3</v>
      </c>
      <c r="I256" s="11">
        <v>3.0</v>
      </c>
    </row>
    <row r="257">
      <c r="A257" s="9" t="str">
        <f>IFERROR(__xludf.DUMMYFUNCTION("""COMPUTED_VALUE"""),"N 9579 US")</f>
        <v>N 9579 US</v>
      </c>
      <c r="B257" s="9" t="str">
        <f>IFERROR(__xludf.DUMMYFUNCTION("""COMPUTED_VALUE"""),"TLPG TJ PERAK")</f>
        <v>TLPG TJ PERAK</v>
      </c>
      <c r="C257" s="9" t="str">
        <f>IFERROR(__xludf.DUMMYFUNCTION("""COMPUTED_VALUE"""),"PT BINA ANUGERAH INTI KIMIA")</f>
        <v>PT BINA ANUGERAH INTI KIMIA</v>
      </c>
      <c r="D257" s="11">
        <f>IFERROR(__xludf.DUMMYFUNCTION("""COMPUTED_VALUE"""),10.1)</f>
        <v>10.1</v>
      </c>
      <c r="E257" s="11" t="str">
        <f>IFERROR(__xludf.DUMMYFUNCTION("""COMPUTED_VALUE"""),"DEKAT")</f>
        <v>DEKAT</v>
      </c>
      <c r="F257" s="11">
        <f>IFERROR(__xludf.DUMMYFUNCTION("""COMPUTED_VALUE"""),1.0)</f>
        <v>1</v>
      </c>
      <c r="G257" s="11">
        <f>IFERROR(__xludf.DUMMYFUNCTION("""COMPUTED_VALUE"""),4.0)</f>
        <v>4</v>
      </c>
      <c r="H257" s="11">
        <f>IFERROR(__xludf.DUMMYFUNCTION("""COMPUTED_VALUE"""),4.0)</f>
        <v>4</v>
      </c>
      <c r="I257" s="11">
        <v>4.0</v>
      </c>
    </row>
    <row r="258">
      <c r="A258" s="9" t="str">
        <f>IFERROR(__xludf.DUMMYFUNCTION("""COMPUTED_VALUE"""),"L 8973 UU")</f>
        <v>L 8973 UU</v>
      </c>
      <c r="B258" s="9" t="str">
        <f>IFERROR(__xludf.DUMMYFUNCTION("""COMPUTED_VALUE"""),"TLPG TJ PERAK")</f>
        <v>TLPG TJ PERAK</v>
      </c>
      <c r="C258" s="9" t="str">
        <f>IFERROR(__xludf.DUMMYFUNCTION("""COMPUTED_VALUE"""),"PT GOENADI GASINDO PRATAMA")</f>
        <v>PT GOENADI GASINDO PRATAMA</v>
      </c>
      <c r="D258" s="11">
        <f>IFERROR(__xludf.DUMMYFUNCTION("""COMPUTED_VALUE"""),10.1)</f>
        <v>10.1</v>
      </c>
      <c r="E258" s="11" t="str">
        <f>IFERROR(__xludf.DUMMYFUNCTION("""COMPUTED_VALUE"""),"DEKAT")</f>
        <v>DEKAT</v>
      </c>
      <c r="F258" s="11">
        <f>IFERROR(__xludf.DUMMYFUNCTION("""COMPUTED_VALUE"""),1.0)</f>
        <v>1</v>
      </c>
      <c r="G258" s="11">
        <f>IFERROR(__xludf.DUMMYFUNCTION("""COMPUTED_VALUE"""),6.0)</f>
        <v>6</v>
      </c>
      <c r="H258" s="11">
        <f>IFERROR(__xludf.DUMMYFUNCTION("""COMPUTED_VALUE"""),5.0)</f>
        <v>5</v>
      </c>
      <c r="I258" s="11">
        <v>5.0</v>
      </c>
    </row>
    <row r="259">
      <c r="A259" s="9" t="str">
        <f>IFERROR(__xludf.DUMMYFUNCTION("""COMPUTED_VALUE"""),"L 8547 UI")</f>
        <v>L 8547 UI</v>
      </c>
      <c r="B259" s="9" t="str">
        <f>IFERROR(__xludf.DUMMYFUNCTION("""COMPUTED_VALUE"""),"TLPG TJ PERAK")</f>
        <v>TLPG TJ PERAK</v>
      </c>
      <c r="C259" s="9" t="str">
        <f>IFERROR(__xludf.DUMMYFUNCTION("""COMPUTED_VALUE"""),"PT MULTI BERKAH AMANAH")</f>
        <v>PT MULTI BERKAH AMANAH</v>
      </c>
      <c r="D259" s="11">
        <f>IFERROR(__xludf.DUMMYFUNCTION("""COMPUTED_VALUE"""),7.7)</f>
        <v>7.7</v>
      </c>
      <c r="E259" s="11" t="str">
        <f>IFERROR(__xludf.DUMMYFUNCTION("""COMPUTED_VALUE"""),"DEKAT")</f>
        <v>DEKAT</v>
      </c>
      <c r="F259" s="11">
        <f>IFERROR(__xludf.DUMMYFUNCTION("""COMPUTED_VALUE"""),1.0)</f>
        <v>1</v>
      </c>
      <c r="G259" s="11">
        <f>IFERROR(__xludf.DUMMYFUNCTION("""COMPUTED_VALUE"""),5.0)</f>
        <v>5</v>
      </c>
      <c r="H259" s="11">
        <f>IFERROR(__xludf.DUMMYFUNCTION("""COMPUTED_VALUE"""),6.0)</f>
        <v>6</v>
      </c>
      <c r="I259" s="11">
        <v>6.0</v>
      </c>
    </row>
    <row r="260">
      <c r="A260" s="9" t="str">
        <f>IFERROR(__xludf.DUMMYFUNCTION("""COMPUTED_VALUE"""),"P 8176 UW")</f>
        <v>P 8176 UW</v>
      </c>
      <c r="B260" s="9" t="str">
        <f>IFERROR(__xludf.DUMMYFUNCTION("""COMPUTED_VALUE"""),"TLPG TJ WANGI")</f>
        <v>TLPG TJ WANGI</v>
      </c>
      <c r="C260" s="9" t="str">
        <f>IFERROR(__xludf.DUMMYFUNCTION("""COMPUTED_VALUE"""),"PT ARGOPURO MAJU SUKSES")</f>
        <v>PT ARGOPURO MAJU SUKSES</v>
      </c>
      <c r="D260" s="11">
        <f>IFERROR(__xludf.DUMMYFUNCTION("""COMPUTED_VALUE"""),4.9)</f>
        <v>4.9</v>
      </c>
      <c r="E260" s="11" t="str">
        <f>IFERROR(__xludf.DUMMYFUNCTION("""COMPUTED_VALUE"""),"DEKAT")</f>
        <v>DEKAT</v>
      </c>
      <c r="F260" s="11">
        <f>IFERROR(__xludf.DUMMYFUNCTION("""COMPUTED_VALUE"""),1.0)</f>
        <v>1</v>
      </c>
      <c r="G260" s="11">
        <f>IFERROR(__xludf.DUMMYFUNCTION("""COMPUTED_VALUE"""),4.0)</f>
        <v>4</v>
      </c>
      <c r="H260" s="11">
        <f>IFERROR(__xludf.DUMMYFUNCTION("""COMPUTED_VALUE"""),7.0)</f>
        <v>7</v>
      </c>
      <c r="I260" s="11">
        <v>7.0</v>
      </c>
    </row>
    <row r="261">
      <c r="A261" s="9" t="str">
        <f>IFERROR(__xludf.DUMMYFUNCTION("""COMPUTED_VALUE"""),"DK 8533 CE")</f>
        <v>DK 8533 CE</v>
      </c>
      <c r="B261" s="9" t="str">
        <f>IFERROR(__xludf.DUMMYFUNCTION("""COMPUTED_VALUE"""),"TLPG MANGGIS")</f>
        <v>TLPG MANGGIS</v>
      </c>
      <c r="C261" s="9" t="str">
        <f>IFERROR(__xludf.DUMMYFUNCTION("""COMPUTED_VALUE"""),"PT HELA CITRA AGUNG")</f>
        <v>PT HELA CITRA AGUNG</v>
      </c>
      <c r="D261" s="11">
        <f>IFERROR(__xludf.DUMMYFUNCTION("""COMPUTED_VALUE"""),3.0)</f>
        <v>3</v>
      </c>
      <c r="E261" s="11" t="str">
        <f>IFERROR(__xludf.DUMMYFUNCTION("""COMPUTED_VALUE"""),"DEKAT")</f>
        <v>DEKAT</v>
      </c>
      <c r="F261" s="11">
        <f>IFERROR(__xludf.DUMMYFUNCTION("""COMPUTED_VALUE"""),1.0)</f>
        <v>1</v>
      </c>
      <c r="G261" s="11">
        <f>IFERROR(__xludf.DUMMYFUNCTION("""COMPUTED_VALUE"""),2.0)</f>
        <v>2</v>
      </c>
      <c r="H261" s="11">
        <f>IFERROR(__xludf.DUMMYFUNCTION("""COMPUTED_VALUE"""),8.0)</f>
        <v>8</v>
      </c>
      <c r="I261" s="11">
        <v>8.0</v>
      </c>
    </row>
    <row r="262">
      <c r="A262" s="9" t="str">
        <f>IFERROR(__xludf.DUMMYFUNCTION("""COMPUTED_VALUE"""),"DK 8285 DT")</f>
        <v>DK 8285 DT</v>
      </c>
      <c r="B262" s="9" t="str">
        <f>IFERROR(__xludf.DUMMYFUNCTION("""COMPUTED_VALUE"""),"TLPG MANGGIS")</f>
        <v>TLPG MANGGIS</v>
      </c>
      <c r="C262" s="9" t="str">
        <f>IFERROR(__xludf.DUMMYFUNCTION("""COMPUTED_VALUE"""),"SPPBE-PT. Prapen Ananda Dewata")</f>
        <v>SPPBE-PT. Prapen Ananda Dewata</v>
      </c>
      <c r="D262" s="11">
        <f>IFERROR(__xludf.DUMMYFUNCTION("""COMPUTED_VALUE"""),3.0)</f>
        <v>3</v>
      </c>
      <c r="E262" s="11" t="str">
        <f>IFERROR(__xludf.DUMMYFUNCTION("""COMPUTED_VALUE"""),"DEKAT")</f>
        <v>DEKAT</v>
      </c>
      <c r="F262" s="11">
        <f>IFERROR(__xludf.DUMMYFUNCTION("""COMPUTED_VALUE"""),1.0)</f>
        <v>1</v>
      </c>
      <c r="G262" s="11">
        <f>IFERROR(__xludf.DUMMYFUNCTION("""COMPUTED_VALUE"""),6.0)</f>
        <v>6</v>
      </c>
      <c r="H262" s="11">
        <f>IFERROR(__xludf.DUMMYFUNCTION("""COMPUTED_VALUE"""),9.0)</f>
        <v>9</v>
      </c>
      <c r="I262" s="11">
        <v>9.0</v>
      </c>
    </row>
    <row r="263">
      <c r="A263" s="9" t="str">
        <f>IFERROR(__xludf.DUMMYFUNCTION("""COMPUTED_VALUE"""),"DK 8117 FS")</f>
        <v>DK 8117 FS</v>
      </c>
      <c r="B263" s="9" t="str">
        <f>IFERROR(__xludf.DUMMYFUNCTION("""COMPUTED_VALUE"""),"TLPG MANGGIS")</f>
        <v>TLPG MANGGIS</v>
      </c>
      <c r="C263" s="9" t="str">
        <f>IFERROR(__xludf.DUMMYFUNCTION("""COMPUTED_VALUE"""),"SPPBE-PT. Prapen Ananda Dewata")</f>
        <v>SPPBE-PT. Prapen Ananda Dewata</v>
      </c>
      <c r="D263" s="11">
        <f>IFERROR(__xludf.DUMMYFUNCTION("""COMPUTED_VALUE"""),3.0)</f>
        <v>3</v>
      </c>
      <c r="E263" s="11" t="str">
        <f>IFERROR(__xludf.DUMMYFUNCTION("""COMPUTED_VALUE"""),"DEKAT")</f>
        <v>DEKAT</v>
      </c>
      <c r="F263" s="11">
        <f>IFERROR(__xludf.DUMMYFUNCTION("""COMPUTED_VALUE"""),1.0)</f>
        <v>1</v>
      </c>
      <c r="G263" s="11">
        <f>IFERROR(__xludf.DUMMYFUNCTION("""COMPUTED_VALUE"""),7.0)</f>
        <v>7</v>
      </c>
      <c r="H263" s="11">
        <f>IFERROR(__xludf.DUMMYFUNCTION("""COMPUTED_VALUE"""),10.0)</f>
        <v>10</v>
      </c>
      <c r="I263" s="11">
        <v>10.0</v>
      </c>
    </row>
    <row r="264">
      <c r="A264" s="51" t="s">
        <v>27</v>
      </c>
      <c r="B264" s="9" t="s">
        <v>28</v>
      </c>
      <c r="C264" s="9" t="s">
        <v>48</v>
      </c>
      <c r="E264" s="9" t="s">
        <v>431</v>
      </c>
      <c r="F264" s="9" t="s">
        <v>431</v>
      </c>
      <c r="G264" s="17">
        <v>1.0</v>
      </c>
      <c r="H264" s="17"/>
      <c r="I264" s="14">
        <v>3.0</v>
      </c>
    </row>
    <row r="265">
      <c r="A265" s="51" t="s">
        <v>29</v>
      </c>
      <c r="B265" s="9" t="s">
        <v>25</v>
      </c>
      <c r="C265" s="9" t="s">
        <v>83</v>
      </c>
      <c r="E265" s="9" t="s">
        <v>431</v>
      </c>
      <c r="F265" s="9" t="s">
        <v>431</v>
      </c>
      <c r="G265" s="17">
        <v>1.0</v>
      </c>
      <c r="H265" s="17"/>
      <c r="I265" s="14">
        <v>3.0</v>
      </c>
    </row>
    <row r="266">
      <c r="A266" s="51" t="s">
        <v>30</v>
      </c>
      <c r="B266" s="9" t="s">
        <v>28</v>
      </c>
      <c r="C266" s="9" t="s">
        <v>48</v>
      </c>
      <c r="E266" s="9" t="s">
        <v>431</v>
      </c>
      <c r="F266" s="9" t="s">
        <v>431</v>
      </c>
      <c r="G266" s="17">
        <v>1.0</v>
      </c>
      <c r="H266" s="17"/>
      <c r="I266" s="14">
        <v>5.0</v>
      </c>
    </row>
    <row r="267">
      <c r="A267" s="51" t="s">
        <v>36</v>
      </c>
      <c r="B267" s="9" t="s">
        <v>32</v>
      </c>
      <c r="C267" s="9" t="s">
        <v>184</v>
      </c>
      <c r="D267" s="11"/>
      <c r="E267" s="11" t="s">
        <v>431</v>
      </c>
      <c r="F267" s="11" t="s">
        <v>431</v>
      </c>
      <c r="G267" s="17">
        <v>1.0</v>
      </c>
      <c r="H267" s="17"/>
      <c r="I267" s="14">
        <v>12.0</v>
      </c>
    </row>
    <row r="268">
      <c r="A268" s="51" t="s">
        <v>41</v>
      </c>
      <c r="B268" s="9" t="s">
        <v>7</v>
      </c>
      <c r="C268" s="9" t="s">
        <v>401</v>
      </c>
      <c r="D268" s="11"/>
      <c r="E268" s="11" t="s">
        <v>431</v>
      </c>
      <c r="F268" s="11" t="s">
        <v>431</v>
      </c>
      <c r="G268" s="17">
        <v>1.0</v>
      </c>
      <c r="H268" s="17"/>
      <c r="I268" s="14">
        <v>1.0</v>
      </c>
    </row>
    <row r="269">
      <c r="A269" s="52" t="s">
        <v>42</v>
      </c>
      <c r="B269" s="9" t="s">
        <v>28</v>
      </c>
      <c r="C269" s="9" t="s">
        <v>412</v>
      </c>
      <c r="D269" s="11"/>
      <c r="E269" s="11" t="s">
        <v>431</v>
      </c>
      <c r="F269" s="11" t="s">
        <v>431</v>
      </c>
      <c r="G269" s="17">
        <v>1.0</v>
      </c>
      <c r="H269" s="17"/>
      <c r="I269" s="14">
        <v>9.0</v>
      </c>
    </row>
    <row r="270">
      <c r="A270" s="51" t="s">
        <v>58</v>
      </c>
      <c r="B270" s="9" t="s">
        <v>25</v>
      </c>
      <c r="C270" s="9" t="s">
        <v>83</v>
      </c>
      <c r="D270" s="11"/>
      <c r="E270" s="11" t="s">
        <v>431</v>
      </c>
      <c r="F270" s="11" t="s">
        <v>431</v>
      </c>
      <c r="G270" s="17">
        <v>2.0</v>
      </c>
      <c r="H270" s="17"/>
      <c r="I270" s="14">
        <v>4.0</v>
      </c>
    </row>
    <row r="271">
      <c r="A271" s="51" t="s">
        <v>59</v>
      </c>
      <c r="B271" s="9" t="s">
        <v>25</v>
      </c>
      <c r="C271" s="9" t="s">
        <v>83</v>
      </c>
      <c r="D271" s="11"/>
      <c r="E271" s="11" t="s">
        <v>431</v>
      </c>
      <c r="F271" s="11" t="s">
        <v>431</v>
      </c>
      <c r="G271" s="17">
        <v>2.0</v>
      </c>
      <c r="H271" s="17"/>
      <c r="I271" s="14">
        <v>4.0</v>
      </c>
    </row>
    <row r="272">
      <c r="A272" s="51" t="s">
        <v>70</v>
      </c>
      <c r="B272" s="9" t="s">
        <v>25</v>
      </c>
      <c r="C272" s="9" t="s">
        <v>83</v>
      </c>
      <c r="D272" s="11"/>
      <c r="E272" s="11" t="s">
        <v>431</v>
      </c>
      <c r="F272" s="11" t="s">
        <v>431</v>
      </c>
      <c r="G272" s="17">
        <v>2.0</v>
      </c>
      <c r="H272" s="17"/>
      <c r="I272" s="14">
        <v>5.0</v>
      </c>
    </row>
    <row r="273">
      <c r="A273" s="51" t="s">
        <v>61</v>
      </c>
      <c r="B273" s="9" t="s">
        <v>28</v>
      </c>
      <c r="C273" s="9" t="s">
        <v>48</v>
      </c>
      <c r="D273" s="11"/>
      <c r="E273" s="11" t="s">
        <v>431</v>
      </c>
      <c r="F273" s="11" t="s">
        <v>431</v>
      </c>
      <c r="G273" s="17">
        <v>2.0</v>
      </c>
      <c r="H273" s="17"/>
      <c r="I273" s="14">
        <v>6.0</v>
      </c>
    </row>
    <row r="274">
      <c r="A274" s="51" t="s">
        <v>62</v>
      </c>
      <c r="B274" s="9" t="s">
        <v>25</v>
      </c>
      <c r="C274" s="9" t="s">
        <v>121</v>
      </c>
      <c r="D274" s="11"/>
      <c r="E274" s="11" t="s">
        <v>431</v>
      </c>
      <c r="F274" s="11" t="s">
        <v>431</v>
      </c>
      <c r="G274" s="17">
        <v>2.0</v>
      </c>
      <c r="H274" s="17"/>
      <c r="I274" s="14">
        <v>6.0</v>
      </c>
    </row>
    <row r="275">
      <c r="A275" s="51" t="s">
        <v>63</v>
      </c>
      <c r="B275" s="9" t="s">
        <v>25</v>
      </c>
      <c r="C275" s="9" t="s">
        <v>83</v>
      </c>
      <c r="D275" s="11"/>
      <c r="E275" s="11" t="s">
        <v>431</v>
      </c>
      <c r="F275" s="11" t="s">
        <v>431</v>
      </c>
      <c r="G275" s="17">
        <v>2.0</v>
      </c>
      <c r="H275" s="17"/>
      <c r="I275" s="14">
        <v>6.0</v>
      </c>
    </row>
    <row r="276">
      <c r="A276" s="51" t="s">
        <v>69</v>
      </c>
      <c r="B276" s="9" t="s">
        <v>28</v>
      </c>
      <c r="C276" s="9" t="s">
        <v>184</v>
      </c>
      <c r="D276" s="11"/>
      <c r="E276" s="11" t="s">
        <v>431</v>
      </c>
      <c r="F276" s="11" t="s">
        <v>431</v>
      </c>
      <c r="G276" s="17">
        <v>2.0</v>
      </c>
      <c r="H276" s="17"/>
      <c r="I276" s="14">
        <v>10.0</v>
      </c>
    </row>
    <row r="277">
      <c r="A277" s="51" t="s">
        <v>74</v>
      </c>
      <c r="B277" s="9" t="s">
        <v>28</v>
      </c>
      <c r="C277" s="9" t="s">
        <v>184</v>
      </c>
      <c r="D277" s="11"/>
      <c r="E277" s="11" t="s">
        <v>431</v>
      </c>
      <c r="F277" s="11" t="s">
        <v>431</v>
      </c>
      <c r="G277" s="17">
        <v>2.0</v>
      </c>
      <c r="H277" s="17"/>
      <c r="I277" s="14">
        <v>12.0</v>
      </c>
    </row>
    <row r="278">
      <c r="A278" s="51" t="s">
        <v>90</v>
      </c>
      <c r="B278" s="9" t="s">
        <v>25</v>
      </c>
      <c r="C278" s="9" t="s">
        <v>83</v>
      </c>
      <c r="D278" s="11"/>
      <c r="E278" s="11" t="s">
        <v>431</v>
      </c>
      <c r="F278" s="11" t="s">
        <v>431</v>
      </c>
      <c r="G278" s="17">
        <v>3.0</v>
      </c>
      <c r="H278" s="17"/>
      <c r="I278" s="14">
        <v>7.0</v>
      </c>
    </row>
    <row r="279">
      <c r="A279" s="51" t="s">
        <v>91</v>
      </c>
      <c r="B279" s="9" t="s">
        <v>25</v>
      </c>
      <c r="C279" s="9" t="s">
        <v>371</v>
      </c>
      <c r="D279" s="11"/>
      <c r="E279" s="11" t="s">
        <v>431</v>
      </c>
      <c r="F279" s="11" t="s">
        <v>431</v>
      </c>
      <c r="G279" s="17">
        <v>3.0</v>
      </c>
      <c r="H279" s="17"/>
      <c r="I279" s="14">
        <v>7.0</v>
      </c>
    </row>
    <row r="280">
      <c r="A280" s="51" t="s">
        <v>92</v>
      </c>
      <c r="B280" s="9" t="s">
        <v>25</v>
      </c>
      <c r="C280" s="9" t="s">
        <v>83</v>
      </c>
      <c r="D280" s="11"/>
      <c r="E280" s="11" t="s">
        <v>431</v>
      </c>
      <c r="F280" s="11" t="s">
        <v>431</v>
      </c>
      <c r="G280" s="17">
        <v>3.0</v>
      </c>
      <c r="H280" s="17"/>
      <c r="I280" s="14">
        <v>7.0</v>
      </c>
    </row>
    <row r="281">
      <c r="A281" s="51" t="s">
        <v>93</v>
      </c>
      <c r="B281" s="9" t="s">
        <v>25</v>
      </c>
      <c r="C281" s="9" t="s">
        <v>83</v>
      </c>
      <c r="D281" s="11"/>
      <c r="E281" s="11" t="s">
        <v>431</v>
      </c>
      <c r="F281" s="11" t="s">
        <v>431</v>
      </c>
      <c r="G281" s="17">
        <v>3.0</v>
      </c>
      <c r="H281" s="17"/>
      <c r="I281" s="14">
        <v>8.0</v>
      </c>
    </row>
    <row r="282">
      <c r="A282" s="51" t="s">
        <v>100</v>
      </c>
      <c r="B282" s="9" t="s">
        <v>25</v>
      </c>
      <c r="C282" s="9" t="s">
        <v>83</v>
      </c>
      <c r="D282" s="11"/>
      <c r="E282" s="11" t="s">
        <v>431</v>
      </c>
      <c r="F282" s="11" t="s">
        <v>431</v>
      </c>
      <c r="G282" s="17">
        <v>3.0</v>
      </c>
      <c r="H282" s="17"/>
      <c r="I282" s="14">
        <v>8.0</v>
      </c>
    </row>
    <row r="283">
      <c r="A283" s="51" t="s">
        <v>101</v>
      </c>
      <c r="B283" s="9" t="s">
        <v>28</v>
      </c>
      <c r="C283" s="9" t="s">
        <v>184</v>
      </c>
      <c r="D283" s="11"/>
      <c r="E283" s="11" t="s">
        <v>431</v>
      </c>
      <c r="F283" s="11" t="s">
        <v>431</v>
      </c>
      <c r="G283" s="17">
        <v>3.0</v>
      </c>
      <c r="H283" s="17"/>
      <c r="I283" s="14">
        <v>11.0</v>
      </c>
    </row>
    <row r="284">
      <c r="A284" s="51" t="s">
        <v>102</v>
      </c>
      <c r="B284" s="9" t="s">
        <v>28</v>
      </c>
      <c r="C284" s="9" t="s">
        <v>184</v>
      </c>
      <c r="D284" s="11"/>
      <c r="E284" s="11" t="s">
        <v>431</v>
      </c>
      <c r="F284" s="11" t="s">
        <v>431</v>
      </c>
      <c r="G284" s="17">
        <v>3.0</v>
      </c>
      <c r="H284" s="17"/>
      <c r="I284" s="14">
        <v>11.0</v>
      </c>
    </row>
    <row r="285">
      <c r="A285" s="51" t="s">
        <v>115</v>
      </c>
      <c r="B285" s="9" t="s">
        <v>25</v>
      </c>
      <c r="C285" s="9" t="s">
        <v>83</v>
      </c>
      <c r="D285" s="11"/>
      <c r="E285" s="11" t="s">
        <v>431</v>
      </c>
      <c r="F285" s="11" t="s">
        <v>431</v>
      </c>
      <c r="G285" s="17">
        <v>4.0</v>
      </c>
      <c r="H285" s="17"/>
      <c r="I285" s="14">
        <v>9.0</v>
      </c>
    </row>
    <row r="286">
      <c r="A286" s="51" t="s">
        <v>116</v>
      </c>
      <c r="B286" s="9" t="s">
        <v>25</v>
      </c>
      <c r="C286" s="9" t="s">
        <v>83</v>
      </c>
      <c r="D286" s="11"/>
      <c r="E286" s="11" t="s">
        <v>431</v>
      </c>
      <c r="F286" s="11" t="s">
        <v>431</v>
      </c>
      <c r="G286" s="17">
        <v>4.0</v>
      </c>
      <c r="H286" s="17"/>
      <c r="I286" s="14">
        <v>9.0</v>
      </c>
    </row>
    <row r="287">
      <c r="A287" s="51" t="s">
        <v>117</v>
      </c>
      <c r="B287" s="9" t="s">
        <v>25</v>
      </c>
      <c r="C287" s="9" t="s">
        <v>83</v>
      </c>
      <c r="D287" s="11"/>
      <c r="E287" s="11" t="s">
        <v>431</v>
      </c>
      <c r="F287" s="11" t="s">
        <v>431</v>
      </c>
      <c r="G287" s="17">
        <v>4.0</v>
      </c>
      <c r="H287" s="17"/>
      <c r="I287" s="14">
        <v>10.0</v>
      </c>
    </row>
    <row r="288">
      <c r="A288" s="51" t="s">
        <v>146</v>
      </c>
      <c r="B288" s="9" t="s">
        <v>25</v>
      </c>
      <c r="C288" s="9" t="s">
        <v>83</v>
      </c>
      <c r="D288" s="11"/>
      <c r="E288" s="11" t="s">
        <v>431</v>
      </c>
      <c r="F288" s="11" t="s">
        <v>431</v>
      </c>
      <c r="G288" s="17">
        <v>5.0</v>
      </c>
      <c r="H288" s="17"/>
      <c r="I288" s="14">
        <v>10.0</v>
      </c>
    </row>
    <row r="289">
      <c r="A289" s="51" t="s">
        <v>147</v>
      </c>
      <c r="B289" s="9" t="s">
        <v>25</v>
      </c>
      <c r="C289" s="9" t="s">
        <v>83</v>
      </c>
      <c r="D289" s="11"/>
      <c r="E289" s="11" t="s">
        <v>431</v>
      </c>
      <c r="F289" s="11" t="s">
        <v>431</v>
      </c>
      <c r="G289" s="17">
        <v>5.0</v>
      </c>
      <c r="H289" s="17"/>
      <c r="I289" s="14">
        <v>11.0</v>
      </c>
    </row>
    <row r="290">
      <c r="A290" s="51" t="s">
        <v>162</v>
      </c>
      <c r="B290" s="9" t="s">
        <v>25</v>
      </c>
      <c r="C290" s="9" t="s">
        <v>83</v>
      </c>
      <c r="D290" s="11"/>
      <c r="E290" s="11" t="s">
        <v>431</v>
      </c>
      <c r="F290" s="11" t="s">
        <v>431</v>
      </c>
      <c r="G290" s="17">
        <v>5.0</v>
      </c>
      <c r="H290" s="17"/>
      <c r="I290" s="14">
        <v>11.0</v>
      </c>
    </row>
    <row r="291">
      <c r="A291" s="51" t="s">
        <v>163</v>
      </c>
      <c r="B291" s="9" t="s">
        <v>25</v>
      </c>
      <c r="C291" s="9" t="s">
        <v>83</v>
      </c>
      <c r="D291" s="11"/>
      <c r="E291" s="11" t="s">
        <v>431</v>
      </c>
      <c r="F291" s="11" t="s">
        <v>431</v>
      </c>
      <c r="G291" s="17">
        <v>5.0</v>
      </c>
      <c r="H291" s="17"/>
      <c r="I291" s="14">
        <v>12.0</v>
      </c>
    </row>
    <row r="292">
      <c r="A292" s="51" t="s">
        <v>165</v>
      </c>
      <c r="B292" s="9" t="s">
        <v>7</v>
      </c>
      <c r="C292" s="9" t="s">
        <v>401</v>
      </c>
      <c r="D292" s="11"/>
      <c r="E292" s="11" t="s">
        <v>431</v>
      </c>
      <c r="F292" s="11" t="s">
        <v>431</v>
      </c>
      <c r="G292" s="17">
        <v>5.0</v>
      </c>
      <c r="H292" s="17"/>
      <c r="I292" s="14">
        <v>2.0</v>
      </c>
    </row>
    <row r="293">
      <c r="A293" s="51" t="s">
        <v>171</v>
      </c>
      <c r="B293" s="9" t="s">
        <v>28</v>
      </c>
      <c r="C293" s="9" t="s">
        <v>184</v>
      </c>
      <c r="D293" s="11"/>
      <c r="E293" s="11" t="s">
        <v>431</v>
      </c>
      <c r="F293" s="11" t="s">
        <v>431</v>
      </c>
      <c r="G293" s="17">
        <v>5.0</v>
      </c>
      <c r="H293" s="17"/>
      <c r="I293" s="14">
        <v>5.0</v>
      </c>
    </row>
    <row r="294">
      <c r="A294" s="51" t="s">
        <v>174</v>
      </c>
      <c r="B294" s="9" t="s">
        <v>25</v>
      </c>
      <c r="C294" s="9" t="s">
        <v>83</v>
      </c>
      <c r="D294" s="11"/>
      <c r="E294" s="11" t="s">
        <v>431</v>
      </c>
      <c r="F294" s="11" t="s">
        <v>431</v>
      </c>
      <c r="G294" s="17">
        <v>6.0</v>
      </c>
      <c r="H294" s="17"/>
      <c r="I294" s="14">
        <v>1.0</v>
      </c>
    </row>
    <row r="295">
      <c r="A295" s="51" t="s">
        <v>179</v>
      </c>
      <c r="B295" s="9" t="s">
        <v>5</v>
      </c>
      <c r="C295" s="9" t="s">
        <v>184</v>
      </c>
      <c r="D295" s="11"/>
      <c r="E295" s="11" t="s">
        <v>431</v>
      </c>
      <c r="F295" s="11" t="s">
        <v>431</v>
      </c>
      <c r="G295" s="17">
        <v>6.0</v>
      </c>
      <c r="H295" s="17"/>
      <c r="I295" s="14">
        <v>8.0</v>
      </c>
    </row>
    <row r="296">
      <c r="A296" s="51" t="s">
        <v>182</v>
      </c>
      <c r="B296" s="9" t="s">
        <v>25</v>
      </c>
      <c r="C296" s="9" t="s">
        <v>83</v>
      </c>
      <c r="D296" s="11"/>
      <c r="E296" s="11" t="s">
        <v>431</v>
      </c>
      <c r="F296" s="11" t="s">
        <v>431</v>
      </c>
      <c r="G296" s="17">
        <v>6.0</v>
      </c>
      <c r="H296" s="17"/>
      <c r="I296" s="14">
        <v>7.0</v>
      </c>
    </row>
    <row r="297">
      <c r="A297" s="51" t="s">
        <v>183</v>
      </c>
      <c r="B297" s="9" t="s">
        <v>25</v>
      </c>
      <c r="C297" s="9" t="s">
        <v>83</v>
      </c>
      <c r="D297" s="11"/>
      <c r="E297" s="11" t="s">
        <v>431</v>
      </c>
      <c r="F297" s="11" t="s">
        <v>431</v>
      </c>
      <c r="G297" s="17">
        <v>6.0</v>
      </c>
      <c r="H297" s="17"/>
      <c r="I297" s="14">
        <v>5.0</v>
      </c>
    </row>
    <row r="298">
      <c r="A298" s="51" t="s">
        <v>185</v>
      </c>
      <c r="B298" s="9" t="s">
        <v>25</v>
      </c>
      <c r="C298" s="9" t="s">
        <v>83</v>
      </c>
      <c r="D298" s="11"/>
      <c r="E298" s="11" t="s">
        <v>431</v>
      </c>
      <c r="F298" s="11" t="s">
        <v>431</v>
      </c>
      <c r="G298" s="17">
        <v>6.0</v>
      </c>
      <c r="H298" s="17"/>
      <c r="I298" s="14">
        <v>6.0</v>
      </c>
    </row>
    <row r="299">
      <c r="A299" s="51" t="s">
        <v>198</v>
      </c>
      <c r="B299" s="9" t="s">
        <v>28</v>
      </c>
      <c r="C299" s="9" t="s">
        <v>184</v>
      </c>
      <c r="D299" s="11"/>
      <c r="E299" s="11" t="s">
        <v>431</v>
      </c>
      <c r="F299" s="11" t="s">
        <v>431</v>
      </c>
      <c r="G299" s="17">
        <v>6.0</v>
      </c>
      <c r="H299" s="17"/>
      <c r="I299" s="14">
        <v>8.0</v>
      </c>
    </row>
    <row r="300">
      <c r="A300" s="51" t="s">
        <v>199</v>
      </c>
      <c r="B300" s="9" t="s">
        <v>28</v>
      </c>
      <c r="C300" s="9" t="s">
        <v>184</v>
      </c>
      <c r="D300" s="11"/>
      <c r="E300" s="11" t="s">
        <v>431</v>
      </c>
      <c r="F300" s="11" t="s">
        <v>431</v>
      </c>
      <c r="G300" s="17">
        <v>6.0</v>
      </c>
      <c r="H300" s="17"/>
      <c r="I300" s="14">
        <v>7.0</v>
      </c>
    </row>
    <row r="301">
      <c r="A301" s="51" t="s">
        <v>208</v>
      </c>
      <c r="B301" s="9" t="s">
        <v>39</v>
      </c>
      <c r="C301" s="9" t="s">
        <v>184</v>
      </c>
      <c r="D301" s="11"/>
      <c r="E301" s="11" t="s">
        <v>431</v>
      </c>
      <c r="F301" s="11" t="s">
        <v>431</v>
      </c>
      <c r="G301" s="17">
        <v>7.0</v>
      </c>
      <c r="H301" s="17"/>
      <c r="I301" s="14">
        <v>9.0</v>
      </c>
    </row>
    <row r="302">
      <c r="A302" s="51" t="s">
        <v>233</v>
      </c>
      <c r="B302" s="9" t="s">
        <v>28</v>
      </c>
      <c r="C302" s="9" t="s">
        <v>184</v>
      </c>
      <c r="D302" s="11"/>
      <c r="E302" s="11" t="s">
        <v>431</v>
      </c>
      <c r="F302" s="11" t="s">
        <v>431</v>
      </c>
      <c r="G302" s="17">
        <v>7.0</v>
      </c>
      <c r="H302" s="17"/>
      <c r="I302" s="14">
        <v>10.0</v>
      </c>
    </row>
    <row r="303">
      <c r="A303" s="51" t="s">
        <v>235</v>
      </c>
      <c r="B303" s="9" t="s">
        <v>28</v>
      </c>
      <c r="C303" s="9" t="s">
        <v>184</v>
      </c>
      <c r="D303" s="11"/>
      <c r="E303" s="11" t="s">
        <v>431</v>
      </c>
      <c r="F303" s="11" t="s">
        <v>431</v>
      </c>
      <c r="G303" s="17">
        <v>7.0</v>
      </c>
      <c r="H303" s="17"/>
      <c r="I303" s="14">
        <v>12.0</v>
      </c>
    </row>
    <row r="304">
      <c r="A304" s="51" t="s">
        <v>237</v>
      </c>
      <c r="B304" s="9" t="s">
        <v>28</v>
      </c>
      <c r="C304" s="9" t="s">
        <v>184</v>
      </c>
      <c r="D304" s="11"/>
      <c r="E304" s="11" t="s">
        <v>431</v>
      </c>
      <c r="F304" s="11" t="s">
        <v>431</v>
      </c>
      <c r="G304" s="17">
        <v>7.0</v>
      </c>
      <c r="H304" s="17"/>
      <c r="I304" s="14">
        <v>1.0</v>
      </c>
    </row>
    <row r="305">
      <c r="A305" s="51" t="s">
        <v>238</v>
      </c>
      <c r="B305" s="9" t="s">
        <v>25</v>
      </c>
      <c r="C305" s="9" t="s">
        <v>121</v>
      </c>
      <c r="D305" s="11"/>
      <c r="E305" s="11" t="s">
        <v>431</v>
      </c>
      <c r="F305" s="11" t="s">
        <v>431</v>
      </c>
      <c r="G305" s="17">
        <v>8.0</v>
      </c>
      <c r="H305" s="17"/>
      <c r="I305" s="14">
        <v>2.0</v>
      </c>
    </row>
    <row r="306">
      <c r="A306" s="51" t="s">
        <v>245</v>
      </c>
      <c r="B306" s="9" t="s">
        <v>39</v>
      </c>
      <c r="C306" s="9" t="s">
        <v>184</v>
      </c>
      <c r="D306" s="11"/>
      <c r="E306" s="11" t="s">
        <v>431</v>
      </c>
      <c r="F306" s="11" t="s">
        <v>431</v>
      </c>
      <c r="G306" s="17">
        <v>8.0</v>
      </c>
      <c r="H306" s="17"/>
      <c r="I306" s="14">
        <v>8.0</v>
      </c>
    </row>
    <row r="307">
      <c r="A307" s="51" t="s">
        <v>248</v>
      </c>
      <c r="B307" s="9" t="s">
        <v>25</v>
      </c>
      <c r="C307" s="9" t="s">
        <v>83</v>
      </c>
      <c r="D307" s="11"/>
      <c r="E307" s="11" t="s">
        <v>431</v>
      </c>
      <c r="F307" s="11" t="s">
        <v>431</v>
      </c>
      <c r="G307" s="17">
        <v>8.0</v>
      </c>
      <c r="H307" s="17"/>
      <c r="I307" s="14">
        <v>2.0</v>
      </c>
    </row>
    <row r="308">
      <c r="A308" s="51" t="s">
        <v>249</v>
      </c>
      <c r="B308" s="9" t="s">
        <v>25</v>
      </c>
      <c r="C308" s="9" t="s">
        <v>83</v>
      </c>
      <c r="D308" s="11"/>
      <c r="E308" s="11" t="s">
        <v>431</v>
      </c>
      <c r="F308" s="11" t="s">
        <v>431</v>
      </c>
      <c r="G308" s="17">
        <v>8.0</v>
      </c>
      <c r="H308" s="17"/>
      <c r="I308" s="14">
        <v>2.0</v>
      </c>
    </row>
    <row r="309">
      <c r="A309" s="51" t="s">
        <v>267</v>
      </c>
      <c r="B309" s="9" t="s">
        <v>28</v>
      </c>
      <c r="C309" s="9" t="s">
        <v>184</v>
      </c>
      <c r="D309" s="11"/>
      <c r="E309" s="11" t="s">
        <v>431</v>
      </c>
      <c r="F309" s="11" t="s">
        <v>431</v>
      </c>
      <c r="G309" s="17">
        <v>8.0</v>
      </c>
      <c r="H309" s="17"/>
      <c r="I309" s="14">
        <v>3.0</v>
      </c>
    </row>
    <row r="310">
      <c r="A310" s="51" t="s">
        <v>268</v>
      </c>
      <c r="B310" s="9" t="s">
        <v>28</v>
      </c>
      <c r="C310" s="9" t="s">
        <v>184</v>
      </c>
      <c r="D310" s="11"/>
      <c r="E310" s="11" t="s">
        <v>431</v>
      </c>
      <c r="F310" s="11" t="s">
        <v>431</v>
      </c>
      <c r="G310" s="17">
        <v>8.0</v>
      </c>
      <c r="H310" s="17"/>
      <c r="I310" s="14">
        <v>12.0</v>
      </c>
    </row>
    <row r="311">
      <c r="A311" s="51" t="s">
        <v>269</v>
      </c>
      <c r="B311" s="9" t="s">
        <v>28</v>
      </c>
      <c r="C311" s="9" t="s">
        <v>184</v>
      </c>
      <c r="D311" s="11"/>
      <c r="E311" s="11" t="s">
        <v>431</v>
      </c>
      <c r="F311" s="11" t="s">
        <v>431</v>
      </c>
      <c r="G311" s="17">
        <v>8.0</v>
      </c>
      <c r="H311" s="17"/>
      <c r="I311" s="14">
        <v>12.0</v>
      </c>
    </row>
    <row r="312">
      <c r="A312" s="51" t="s">
        <v>274</v>
      </c>
      <c r="B312" s="9" t="s">
        <v>25</v>
      </c>
      <c r="C312" s="9" t="s">
        <v>121</v>
      </c>
      <c r="D312" s="11"/>
      <c r="E312" s="11" t="s">
        <v>431</v>
      </c>
      <c r="F312" s="11" t="s">
        <v>431</v>
      </c>
      <c r="G312" s="17">
        <v>9.0</v>
      </c>
      <c r="H312" s="17"/>
      <c r="I312" s="14">
        <v>4.0</v>
      </c>
    </row>
    <row r="313">
      <c r="A313" s="51" t="s">
        <v>275</v>
      </c>
      <c r="B313" s="9" t="s">
        <v>25</v>
      </c>
      <c r="C313" s="9" t="s">
        <v>121</v>
      </c>
      <c r="D313" s="11"/>
      <c r="E313" s="11" t="s">
        <v>431</v>
      </c>
      <c r="F313" s="11" t="s">
        <v>431</v>
      </c>
      <c r="G313" s="17">
        <v>9.0</v>
      </c>
      <c r="H313" s="17"/>
      <c r="I313" s="14">
        <v>1.0</v>
      </c>
    </row>
    <row r="314">
      <c r="A314" s="51" t="s">
        <v>281</v>
      </c>
      <c r="B314" s="9" t="s">
        <v>5</v>
      </c>
      <c r="C314" s="9" t="s">
        <v>184</v>
      </c>
      <c r="D314" s="11"/>
      <c r="E314" s="11" t="s">
        <v>431</v>
      </c>
      <c r="F314" s="11" t="s">
        <v>431</v>
      </c>
      <c r="G314" s="17">
        <v>9.0</v>
      </c>
      <c r="H314" s="17"/>
      <c r="I314" s="14">
        <v>6.0</v>
      </c>
    </row>
    <row r="315">
      <c r="A315" s="51" t="s">
        <v>283</v>
      </c>
      <c r="B315" s="9" t="s">
        <v>39</v>
      </c>
      <c r="C315" s="9" t="s">
        <v>184</v>
      </c>
      <c r="D315" s="11"/>
      <c r="E315" s="11" t="s">
        <v>431</v>
      </c>
      <c r="F315" s="11" t="s">
        <v>431</v>
      </c>
      <c r="G315" s="17">
        <v>9.0</v>
      </c>
      <c r="H315" s="17"/>
      <c r="I315" s="14">
        <v>11.0</v>
      </c>
    </row>
    <row r="316">
      <c r="A316" s="51" t="s">
        <v>305</v>
      </c>
      <c r="B316" s="9" t="s">
        <v>25</v>
      </c>
      <c r="C316" s="9" t="s">
        <v>371</v>
      </c>
      <c r="D316" s="11"/>
      <c r="E316" s="11" t="s">
        <v>431</v>
      </c>
      <c r="F316" s="11" t="s">
        <v>431</v>
      </c>
      <c r="G316" s="17">
        <v>10.0</v>
      </c>
      <c r="H316" s="17"/>
      <c r="I316" s="14">
        <v>10.0</v>
      </c>
    </row>
    <row r="317">
      <c r="A317" s="51" t="s">
        <v>306</v>
      </c>
      <c r="B317" s="9" t="s">
        <v>25</v>
      </c>
      <c r="C317" s="9" t="s">
        <v>121</v>
      </c>
      <c r="D317" s="11"/>
      <c r="E317" s="11" t="s">
        <v>431</v>
      </c>
      <c r="F317" s="11" t="s">
        <v>431</v>
      </c>
      <c r="G317" s="17">
        <v>10.0</v>
      </c>
      <c r="H317" s="17"/>
      <c r="I317" s="14">
        <v>9.0</v>
      </c>
    </row>
    <row r="318">
      <c r="A318" s="51" t="s">
        <v>308</v>
      </c>
      <c r="B318" s="9" t="s">
        <v>32</v>
      </c>
      <c r="C318" s="9" t="s">
        <v>184</v>
      </c>
      <c r="D318" s="11"/>
      <c r="E318" s="11" t="s">
        <v>431</v>
      </c>
      <c r="F318" s="11" t="s">
        <v>431</v>
      </c>
      <c r="G318" s="17">
        <v>10.0</v>
      </c>
      <c r="H318" s="17"/>
      <c r="I318" s="14">
        <v>11.0</v>
      </c>
    </row>
    <row r="319">
      <c r="A319" s="51" t="s">
        <v>314</v>
      </c>
      <c r="B319" s="9" t="s">
        <v>39</v>
      </c>
      <c r="C319" s="9" t="s">
        <v>184</v>
      </c>
      <c r="D319" s="11"/>
      <c r="E319" s="11" t="s">
        <v>431</v>
      </c>
      <c r="F319" s="11" t="s">
        <v>431</v>
      </c>
      <c r="G319" s="17">
        <v>10.0</v>
      </c>
      <c r="H319" s="17"/>
      <c r="I319" s="14">
        <v>4.0</v>
      </c>
    </row>
    <row r="320">
      <c r="A320" s="51" t="s">
        <v>316</v>
      </c>
      <c r="B320" s="9" t="s">
        <v>39</v>
      </c>
      <c r="C320" s="9" t="s">
        <v>184</v>
      </c>
      <c r="D320" s="11"/>
      <c r="E320" s="11" t="s">
        <v>431</v>
      </c>
      <c r="F320" s="11" t="s">
        <v>431</v>
      </c>
      <c r="G320" s="17">
        <v>10.0</v>
      </c>
      <c r="H320" s="17"/>
      <c r="I320" s="14">
        <v>3.0</v>
      </c>
    </row>
    <row r="321">
      <c r="A321" s="51" t="s">
        <v>342</v>
      </c>
      <c r="B321" s="9" t="s">
        <v>7</v>
      </c>
      <c r="C321" s="9" t="s">
        <v>184</v>
      </c>
      <c r="D321" s="11"/>
      <c r="E321" s="11" t="s">
        <v>431</v>
      </c>
      <c r="F321" s="11" t="s">
        <v>431</v>
      </c>
      <c r="G321" s="17">
        <v>10.0</v>
      </c>
      <c r="H321" s="17"/>
      <c r="I321" s="14">
        <v>5.0</v>
      </c>
    </row>
    <row r="322">
      <c r="A322" s="51" t="s">
        <v>344</v>
      </c>
      <c r="B322" s="9" t="s">
        <v>25</v>
      </c>
      <c r="C322" s="9" t="s">
        <v>83</v>
      </c>
      <c r="D322" s="11"/>
      <c r="E322" s="11" t="s">
        <v>431</v>
      </c>
      <c r="F322" s="11" t="s">
        <v>431</v>
      </c>
      <c r="G322" s="17">
        <v>11.0</v>
      </c>
      <c r="H322" s="17"/>
      <c r="I322" s="14">
        <v>2.0</v>
      </c>
    </row>
    <row r="323">
      <c r="A323" s="51" t="s">
        <v>345</v>
      </c>
      <c r="B323" s="9" t="s">
        <v>25</v>
      </c>
      <c r="C323" s="9" t="s">
        <v>121</v>
      </c>
      <c r="D323" s="11"/>
      <c r="E323" s="11" t="s">
        <v>431</v>
      </c>
      <c r="F323" s="11" t="s">
        <v>431</v>
      </c>
      <c r="G323" s="17">
        <v>11.0</v>
      </c>
      <c r="H323" s="17"/>
      <c r="I323" s="14">
        <v>8.0</v>
      </c>
    </row>
    <row r="324">
      <c r="A324" s="51" t="s">
        <v>346</v>
      </c>
      <c r="B324" s="9" t="s">
        <v>25</v>
      </c>
      <c r="C324" s="9" t="s">
        <v>121</v>
      </c>
      <c r="D324" s="11"/>
      <c r="E324" s="11" t="s">
        <v>431</v>
      </c>
      <c r="F324" s="11" t="s">
        <v>431</v>
      </c>
      <c r="G324" s="17">
        <v>11.0</v>
      </c>
      <c r="H324" s="17"/>
      <c r="I324" s="14">
        <v>11.0</v>
      </c>
    </row>
    <row r="325">
      <c r="A325" s="51" t="s">
        <v>347</v>
      </c>
      <c r="B325" s="9" t="s">
        <v>32</v>
      </c>
      <c r="C325" s="9" t="s">
        <v>184</v>
      </c>
      <c r="D325" s="11"/>
      <c r="E325" s="11" t="s">
        <v>431</v>
      </c>
      <c r="F325" s="11" t="s">
        <v>431</v>
      </c>
      <c r="G325" s="17">
        <v>11.0</v>
      </c>
      <c r="H325" s="17"/>
      <c r="I325" s="14">
        <v>9.0</v>
      </c>
    </row>
    <row r="326">
      <c r="A326" s="51" t="s">
        <v>351</v>
      </c>
      <c r="B326" s="9" t="s">
        <v>39</v>
      </c>
      <c r="C326" s="9" t="s">
        <v>473</v>
      </c>
      <c r="D326" s="11"/>
      <c r="E326" s="11" t="s">
        <v>431</v>
      </c>
      <c r="F326" s="11" t="s">
        <v>431</v>
      </c>
      <c r="G326" s="17">
        <v>11.0</v>
      </c>
      <c r="H326" s="17"/>
      <c r="I326" s="14">
        <v>10.0</v>
      </c>
    </row>
    <row r="327">
      <c r="A327" s="51" t="s">
        <v>354</v>
      </c>
      <c r="B327" s="9" t="s">
        <v>28</v>
      </c>
      <c r="C327" s="9" t="s">
        <v>184</v>
      </c>
      <c r="D327" s="11"/>
      <c r="E327" s="11" t="s">
        <v>431</v>
      </c>
      <c r="F327" s="11" t="s">
        <v>431</v>
      </c>
      <c r="G327" s="17">
        <v>11.0</v>
      </c>
      <c r="H327" s="17"/>
      <c r="I327" s="14">
        <v>1.0</v>
      </c>
    </row>
    <row r="328">
      <c r="A328" s="51" t="s">
        <v>367</v>
      </c>
      <c r="B328" s="9" t="s">
        <v>7</v>
      </c>
      <c r="C328" s="9" t="s">
        <v>495</v>
      </c>
      <c r="D328" s="11"/>
      <c r="E328" s="11" t="s">
        <v>431</v>
      </c>
      <c r="F328" s="11" t="s">
        <v>431</v>
      </c>
      <c r="G328" s="17">
        <v>11.0</v>
      </c>
      <c r="H328" s="17"/>
      <c r="I328" s="14">
        <v>5.0</v>
      </c>
    </row>
    <row r="329">
      <c r="A329" s="51" t="s">
        <v>377</v>
      </c>
      <c r="B329" s="9" t="s">
        <v>25</v>
      </c>
      <c r="C329" s="9" t="s">
        <v>121</v>
      </c>
      <c r="D329" s="11"/>
      <c r="E329" s="11" t="s">
        <v>431</v>
      </c>
      <c r="F329" s="11" t="s">
        <v>431</v>
      </c>
      <c r="G329" s="17">
        <v>12.0</v>
      </c>
      <c r="H329" s="17"/>
      <c r="I329" s="14">
        <v>3.0</v>
      </c>
    </row>
    <row r="330">
      <c r="A330" s="51" t="s">
        <v>382</v>
      </c>
      <c r="B330" s="9" t="s">
        <v>32</v>
      </c>
      <c r="C330" s="9" t="s">
        <v>184</v>
      </c>
      <c r="D330" s="11"/>
      <c r="E330" s="11" t="s">
        <v>431</v>
      </c>
      <c r="F330" s="11" t="s">
        <v>431</v>
      </c>
      <c r="G330" s="17">
        <v>12.0</v>
      </c>
      <c r="H330" s="17"/>
      <c r="I330" s="14">
        <v>4.0</v>
      </c>
    </row>
    <row r="331">
      <c r="A331" s="51" t="s">
        <v>386</v>
      </c>
      <c r="B331" s="9" t="s">
        <v>39</v>
      </c>
      <c r="C331" s="9" t="s">
        <v>473</v>
      </c>
      <c r="D331" s="11"/>
      <c r="E331" s="11" t="s">
        <v>431</v>
      </c>
      <c r="F331" s="11" t="s">
        <v>431</v>
      </c>
      <c r="G331" s="17">
        <v>12.0</v>
      </c>
      <c r="H331" s="17"/>
      <c r="I331" s="14">
        <v>12.0</v>
      </c>
    </row>
    <row r="332">
      <c r="A332" s="51" t="s">
        <v>387</v>
      </c>
      <c r="B332" s="9" t="s">
        <v>25</v>
      </c>
      <c r="C332" s="9" t="s">
        <v>83</v>
      </c>
      <c r="D332" s="11"/>
      <c r="E332" s="11" t="s">
        <v>431</v>
      </c>
      <c r="F332" s="11" t="s">
        <v>431</v>
      </c>
      <c r="G332" s="17">
        <v>12.0</v>
      </c>
      <c r="H332" s="17"/>
      <c r="I332" s="14">
        <v>6.0</v>
      </c>
    </row>
    <row r="333">
      <c r="A333" s="23" t="s">
        <v>513</v>
      </c>
      <c r="B333" s="9" t="s">
        <v>7</v>
      </c>
      <c r="C333" s="23" t="s">
        <v>184</v>
      </c>
      <c r="D333" s="11"/>
      <c r="E333" s="11"/>
      <c r="F333" s="11"/>
      <c r="G333" s="11"/>
      <c r="H333" s="11"/>
      <c r="I333" s="12">
        <v>10.0</v>
      </c>
    </row>
    <row r="334">
      <c r="A334" s="23" t="s">
        <v>514</v>
      </c>
      <c r="B334" s="23" t="s">
        <v>28</v>
      </c>
      <c r="C334" s="23" t="s">
        <v>184</v>
      </c>
      <c r="I334" s="12">
        <v>1.0</v>
      </c>
    </row>
    <row r="335">
      <c r="D335" s="11"/>
      <c r="E335" s="11"/>
      <c r="F335" s="11"/>
      <c r="G335" s="11"/>
      <c r="H335" s="11"/>
    </row>
    <row r="336">
      <c r="D336" s="11"/>
      <c r="E336" s="11"/>
      <c r="F336" s="11"/>
      <c r="G336" s="11"/>
      <c r="H336" s="11"/>
    </row>
    <row r="337">
      <c r="D337" s="11"/>
      <c r="E337" s="11"/>
      <c r="F337" s="11"/>
      <c r="G337" s="11"/>
      <c r="H337" s="11"/>
    </row>
    <row r="338">
      <c r="D338" s="11"/>
      <c r="E338" s="11"/>
      <c r="F338" s="11"/>
      <c r="G338" s="11"/>
      <c r="H338" s="11"/>
    </row>
    <row r="339">
      <c r="D339" s="11"/>
      <c r="E339" s="11"/>
      <c r="F339" s="11"/>
      <c r="G339" s="11"/>
      <c r="H339" s="11"/>
    </row>
    <row r="340">
      <c r="D340" s="11"/>
      <c r="E340" s="11"/>
      <c r="F340" s="11"/>
      <c r="G340" s="11"/>
      <c r="H340" s="11"/>
    </row>
    <row r="341">
      <c r="D341" s="11"/>
      <c r="E341" s="11"/>
      <c r="F341" s="11"/>
      <c r="G341" s="11"/>
      <c r="H341" s="11"/>
    </row>
    <row r="342">
      <c r="D342" s="11"/>
      <c r="E342" s="11"/>
      <c r="F342" s="11"/>
      <c r="G342" s="11"/>
      <c r="H342" s="11"/>
    </row>
    <row r="343">
      <c r="D343" s="11"/>
      <c r="E343" s="11"/>
      <c r="F343" s="11"/>
      <c r="G343" s="11"/>
      <c r="H343" s="11"/>
    </row>
    <row r="344">
      <c r="D344" s="11"/>
      <c r="E344" s="11"/>
      <c r="F344" s="11"/>
      <c r="G344" s="11"/>
      <c r="H344" s="11"/>
    </row>
    <row r="345">
      <c r="D345" s="11"/>
      <c r="E345" s="11"/>
      <c r="F345" s="11"/>
      <c r="G345" s="11"/>
      <c r="H345" s="11"/>
    </row>
    <row r="346">
      <c r="D346" s="11"/>
      <c r="E346" s="11"/>
      <c r="F346" s="11"/>
      <c r="G346" s="11"/>
      <c r="H346" s="11"/>
    </row>
    <row r="347">
      <c r="D347" s="11"/>
      <c r="E347" s="11"/>
      <c r="F347" s="11"/>
      <c r="G347" s="11"/>
      <c r="H347" s="11"/>
    </row>
    <row r="348">
      <c r="D348" s="11"/>
      <c r="E348" s="11"/>
      <c r="F348" s="11"/>
      <c r="G348" s="11"/>
      <c r="H348" s="11"/>
    </row>
    <row r="349">
      <c r="D349" s="11"/>
      <c r="E349" s="11"/>
      <c r="F349" s="11"/>
      <c r="G349" s="11"/>
      <c r="H349" s="11"/>
    </row>
    <row r="350">
      <c r="D350" s="11"/>
      <c r="E350" s="11"/>
      <c r="F350" s="11"/>
      <c r="G350" s="11"/>
      <c r="H350" s="11"/>
    </row>
    <row r="351">
      <c r="D351" s="11"/>
      <c r="E351" s="11"/>
      <c r="F351" s="11"/>
      <c r="G351" s="11"/>
      <c r="H351" s="11"/>
    </row>
    <row r="352">
      <c r="D352" s="11"/>
      <c r="E352" s="11"/>
      <c r="F352" s="11"/>
      <c r="G352" s="11"/>
      <c r="H352" s="11"/>
    </row>
    <row r="353">
      <c r="D353" s="11"/>
      <c r="E353" s="11"/>
      <c r="F353" s="11"/>
      <c r="G353" s="11"/>
      <c r="H353" s="11"/>
    </row>
    <row r="354">
      <c r="D354" s="11"/>
      <c r="E354" s="11"/>
      <c r="F354" s="11"/>
      <c r="G354" s="11"/>
      <c r="H354" s="11"/>
    </row>
    <row r="355">
      <c r="D355" s="11"/>
      <c r="E355" s="11"/>
      <c r="F355" s="11"/>
      <c r="G355" s="11"/>
      <c r="H355" s="11"/>
    </row>
    <row r="356">
      <c r="D356" s="11"/>
      <c r="E356" s="11"/>
      <c r="F356" s="11"/>
      <c r="G356" s="11"/>
      <c r="H356" s="11"/>
    </row>
    <row r="357">
      <c r="D357" s="11"/>
      <c r="E357" s="11"/>
      <c r="F357" s="11"/>
      <c r="G357" s="11"/>
      <c r="H357" s="11"/>
    </row>
    <row r="358">
      <c r="D358" s="11"/>
      <c r="E358" s="11"/>
      <c r="F358" s="11"/>
      <c r="G358" s="11"/>
      <c r="H358" s="11"/>
    </row>
    <row r="359">
      <c r="D359" s="11"/>
      <c r="E359" s="11"/>
      <c r="F359" s="11"/>
      <c r="G359" s="11"/>
      <c r="H359" s="11"/>
    </row>
    <row r="360">
      <c r="D360" s="11"/>
      <c r="E360" s="11"/>
      <c r="F360" s="11"/>
      <c r="G360" s="11"/>
      <c r="H360" s="11"/>
    </row>
    <row r="361">
      <c r="D361" s="11"/>
      <c r="E361" s="11"/>
      <c r="F361" s="11"/>
      <c r="G361" s="11"/>
      <c r="H361" s="11"/>
    </row>
    <row r="362">
      <c r="D362" s="11"/>
      <c r="E362" s="11"/>
      <c r="F362" s="11"/>
      <c r="G362" s="11"/>
      <c r="H362" s="11"/>
    </row>
    <row r="363">
      <c r="D363" s="11"/>
      <c r="E363" s="11"/>
      <c r="F363" s="11"/>
      <c r="G363" s="11"/>
      <c r="H363" s="11"/>
    </row>
    <row r="364">
      <c r="D364" s="11"/>
      <c r="E364" s="11"/>
      <c r="F364" s="11"/>
      <c r="G364" s="11"/>
      <c r="H364" s="11"/>
    </row>
    <row r="365">
      <c r="D365" s="11"/>
      <c r="E365" s="11"/>
      <c r="F365" s="11"/>
      <c r="G365" s="11"/>
      <c r="H365" s="11"/>
    </row>
    <row r="366">
      <c r="D366" s="11"/>
      <c r="E366" s="11"/>
      <c r="F366" s="11"/>
      <c r="G366" s="11"/>
      <c r="H366" s="11"/>
    </row>
    <row r="367">
      <c r="D367" s="11"/>
      <c r="E367" s="11"/>
      <c r="F367" s="11"/>
      <c r="G367" s="11"/>
      <c r="H367" s="11"/>
    </row>
    <row r="368">
      <c r="D368" s="11"/>
      <c r="E368" s="11"/>
      <c r="F368" s="11"/>
      <c r="G368" s="11"/>
      <c r="H368" s="11"/>
    </row>
    <row r="369">
      <c r="D369" s="11"/>
      <c r="E369" s="11"/>
      <c r="F369" s="11"/>
      <c r="G369" s="11"/>
      <c r="H369" s="11"/>
    </row>
    <row r="370">
      <c r="D370" s="11"/>
      <c r="E370" s="11"/>
      <c r="F370" s="11"/>
      <c r="G370" s="11"/>
      <c r="H370" s="11"/>
    </row>
    <row r="371">
      <c r="D371" s="11"/>
      <c r="E371" s="11"/>
      <c r="F371" s="11"/>
      <c r="G371" s="11"/>
      <c r="H371" s="11"/>
    </row>
    <row r="372">
      <c r="D372" s="11"/>
      <c r="E372" s="11"/>
      <c r="F372" s="11"/>
      <c r="G372" s="11"/>
      <c r="H372" s="11"/>
    </row>
    <row r="373">
      <c r="D373" s="11"/>
      <c r="E373" s="11"/>
      <c r="F373" s="11"/>
      <c r="G373" s="11"/>
      <c r="H373" s="11"/>
    </row>
    <row r="374">
      <c r="D374" s="11"/>
      <c r="E374" s="11"/>
      <c r="F374" s="11"/>
      <c r="G374" s="11"/>
      <c r="H374" s="11"/>
    </row>
    <row r="375">
      <c r="D375" s="11"/>
      <c r="E375" s="11"/>
      <c r="F375" s="11"/>
      <c r="G375" s="11"/>
      <c r="H375" s="11"/>
    </row>
    <row r="376">
      <c r="D376" s="11"/>
      <c r="E376" s="11"/>
      <c r="F376" s="11"/>
      <c r="G376" s="11"/>
      <c r="H376" s="11"/>
    </row>
    <row r="377">
      <c r="D377" s="11"/>
      <c r="E377" s="11"/>
      <c r="F377" s="11"/>
      <c r="G377" s="11"/>
      <c r="H377" s="11"/>
    </row>
    <row r="378">
      <c r="D378" s="11"/>
      <c r="E378" s="11"/>
      <c r="F378" s="11"/>
      <c r="G378" s="11"/>
      <c r="H378" s="11"/>
    </row>
    <row r="379">
      <c r="D379" s="11"/>
      <c r="E379" s="11"/>
      <c r="F379" s="11"/>
      <c r="G379" s="11"/>
      <c r="H379" s="11"/>
    </row>
    <row r="380">
      <c r="D380" s="11"/>
      <c r="E380" s="11"/>
      <c r="F380" s="11"/>
      <c r="G380" s="11"/>
      <c r="H380" s="11"/>
    </row>
    <row r="381">
      <c r="D381" s="11"/>
      <c r="E381" s="11"/>
      <c r="F381" s="11"/>
      <c r="G381" s="11"/>
      <c r="H381" s="11"/>
    </row>
    <row r="382">
      <c r="D382" s="11"/>
      <c r="E382" s="11"/>
      <c r="F382" s="11"/>
      <c r="G382" s="11"/>
      <c r="H382" s="11"/>
    </row>
    <row r="383">
      <c r="D383" s="11"/>
      <c r="E383" s="11"/>
      <c r="F383" s="11"/>
      <c r="G383" s="11"/>
      <c r="H383" s="11"/>
    </row>
    <row r="384">
      <c r="D384" s="11"/>
      <c r="E384" s="11"/>
      <c r="F384" s="11"/>
      <c r="G384" s="11"/>
      <c r="H384" s="11"/>
    </row>
    <row r="385">
      <c r="D385" s="11"/>
      <c r="E385" s="11"/>
      <c r="F385" s="11"/>
      <c r="G385" s="11"/>
      <c r="H385" s="11"/>
    </row>
    <row r="386">
      <c r="D386" s="11"/>
      <c r="E386" s="11"/>
      <c r="F386" s="11"/>
      <c r="G386" s="11"/>
      <c r="H386" s="11"/>
    </row>
    <row r="387">
      <c r="D387" s="11"/>
      <c r="E387" s="11"/>
      <c r="F387" s="11"/>
      <c r="G387" s="11"/>
      <c r="H387" s="11"/>
    </row>
    <row r="388">
      <c r="D388" s="11"/>
      <c r="E388" s="11"/>
      <c r="F388" s="11"/>
      <c r="G388" s="11"/>
      <c r="H388" s="11"/>
    </row>
    <row r="389">
      <c r="D389" s="11"/>
      <c r="E389" s="11"/>
      <c r="F389" s="11"/>
      <c r="G389" s="11"/>
      <c r="H389" s="11"/>
    </row>
    <row r="390">
      <c r="D390" s="11"/>
      <c r="E390" s="11"/>
      <c r="F390" s="11"/>
      <c r="G390" s="11"/>
      <c r="H390" s="11"/>
    </row>
    <row r="391">
      <c r="D391" s="11"/>
      <c r="E391" s="11"/>
      <c r="F391" s="11"/>
      <c r="G391" s="11"/>
      <c r="H391" s="11"/>
    </row>
    <row r="392">
      <c r="D392" s="11"/>
      <c r="E392" s="11"/>
      <c r="F392" s="11"/>
      <c r="G392" s="11"/>
      <c r="H392" s="11"/>
    </row>
    <row r="393">
      <c r="D393" s="11"/>
      <c r="E393" s="11"/>
      <c r="F393" s="11"/>
      <c r="G393" s="11"/>
      <c r="H393" s="11"/>
    </row>
    <row r="394">
      <c r="D394" s="11"/>
      <c r="E394" s="11"/>
      <c r="F394" s="11"/>
      <c r="G394" s="11"/>
      <c r="H394" s="11"/>
    </row>
    <row r="395">
      <c r="D395" s="11"/>
      <c r="E395" s="11"/>
      <c r="F395" s="11"/>
      <c r="G395" s="11"/>
      <c r="H395" s="11"/>
    </row>
    <row r="396">
      <c r="D396" s="11"/>
      <c r="E396" s="11"/>
      <c r="F396" s="11"/>
      <c r="G396" s="11"/>
      <c r="H396" s="11"/>
    </row>
    <row r="397">
      <c r="D397" s="11"/>
      <c r="E397" s="11"/>
      <c r="F397" s="11"/>
      <c r="G397" s="11"/>
      <c r="H397" s="11"/>
    </row>
    <row r="398">
      <c r="D398" s="11"/>
      <c r="E398" s="11"/>
      <c r="F398" s="11"/>
      <c r="G398" s="11"/>
      <c r="H398" s="11"/>
    </row>
    <row r="399">
      <c r="D399" s="11"/>
      <c r="E399" s="11"/>
      <c r="F399" s="11"/>
      <c r="G399" s="11"/>
      <c r="H399" s="11"/>
    </row>
    <row r="400">
      <c r="D400" s="11"/>
      <c r="E400" s="11"/>
      <c r="F400" s="11"/>
      <c r="G400" s="11"/>
      <c r="H400" s="11"/>
    </row>
    <row r="401">
      <c r="D401" s="11"/>
      <c r="E401" s="11"/>
      <c r="F401" s="11"/>
      <c r="G401" s="11"/>
      <c r="H401" s="11"/>
    </row>
    <row r="402">
      <c r="D402" s="11"/>
      <c r="E402" s="11"/>
      <c r="F402" s="11"/>
      <c r="G402" s="11"/>
      <c r="H402" s="11"/>
    </row>
    <row r="403">
      <c r="D403" s="11"/>
      <c r="E403" s="11"/>
      <c r="F403" s="11"/>
      <c r="G403" s="11"/>
      <c r="H403" s="11"/>
    </row>
    <row r="404">
      <c r="D404" s="11"/>
      <c r="E404" s="11"/>
      <c r="F404" s="11"/>
      <c r="G404" s="11"/>
      <c r="H404" s="11"/>
    </row>
    <row r="405">
      <c r="D405" s="11"/>
      <c r="E405" s="11"/>
      <c r="F405" s="11"/>
      <c r="G405" s="11"/>
      <c r="H405" s="11"/>
    </row>
    <row r="406">
      <c r="D406" s="11"/>
      <c r="E406" s="11"/>
      <c r="F406" s="11"/>
      <c r="G406" s="11"/>
      <c r="H406" s="11"/>
    </row>
    <row r="407">
      <c r="D407" s="11"/>
      <c r="E407" s="11"/>
      <c r="F407" s="11"/>
      <c r="G407" s="11"/>
      <c r="H407" s="11"/>
    </row>
    <row r="408">
      <c r="D408" s="11"/>
      <c r="E408" s="11"/>
      <c r="F408" s="11"/>
      <c r="G408" s="11"/>
      <c r="H408" s="11"/>
    </row>
    <row r="409">
      <c r="D409" s="11"/>
      <c r="E409" s="11"/>
      <c r="F409" s="11"/>
      <c r="G409" s="11"/>
      <c r="H409" s="11"/>
    </row>
    <row r="410">
      <c r="D410" s="11"/>
      <c r="E410" s="11"/>
      <c r="F410" s="11"/>
      <c r="G410" s="11"/>
      <c r="H410" s="11"/>
    </row>
    <row r="411">
      <c r="D411" s="11"/>
      <c r="E411" s="11"/>
      <c r="F411" s="11"/>
      <c r="G411" s="11"/>
      <c r="H411" s="11"/>
    </row>
    <row r="412">
      <c r="D412" s="11"/>
      <c r="E412" s="11"/>
      <c r="F412" s="11"/>
      <c r="G412" s="11"/>
      <c r="H412" s="11"/>
    </row>
    <row r="413">
      <c r="D413" s="11"/>
      <c r="E413" s="11"/>
      <c r="F413" s="11"/>
      <c r="G413" s="11"/>
      <c r="H413" s="11"/>
    </row>
    <row r="414">
      <c r="D414" s="11"/>
      <c r="E414" s="11"/>
      <c r="F414" s="11"/>
      <c r="G414" s="11"/>
      <c r="H414" s="11"/>
    </row>
    <row r="415">
      <c r="D415" s="11"/>
      <c r="E415" s="11"/>
      <c r="F415" s="11"/>
      <c r="G415" s="11"/>
      <c r="H415" s="11"/>
    </row>
    <row r="416">
      <c r="D416" s="11"/>
      <c r="E416" s="11"/>
      <c r="F416" s="11"/>
      <c r="G416" s="11"/>
      <c r="H416" s="11"/>
    </row>
    <row r="417">
      <c r="D417" s="11"/>
      <c r="E417" s="11"/>
      <c r="F417" s="11"/>
      <c r="G417" s="11"/>
      <c r="H417" s="11"/>
    </row>
    <row r="418">
      <c r="D418" s="11"/>
      <c r="E418" s="11"/>
      <c r="F418" s="11"/>
      <c r="G418" s="11"/>
      <c r="H418" s="11"/>
    </row>
    <row r="419">
      <c r="D419" s="11"/>
      <c r="E419" s="11"/>
      <c r="F419" s="11"/>
      <c r="G419" s="11"/>
      <c r="H419" s="11"/>
    </row>
    <row r="420">
      <c r="D420" s="11"/>
      <c r="E420" s="11"/>
      <c r="F420" s="11"/>
      <c r="G420" s="11"/>
      <c r="H420" s="11"/>
    </row>
    <row r="421">
      <c r="D421" s="11"/>
      <c r="E421" s="11"/>
      <c r="F421" s="11"/>
      <c r="G421" s="11"/>
      <c r="H421" s="11"/>
    </row>
    <row r="422">
      <c r="D422" s="11"/>
      <c r="E422" s="11"/>
      <c r="F422" s="11"/>
      <c r="G422" s="11"/>
      <c r="H422" s="11"/>
    </row>
    <row r="423">
      <c r="D423" s="11"/>
      <c r="E423" s="11"/>
      <c r="F423" s="11"/>
      <c r="G423" s="11"/>
      <c r="H423" s="11"/>
    </row>
    <row r="424">
      <c r="D424" s="11"/>
      <c r="E424" s="11"/>
      <c r="F424" s="11"/>
      <c r="G424" s="11"/>
      <c r="H424" s="11"/>
    </row>
    <row r="425">
      <c r="D425" s="11"/>
      <c r="E425" s="11"/>
      <c r="F425" s="11"/>
      <c r="G425" s="11"/>
      <c r="H425" s="11"/>
    </row>
    <row r="426">
      <c r="D426" s="11"/>
      <c r="E426" s="11"/>
      <c r="F426" s="11"/>
      <c r="G426" s="11"/>
      <c r="H426" s="11"/>
    </row>
    <row r="427">
      <c r="D427" s="11"/>
      <c r="E427" s="11"/>
      <c r="F427" s="11"/>
      <c r="G427" s="11"/>
      <c r="H427" s="11"/>
    </row>
    <row r="428">
      <c r="D428" s="11"/>
      <c r="E428" s="11"/>
      <c r="F428" s="11"/>
      <c r="G428" s="11"/>
      <c r="H428" s="11"/>
    </row>
    <row r="429">
      <c r="D429" s="11"/>
      <c r="E429" s="11"/>
      <c r="F429" s="11"/>
      <c r="G429" s="11"/>
      <c r="H429" s="11"/>
    </row>
    <row r="430">
      <c r="D430" s="11"/>
      <c r="E430" s="11"/>
      <c r="F430" s="11"/>
      <c r="G430" s="11"/>
      <c r="H430" s="11"/>
    </row>
    <row r="431">
      <c r="D431" s="11"/>
      <c r="E431" s="11"/>
      <c r="F431" s="11"/>
      <c r="G431" s="11"/>
      <c r="H431" s="11"/>
    </row>
    <row r="432">
      <c r="D432" s="11"/>
      <c r="E432" s="11"/>
      <c r="F432" s="11"/>
      <c r="G432" s="11"/>
      <c r="H432" s="11"/>
    </row>
    <row r="433">
      <c r="D433" s="11"/>
      <c r="E433" s="11"/>
      <c r="F433" s="11"/>
      <c r="G433" s="11"/>
      <c r="H433" s="11"/>
    </row>
    <row r="434">
      <c r="D434" s="11"/>
      <c r="E434" s="11"/>
      <c r="F434" s="11"/>
      <c r="G434" s="11"/>
      <c r="H434" s="11"/>
    </row>
    <row r="435">
      <c r="D435" s="11"/>
      <c r="E435" s="11"/>
      <c r="F435" s="11"/>
      <c r="G435" s="11"/>
      <c r="H435" s="11"/>
    </row>
    <row r="436">
      <c r="D436" s="11"/>
      <c r="E436" s="11"/>
      <c r="F436" s="11"/>
      <c r="G436" s="11"/>
      <c r="H436" s="11"/>
    </row>
    <row r="437">
      <c r="D437" s="11"/>
      <c r="E437" s="11"/>
      <c r="F437" s="11"/>
      <c r="G437" s="11"/>
      <c r="H437" s="11"/>
    </row>
    <row r="438">
      <c r="D438" s="11"/>
      <c r="E438" s="11"/>
      <c r="F438" s="11"/>
      <c r="G438" s="11"/>
      <c r="H438" s="11"/>
    </row>
    <row r="439">
      <c r="D439" s="11"/>
      <c r="E439" s="11"/>
      <c r="F439" s="11"/>
      <c r="G439" s="11"/>
      <c r="H439" s="11"/>
    </row>
    <row r="440">
      <c r="D440" s="11"/>
      <c r="E440" s="11"/>
      <c r="F440" s="11"/>
      <c r="G440" s="11"/>
      <c r="H440" s="11"/>
    </row>
    <row r="441">
      <c r="D441" s="11"/>
      <c r="E441" s="11"/>
      <c r="F441" s="11"/>
      <c r="G441" s="11"/>
      <c r="H441" s="11"/>
    </row>
    <row r="442">
      <c r="D442" s="11"/>
      <c r="E442" s="11"/>
      <c r="F442" s="11"/>
      <c r="G442" s="11"/>
      <c r="H442" s="11"/>
    </row>
    <row r="443">
      <c r="D443" s="11"/>
      <c r="E443" s="11"/>
      <c r="F443" s="11"/>
      <c r="G443" s="11"/>
      <c r="H443" s="11"/>
    </row>
    <row r="444">
      <c r="D444" s="11"/>
      <c r="E444" s="11"/>
      <c r="F444" s="11"/>
      <c r="G444" s="11"/>
      <c r="H444" s="11"/>
    </row>
    <row r="445">
      <c r="D445" s="11"/>
      <c r="E445" s="11"/>
      <c r="F445" s="11"/>
      <c r="G445" s="11"/>
      <c r="H445" s="11"/>
    </row>
    <row r="446">
      <c r="D446" s="11"/>
      <c r="E446" s="11"/>
      <c r="F446" s="11"/>
      <c r="G446" s="11"/>
      <c r="H446" s="11"/>
    </row>
    <row r="447">
      <c r="D447" s="11"/>
      <c r="E447" s="11"/>
      <c r="F447" s="11"/>
      <c r="G447" s="11"/>
      <c r="H447" s="11"/>
    </row>
    <row r="448">
      <c r="D448" s="11"/>
      <c r="E448" s="11"/>
      <c r="F448" s="11"/>
      <c r="G448" s="11"/>
      <c r="H448" s="11"/>
    </row>
    <row r="449">
      <c r="D449" s="11"/>
      <c r="E449" s="11"/>
      <c r="F449" s="11"/>
      <c r="G449" s="11"/>
      <c r="H449" s="11"/>
    </row>
    <row r="450">
      <c r="D450" s="11"/>
      <c r="E450" s="11"/>
      <c r="F450" s="11"/>
      <c r="G450" s="11"/>
      <c r="H450" s="11"/>
    </row>
    <row r="451">
      <c r="D451" s="11"/>
      <c r="E451" s="11"/>
      <c r="F451" s="11"/>
      <c r="G451" s="11"/>
      <c r="H451" s="11"/>
    </row>
    <row r="452">
      <c r="D452" s="11"/>
      <c r="E452" s="11"/>
      <c r="F452" s="11"/>
      <c r="G452" s="11"/>
      <c r="H452" s="11"/>
    </row>
    <row r="453">
      <c r="D453" s="11"/>
      <c r="E453" s="11"/>
      <c r="F453" s="11"/>
      <c r="G453" s="11"/>
      <c r="H453" s="11"/>
    </row>
    <row r="454">
      <c r="D454" s="11"/>
      <c r="E454" s="11"/>
      <c r="F454" s="11"/>
      <c r="G454" s="11"/>
      <c r="H454" s="11"/>
    </row>
    <row r="455">
      <c r="D455" s="11"/>
      <c r="E455" s="11"/>
      <c r="F455" s="11"/>
      <c r="G455" s="11"/>
      <c r="H455" s="11"/>
    </row>
    <row r="456">
      <c r="D456" s="11"/>
      <c r="E456" s="11"/>
      <c r="F456" s="11"/>
      <c r="G456" s="11"/>
      <c r="H456" s="11"/>
    </row>
    <row r="457">
      <c r="D457" s="11"/>
      <c r="E457" s="11"/>
      <c r="F457" s="11"/>
      <c r="G457" s="11"/>
      <c r="H457" s="11"/>
    </row>
    <row r="458">
      <c r="D458" s="11"/>
      <c r="E458" s="11"/>
      <c r="F458" s="11"/>
      <c r="G458" s="11"/>
      <c r="H458" s="11"/>
    </row>
    <row r="459">
      <c r="D459" s="11"/>
      <c r="E459" s="11"/>
      <c r="F459" s="11"/>
      <c r="G459" s="11"/>
      <c r="H459" s="11"/>
    </row>
    <row r="460">
      <c r="D460" s="11"/>
      <c r="E460" s="11"/>
      <c r="F460" s="11"/>
      <c r="G460" s="11"/>
      <c r="H460" s="11"/>
    </row>
    <row r="461">
      <c r="D461" s="11"/>
      <c r="E461" s="11"/>
      <c r="F461" s="11"/>
      <c r="G461" s="11"/>
      <c r="H461" s="11"/>
    </row>
    <row r="462">
      <c r="D462" s="11"/>
      <c r="E462" s="11"/>
      <c r="F462" s="11"/>
      <c r="G462" s="11"/>
      <c r="H462" s="11"/>
    </row>
    <row r="463">
      <c r="D463" s="11"/>
      <c r="E463" s="11"/>
      <c r="F463" s="11"/>
      <c r="G463" s="11"/>
      <c r="H463" s="11"/>
    </row>
    <row r="464">
      <c r="D464" s="11"/>
      <c r="E464" s="11"/>
      <c r="F464" s="11"/>
      <c r="G464" s="11"/>
      <c r="H464" s="11"/>
    </row>
    <row r="465">
      <c r="D465" s="11"/>
      <c r="E465" s="11"/>
      <c r="F465" s="11"/>
      <c r="G465" s="11"/>
      <c r="H465" s="11"/>
    </row>
    <row r="466">
      <c r="D466" s="11"/>
      <c r="E466" s="11"/>
      <c r="F466" s="11"/>
      <c r="G466" s="11"/>
      <c r="H466" s="11"/>
    </row>
    <row r="467">
      <c r="D467" s="11"/>
      <c r="E467" s="11"/>
      <c r="F467" s="11"/>
      <c r="G467" s="11"/>
      <c r="H467" s="11"/>
    </row>
    <row r="468">
      <c r="D468" s="11"/>
      <c r="E468" s="11"/>
      <c r="F468" s="11"/>
      <c r="G468" s="11"/>
      <c r="H468" s="11"/>
    </row>
    <row r="469">
      <c r="D469" s="11"/>
      <c r="E469" s="11"/>
      <c r="F469" s="11"/>
      <c r="G469" s="11"/>
      <c r="H469" s="11"/>
    </row>
    <row r="470">
      <c r="D470" s="11"/>
      <c r="E470" s="11"/>
      <c r="F470" s="11"/>
      <c r="G470" s="11"/>
      <c r="H470" s="11"/>
    </row>
    <row r="471">
      <c r="D471" s="11"/>
      <c r="E471" s="11"/>
      <c r="F471" s="11"/>
      <c r="G471" s="11"/>
      <c r="H471" s="11"/>
    </row>
    <row r="472">
      <c r="D472" s="11"/>
      <c r="E472" s="11"/>
      <c r="F472" s="11"/>
      <c r="G472" s="11"/>
      <c r="H472" s="11"/>
    </row>
    <row r="473">
      <c r="D473" s="11"/>
      <c r="E473" s="11"/>
      <c r="F473" s="11"/>
      <c r="G473" s="11"/>
      <c r="H473" s="11"/>
    </row>
    <row r="474">
      <c r="D474" s="11"/>
      <c r="E474" s="11"/>
      <c r="F474" s="11"/>
      <c r="G474" s="11"/>
      <c r="H474" s="11"/>
    </row>
    <row r="475">
      <c r="D475" s="11"/>
      <c r="E475" s="11"/>
      <c r="F475" s="11"/>
      <c r="G475" s="11"/>
      <c r="H475" s="11"/>
    </row>
    <row r="476">
      <c r="D476" s="11"/>
      <c r="E476" s="11"/>
      <c r="F476" s="11"/>
      <c r="G476" s="11"/>
      <c r="H476" s="11"/>
    </row>
    <row r="477">
      <c r="D477" s="11"/>
      <c r="E477" s="11"/>
      <c r="F477" s="11"/>
      <c r="G477" s="11"/>
      <c r="H477" s="11"/>
    </row>
    <row r="478">
      <c r="D478" s="11"/>
      <c r="E478" s="11"/>
      <c r="F478" s="11"/>
      <c r="G478" s="11"/>
      <c r="H478" s="11"/>
    </row>
    <row r="479">
      <c r="D479" s="11"/>
      <c r="E479" s="11"/>
      <c r="F479" s="11"/>
      <c r="G479" s="11"/>
      <c r="H479" s="11"/>
    </row>
    <row r="480">
      <c r="D480" s="11"/>
      <c r="E480" s="11"/>
      <c r="F480" s="11"/>
      <c r="G480" s="11"/>
      <c r="H480" s="11"/>
    </row>
    <row r="481">
      <c r="D481" s="11"/>
      <c r="E481" s="11"/>
      <c r="F481" s="11"/>
      <c r="G481" s="11"/>
      <c r="H481" s="11"/>
    </row>
    <row r="482">
      <c r="D482" s="11"/>
      <c r="E482" s="11"/>
      <c r="F482" s="11"/>
      <c r="G482" s="11"/>
      <c r="H482" s="11"/>
    </row>
    <row r="483">
      <c r="D483" s="11"/>
      <c r="E483" s="11"/>
      <c r="F483" s="11"/>
      <c r="G483" s="11"/>
      <c r="H483" s="11"/>
    </row>
    <row r="484">
      <c r="D484" s="11"/>
      <c r="E484" s="11"/>
      <c r="F484" s="11"/>
      <c r="G484" s="11"/>
      <c r="H484" s="11"/>
    </row>
    <row r="485">
      <c r="D485" s="11"/>
      <c r="E485" s="11"/>
      <c r="F485" s="11"/>
      <c r="G485" s="11"/>
      <c r="H485" s="11"/>
    </row>
    <row r="486">
      <c r="D486" s="11"/>
      <c r="E486" s="11"/>
      <c r="F486" s="11"/>
      <c r="G486" s="11"/>
      <c r="H486" s="11"/>
    </row>
    <row r="487">
      <c r="D487" s="11"/>
      <c r="E487" s="11"/>
      <c r="F487" s="11"/>
      <c r="G487" s="11"/>
      <c r="H487" s="11"/>
    </row>
    <row r="488">
      <c r="D488" s="11"/>
      <c r="E488" s="11"/>
      <c r="F488" s="11"/>
      <c r="G488" s="11"/>
      <c r="H488" s="11"/>
    </row>
    <row r="489">
      <c r="D489" s="11"/>
      <c r="E489" s="11"/>
      <c r="F489" s="11"/>
      <c r="G489" s="11"/>
      <c r="H489" s="11"/>
    </row>
    <row r="490">
      <c r="D490" s="11"/>
      <c r="E490" s="11"/>
      <c r="F490" s="11"/>
      <c r="G490" s="11"/>
      <c r="H490" s="11"/>
    </row>
    <row r="491">
      <c r="D491" s="11"/>
      <c r="E491" s="11"/>
      <c r="F491" s="11"/>
      <c r="G491" s="11"/>
      <c r="H491" s="11"/>
    </row>
    <row r="492">
      <c r="D492" s="11"/>
      <c r="E492" s="11"/>
      <c r="F492" s="11"/>
      <c r="G492" s="11"/>
      <c r="H492" s="11"/>
    </row>
    <row r="493">
      <c r="D493" s="11"/>
      <c r="E493" s="11"/>
      <c r="F493" s="11"/>
      <c r="G493" s="11"/>
      <c r="H493" s="11"/>
    </row>
    <row r="494">
      <c r="D494" s="11"/>
      <c r="E494" s="11"/>
      <c r="F494" s="11"/>
      <c r="G494" s="11"/>
      <c r="H494" s="11"/>
    </row>
    <row r="495">
      <c r="D495" s="11"/>
      <c r="E495" s="11"/>
      <c r="F495" s="11"/>
      <c r="G495" s="11"/>
      <c r="H495" s="11"/>
    </row>
    <row r="496">
      <c r="D496" s="11"/>
      <c r="E496" s="11"/>
      <c r="F496" s="11"/>
      <c r="G496" s="11"/>
      <c r="H496" s="11"/>
    </row>
    <row r="497">
      <c r="D497" s="11"/>
      <c r="E497" s="11"/>
      <c r="F497" s="11"/>
      <c r="G497" s="11"/>
      <c r="H497" s="11"/>
    </row>
    <row r="498">
      <c r="D498" s="11"/>
      <c r="E498" s="11"/>
      <c r="F498" s="11"/>
      <c r="G498" s="11"/>
      <c r="H498" s="11"/>
    </row>
    <row r="499">
      <c r="D499" s="11"/>
      <c r="E499" s="11"/>
      <c r="F499" s="11"/>
      <c r="G499" s="11"/>
      <c r="H499" s="11"/>
    </row>
    <row r="500">
      <c r="D500" s="11"/>
      <c r="E500" s="11"/>
      <c r="F500" s="11"/>
      <c r="G500" s="11"/>
      <c r="H500" s="11"/>
    </row>
    <row r="501">
      <c r="D501" s="11"/>
      <c r="E501" s="11"/>
      <c r="F501" s="11"/>
      <c r="G501" s="11"/>
      <c r="H501" s="11"/>
    </row>
    <row r="502">
      <c r="D502" s="11"/>
      <c r="E502" s="11"/>
      <c r="F502" s="11"/>
      <c r="G502" s="11"/>
      <c r="H502" s="11"/>
    </row>
    <row r="503">
      <c r="D503" s="11"/>
      <c r="E503" s="11"/>
      <c r="F503" s="11"/>
      <c r="G503" s="11"/>
      <c r="H503" s="11"/>
    </row>
    <row r="504">
      <c r="D504" s="11"/>
      <c r="E504" s="11"/>
      <c r="F504" s="11"/>
      <c r="G504" s="11"/>
      <c r="H504" s="11"/>
    </row>
    <row r="505">
      <c r="D505" s="11"/>
      <c r="E505" s="11"/>
      <c r="F505" s="11"/>
      <c r="G505" s="11"/>
      <c r="H505" s="11"/>
    </row>
    <row r="506">
      <c r="D506" s="11"/>
      <c r="E506" s="11"/>
      <c r="F506" s="11"/>
      <c r="G506" s="11"/>
      <c r="H506" s="11"/>
    </row>
    <row r="507">
      <c r="D507" s="11"/>
      <c r="E507" s="11"/>
      <c r="F507" s="11"/>
      <c r="G507" s="11"/>
      <c r="H507" s="11"/>
    </row>
    <row r="508">
      <c r="D508" s="11"/>
      <c r="E508" s="11"/>
      <c r="F508" s="11"/>
      <c r="G508" s="11"/>
      <c r="H508" s="11"/>
    </row>
    <row r="509">
      <c r="D509" s="11"/>
      <c r="E509" s="11"/>
      <c r="F509" s="11"/>
      <c r="G509" s="11"/>
      <c r="H509" s="11"/>
    </row>
    <row r="510">
      <c r="D510" s="11"/>
      <c r="E510" s="11"/>
      <c r="F510" s="11"/>
      <c r="G510" s="11"/>
      <c r="H510" s="11"/>
    </row>
    <row r="511">
      <c r="D511" s="11"/>
      <c r="E511" s="11"/>
      <c r="F511" s="11"/>
      <c r="G511" s="11"/>
      <c r="H511" s="11"/>
    </row>
    <row r="512">
      <c r="D512" s="11"/>
      <c r="E512" s="11"/>
      <c r="F512" s="11"/>
      <c r="G512" s="11"/>
      <c r="H512" s="11"/>
    </row>
    <row r="513">
      <c r="D513" s="11"/>
      <c r="E513" s="11"/>
      <c r="F513" s="11"/>
      <c r="G513" s="11"/>
      <c r="H513" s="11"/>
    </row>
    <row r="514">
      <c r="D514" s="11"/>
      <c r="E514" s="11"/>
      <c r="F514" s="11"/>
      <c r="G514" s="11"/>
      <c r="H514" s="11"/>
    </row>
    <row r="515">
      <c r="D515" s="11"/>
      <c r="E515" s="11"/>
      <c r="F515" s="11"/>
      <c r="G515" s="11"/>
      <c r="H515" s="11"/>
    </row>
    <row r="516">
      <c r="D516" s="11"/>
      <c r="E516" s="11"/>
      <c r="F516" s="11"/>
      <c r="G516" s="11"/>
      <c r="H516" s="11"/>
    </row>
    <row r="517">
      <c r="D517" s="11"/>
      <c r="E517" s="11"/>
      <c r="F517" s="11"/>
      <c r="G517" s="11"/>
      <c r="H517" s="11"/>
    </row>
    <row r="518">
      <c r="D518" s="11"/>
      <c r="E518" s="11"/>
      <c r="F518" s="11"/>
      <c r="G518" s="11"/>
      <c r="H518" s="11"/>
    </row>
    <row r="519">
      <c r="D519" s="11"/>
      <c r="E519" s="11"/>
      <c r="F519" s="11"/>
      <c r="G519" s="11"/>
      <c r="H519" s="11"/>
    </row>
    <row r="520">
      <c r="D520" s="11"/>
      <c r="E520" s="11"/>
      <c r="F520" s="11"/>
      <c r="G520" s="11"/>
      <c r="H520" s="11"/>
    </row>
    <row r="521">
      <c r="D521" s="11"/>
      <c r="E521" s="11"/>
      <c r="F521" s="11"/>
      <c r="G521" s="11"/>
      <c r="H521" s="11"/>
    </row>
    <row r="522">
      <c r="D522" s="11"/>
      <c r="E522" s="11"/>
      <c r="F522" s="11"/>
      <c r="G522" s="11"/>
      <c r="H522" s="11"/>
    </row>
    <row r="523">
      <c r="D523" s="11"/>
      <c r="E523" s="11"/>
      <c r="F523" s="11"/>
      <c r="G523" s="11"/>
      <c r="H523" s="11"/>
    </row>
    <row r="524">
      <c r="D524" s="11"/>
      <c r="E524" s="11"/>
      <c r="F524" s="11"/>
      <c r="G524" s="11"/>
      <c r="H524" s="11"/>
    </row>
    <row r="525">
      <c r="D525" s="11"/>
      <c r="E525" s="11"/>
      <c r="F525" s="11"/>
      <c r="G525" s="11"/>
      <c r="H525" s="11"/>
    </row>
    <row r="526">
      <c r="D526" s="11"/>
      <c r="E526" s="11"/>
      <c r="F526" s="11"/>
      <c r="G526" s="11"/>
      <c r="H526" s="11"/>
    </row>
    <row r="527">
      <c r="D527" s="11"/>
      <c r="E527" s="11"/>
      <c r="F527" s="11"/>
      <c r="G527" s="11"/>
      <c r="H527" s="11"/>
    </row>
    <row r="528">
      <c r="D528" s="11"/>
      <c r="E528" s="11"/>
      <c r="F528" s="11"/>
      <c r="G528" s="11"/>
      <c r="H528" s="11"/>
    </row>
    <row r="529">
      <c r="D529" s="11"/>
      <c r="E529" s="11"/>
      <c r="F529" s="11"/>
      <c r="G529" s="11"/>
      <c r="H529" s="11"/>
    </row>
    <row r="530">
      <c r="D530" s="11"/>
      <c r="E530" s="11"/>
      <c r="F530" s="11"/>
      <c r="G530" s="11"/>
      <c r="H530" s="11"/>
    </row>
    <row r="531">
      <c r="D531" s="11"/>
      <c r="E531" s="11"/>
      <c r="F531" s="11"/>
      <c r="G531" s="11"/>
      <c r="H531" s="11"/>
    </row>
    <row r="532">
      <c r="D532" s="11"/>
      <c r="E532" s="11"/>
      <c r="F532" s="11"/>
      <c r="G532" s="11"/>
      <c r="H532" s="11"/>
    </row>
    <row r="533">
      <c r="D533" s="11"/>
      <c r="E533" s="11"/>
      <c r="F533" s="11"/>
      <c r="G533" s="11"/>
      <c r="H533" s="11"/>
    </row>
    <row r="534">
      <c r="D534" s="11"/>
      <c r="E534" s="11"/>
      <c r="F534" s="11"/>
      <c r="G534" s="11"/>
      <c r="H534" s="11"/>
    </row>
    <row r="535">
      <c r="D535" s="11"/>
      <c r="E535" s="11"/>
      <c r="F535" s="11"/>
      <c r="G535" s="11"/>
      <c r="H535" s="11"/>
    </row>
    <row r="536">
      <c r="D536" s="11"/>
      <c r="E536" s="11"/>
      <c r="F536" s="11"/>
      <c r="G536" s="11"/>
      <c r="H536" s="11"/>
    </row>
    <row r="537">
      <c r="D537" s="11"/>
      <c r="E537" s="11"/>
      <c r="F537" s="11"/>
      <c r="G537" s="11"/>
      <c r="H537" s="11"/>
    </row>
    <row r="538">
      <c r="D538" s="11"/>
      <c r="E538" s="11"/>
      <c r="F538" s="11"/>
      <c r="G538" s="11"/>
      <c r="H538" s="11"/>
    </row>
    <row r="539">
      <c r="D539" s="11"/>
      <c r="E539" s="11"/>
      <c r="F539" s="11"/>
      <c r="G539" s="11"/>
      <c r="H539" s="11"/>
    </row>
    <row r="540">
      <c r="D540" s="11"/>
      <c r="E540" s="11"/>
      <c r="F540" s="11"/>
      <c r="G540" s="11"/>
      <c r="H540" s="11"/>
    </row>
    <row r="541">
      <c r="D541" s="11"/>
      <c r="E541" s="11"/>
      <c r="F541" s="11"/>
      <c r="G541" s="11"/>
      <c r="H541" s="11"/>
    </row>
    <row r="542">
      <c r="D542" s="11"/>
      <c r="E542" s="11"/>
      <c r="F542" s="11"/>
      <c r="G542" s="11"/>
      <c r="H542" s="11"/>
    </row>
    <row r="543">
      <c r="D543" s="11"/>
      <c r="E543" s="11"/>
      <c r="F543" s="11"/>
      <c r="G543" s="11"/>
      <c r="H543" s="11"/>
    </row>
    <row r="544">
      <c r="D544" s="11"/>
      <c r="E544" s="11"/>
      <c r="F544" s="11"/>
      <c r="G544" s="11"/>
      <c r="H544" s="11"/>
    </row>
    <row r="545">
      <c r="D545" s="11"/>
      <c r="E545" s="11"/>
      <c r="F545" s="11"/>
      <c r="G545" s="11"/>
      <c r="H545" s="11"/>
    </row>
    <row r="546">
      <c r="D546" s="11"/>
      <c r="E546" s="11"/>
      <c r="F546" s="11"/>
      <c r="G546" s="11"/>
      <c r="H546" s="11"/>
    </row>
    <row r="547">
      <c r="D547" s="11"/>
      <c r="E547" s="11"/>
      <c r="F547" s="11"/>
      <c r="G547" s="11"/>
      <c r="H547" s="11"/>
    </row>
    <row r="548">
      <c r="D548" s="11"/>
      <c r="E548" s="11"/>
      <c r="F548" s="11"/>
      <c r="G548" s="11"/>
      <c r="H548" s="11"/>
    </row>
    <row r="549">
      <c r="D549" s="11"/>
      <c r="E549" s="11"/>
      <c r="F549" s="11"/>
      <c r="G549" s="11"/>
      <c r="H549" s="11"/>
    </row>
    <row r="550">
      <c r="D550" s="11"/>
      <c r="E550" s="11"/>
      <c r="F550" s="11"/>
      <c r="G550" s="11"/>
      <c r="H550" s="11"/>
    </row>
    <row r="551">
      <c r="D551" s="11"/>
      <c r="E551" s="11"/>
      <c r="F551" s="11"/>
      <c r="G551" s="11"/>
      <c r="H551" s="11"/>
    </row>
    <row r="552">
      <c r="D552" s="11"/>
      <c r="E552" s="11"/>
      <c r="F552" s="11"/>
      <c r="G552" s="11"/>
      <c r="H552" s="11"/>
    </row>
    <row r="553">
      <c r="D553" s="11"/>
      <c r="E553" s="11"/>
      <c r="F553" s="11"/>
      <c r="G553" s="11"/>
      <c r="H553" s="11"/>
    </row>
    <row r="554">
      <c r="D554" s="11"/>
      <c r="E554" s="11"/>
      <c r="F554" s="11"/>
      <c r="G554" s="11"/>
      <c r="H554" s="11"/>
    </row>
    <row r="555">
      <c r="D555" s="11"/>
      <c r="E555" s="11"/>
      <c r="F555" s="11"/>
      <c r="G555" s="11"/>
      <c r="H555" s="11"/>
    </row>
    <row r="556">
      <c r="D556" s="11"/>
      <c r="E556" s="11"/>
      <c r="F556" s="11"/>
      <c r="G556" s="11"/>
      <c r="H556" s="11"/>
    </row>
    <row r="557">
      <c r="D557" s="11"/>
      <c r="E557" s="11"/>
      <c r="F557" s="11"/>
      <c r="G557" s="11"/>
      <c r="H557" s="11"/>
    </row>
    <row r="558">
      <c r="D558" s="11"/>
      <c r="E558" s="11"/>
      <c r="F558" s="11"/>
      <c r="G558" s="11"/>
      <c r="H558" s="11"/>
    </row>
    <row r="559">
      <c r="D559" s="11"/>
      <c r="E559" s="11"/>
      <c r="F559" s="11"/>
      <c r="G559" s="11"/>
      <c r="H559" s="11"/>
    </row>
    <row r="560">
      <c r="D560" s="11"/>
      <c r="E560" s="11"/>
      <c r="F560" s="11"/>
      <c r="G560" s="11"/>
      <c r="H560" s="11"/>
    </row>
    <row r="561">
      <c r="D561" s="11"/>
      <c r="E561" s="11"/>
      <c r="F561" s="11"/>
      <c r="G561" s="11"/>
      <c r="H561" s="11"/>
    </row>
    <row r="562">
      <c r="D562" s="11"/>
      <c r="E562" s="11"/>
      <c r="F562" s="11"/>
      <c r="G562" s="11"/>
      <c r="H562" s="11"/>
    </row>
    <row r="563">
      <c r="D563" s="11"/>
      <c r="E563" s="11"/>
      <c r="F563" s="11"/>
      <c r="G563" s="11"/>
      <c r="H563" s="11"/>
    </row>
    <row r="564">
      <c r="D564" s="11"/>
      <c r="E564" s="11"/>
      <c r="F564" s="11"/>
      <c r="G564" s="11"/>
      <c r="H564" s="11"/>
    </row>
    <row r="565">
      <c r="D565" s="11"/>
      <c r="E565" s="11"/>
      <c r="F565" s="11"/>
      <c r="G565" s="11"/>
      <c r="H565" s="11"/>
    </row>
    <row r="566">
      <c r="D566" s="11"/>
      <c r="E566" s="11"/>
      <c r="F566" s="11"/>
      <c r="G566" s="11"/>
      <c r="H566" s="11"/>
    </row>
    <row r="567">
      <c r="D567" s="11"/>
      <c r="E567" s="11"/>
      <c r="F567" s="11"/>
      <c r="G567" s="11"/>
      <c r="H567" s="11"/>
    </row>
    <row r="568">
      <c r="D568" s="11"/>
      <c r="E568" s="11"/>
      <c r="F568" s="11"/>
      <c r="G568" s="11"/>
      <c r="H568" s="11"/>
    </row>
    <row r="569">
      <c r="D569" s="11"/>
      <c r="E569" s="11"/>
      <c r="F569" s="11"/>
      <c r="G569" s="11"/>
      <c r="H569" s="11"/>
    </row>
    <row r="570">
      <c r="D570" s="11"/>
      <c r="E570" s="11"/>
      <c r="F570" s="11"/>
      <c r="G570" s="11"/>
      <c r="H570" s="11"/>
    </row>
    <row r="571">
      <c r="D571" s="11"/>
      <c r="E571" s="11"/>
      <c r="F571" s="11"/>
      <c r="G571" s="11"/>
      <c r="H571" s="11"/>
    </row>
    <row r="572">
      <c r="D572" s="11"/>
      <c r="E572" s="11"/>
      <c r="F572" s="11"/>
      <c r="G572" s="11"/>
      <c r="H572" s="11"/>
    </row>
    <row r="573">
      <c r="D573" s="11"/>
      <c r="E573" s="11"/>
      <c r="F573" s="11"/>
      <c r="G573" s="11"/>
      <c r="H573" s="11"/>
    </row>
    <row r="574">
      <c r="D574" s="11"/>
      <c r="E574" s="11"/>
      <c r="F574" s="11"/>
      <c r="G574" s="11"/>
      <c r="H574" s="11"/>
    </row>
    <row r="575">
      <c r="D575" s="11"/>
      <c r="E575" s="11"/>
      <c r="F575" s="11"/>
      <c r="G575" s="11"/>
      <c r="H575" s="11"/>
    </row>
    <row r="576">
      <c r="D576" s="11"/>
      <c r="E576" s="11"/>
      <c r="F576" s="11"/>
      <c r="G576" s="11"/>
      <c r="H576" s="11"/>
    </row>
    <row r="577">
      <c r="D577" s="11"/>
      <c r="E577" s="11"/>
      <c r="F577" s="11"/>
      <c r="G577" s="11"/>
      <c r="H577" s="11"/>
    </row>
    <row r="578">
      <c r="D578" s="11"/>
      <c r="E578" s="11"/>
      <c r="F578" s="11"/>
      <c r="G578" s="11"/>
      <c r="H578" s="11"/>
    </row>
    <row r="579">
      <c r="D579" s="11"/>
      <c r="E579" s="11"/>
      <c r="F579" s="11"/>
      <c r="G579" s="11"/>
      <c r="H579" s="11"/>
    </row>
    <row r="580">
      <c r="D580" s="11"/>
      <c r="E580" s="11"/>
      <c r="F580" s="11"/>
      <c r="G580" s="11"/>
      <c r="H580" s="11"/>
    </row>
    <row r="581">
      <c r="D581" s="11"/>
      <c r="E581" s="11"/>
      <c r="F581" s="11"/>
      <c r="G581" s="11"/>
      <c r="H581" s="11"/>
    </row>
    <row r="582">
      <c r="D582" s="11"/>
      <c r="E582" s="11"/>
      <c r="F582" s="11"/>
      <c r="G582" s="11"/>
      <c r="H582" s="11"/>
    </row>
    <row r="583">
      <c r="D583" s="11"/>
      <c r="E583" s="11"/>
      <c r="F583" s="11"/>
      <c r="G583" s="11"/>
      <c r="H583" s="11"/>
    </row>
    <row r="584">
      <c r="D584" s="11"/>
      <c r="E584" s="11"/>
      <c r="F584" s="11"/>
      <c r="G584" s="11"/>
      <c r="H584" s="11"/>
    </row>
    <row r="585">
      <c r="D585" s="11"/>
      <c r="E585" s="11"/>
      <c r="F585" s="11"/>
      <c r="G585" s="11"/>
      <c r="H585" s="11"/>
    </row>
    <row r="586">
      <c r="D586" s="11"/>
      <c r="E586" s="11"/>
      <c r="F586" s="11"/>
      <c r="G586" s="11"/>
      <c r="H586" s="11"/>
    </row>
    <row r="587">
      <c r="D587" s="11"/>
      <c r="E587" s="11"/>
      <c r="F587" s="11"/>
      <c r="G587" s="11"/>
      <c r="H587" s="11"/>
    </row>
    <row r="588">
      <c r="D588" s="11"/>
      <c r="E588" s="11"/>
      <c r="F588" s="11"/>
      <c r="G588" s="11"/>
      <c r="H588" s="11"/>
    </row>
    <row r="589">
      <c r="D589" s="11"/>
      <c r="E589" s="11"/>
      <c r="F589" s="11"/>
      <c r="G589" s="11"/>
      <c r="H589" s="11"/>
    </row>
    <row r="590">
      <c r="D590" s="11"/>
      <c r="E590" s="11"/>
      <c r="F590" s="11"/>
      <c r="G590" s="11"/>
      <c r="H590" s="11"/>
    </row>
    <row r="591">
      <c r="D591" s="11"/>
      <c r="E591" s="11"/>
      <c r="F591" s="11"/>
      <c r="G591" s="11"/>
      <c r="H591" s="11"/>
    </row>
    <row r="592">
      <c r="D592" s="11"/>
      <c r="E592" s="11"/>
      <c r="F592" s="11"/>
      <c r="G592" s="11"/>
      <c r="H592" s="11"/>
    </row>
    <row r="593">
      <c r="D593" s="11"/>
      <c r="E593" s="11"/>
      <c r="F593" s="11"/>
      <c r="G593" s="11"/>
      <c r="H593" s="11"/>
    </row>
    <row r="594">
      <c r="D594" s="11"/>
      <c r="E594" s="11"/>
      <c r="F594" s="11"/>
      <c r="G594" s="11"/>
      <c r="H594" s="11"/>
    </row>
    <row r="595">
      <c r="D595" s="11"/>
      <c r="E595" s="11"/>
      <c r="F595" s="11"/>
      <c r="G595" s="11"/>
      <c r="H595" s="11"/>
    </row>
    <row r="596">
      <c r="D596" s="11"/>
      <c r="E596" s="11"/>
      <c r="F596" s="11"/>
      <c r="G596" s="11"/>
      <c r="H596" s="11"/>
    </row>
    <row r="597">
      <c r="D597" s="11"/>
      <c r="E597" s="11"/>
      <c r="F597" s="11"/>
      <c r="G597" s="11"/>
      <c r="H597" s="11"/>
    </row>
    <row r="598">
      <c r="D598" s="11"/>
      <c r="E598" s="11"/>
      <c r="F598" s="11"/>
      <c r="G598" s="11"/>
      <c r="H598" s="11"/>
    </row>
    <row r="599">
      <c r="D599" s="11"/>
      <c r="E599" s="11"/>
      <c r="F599" s="11"/>
      <c r="G599" s="11"/>
      <c r="H599" s="11"/>
    </row>
    <row r="600">
      <c r="D600" s="11"/>
      <c r="E600" s="11"/>
      <c r="F600" s="11"/>
      <c r="G600" s="11"/>
      <c r="H600" s="11"/>
    </row>
    <row r="601">
      <c r="D601" s="11"/>
      <c r="E601" s="11"/>
      <c r="F601" s="11"/>
      <c r="G601" s="11"/>
      <c r="H601" s="11"/>
    </row>
    <row r="602">
      <c r="D602" s="11"/>
      <c r="E602" s="11"/>
      <c r="F602" s="11"/>
      <c r="G602" s="11"/>
      <c r="H602" s="11"/>
    </row>
    <row r="603">
      <c r="D603" s="11"/>
      <c r="E603" s="11"/>
      <c r="F603" s="11"/>
      <c r="G603" s="11"/>
      <c r="H603" s="11"/>
    </row>
    <row r="604">
      <c r="D604" s="11"/>
      <c r="E604" s="11"/>
      <c r="F604" s="11"/>
      <c r="G604" s="11"/>
      <c r="H604" s="11"/>
    </row>
    <row r="605">
      <c r="D605" s="11"/>
      <c r="E605" s="11"/>
      <c r="F605" s="11"/>
      <c r="G605" s="11"/>
      <c r="H605" s="11"/>
    </row>
    <row r="606">
      <c r="D606" s="11"/>
      <c r="E606" s="11"/>
      <c r="F606" s="11"/>
      <c r="G606" s="11"/>
      <c r="H606" s="11"/>
    </row>
    <row r="607">
      <c r="D607" s="11"/>
      <c r="E607" s="11"/>
      <c r="F607" s="11"/>
      <c r="G607" s="11"/>
      <c r="H607" s="11"/>
    </row>
    <row r="608">
      <c r="D608" s="11"/>
      <c r="E608" s="11"/>
      <c r="F608" s="11"/>
      <c r="G608" s="11"/>
      <c r="H608" s="11"/>
    </row>
    <row r="609">
      <c r="D609" s="11"/>
      <c r="E609" s="11"/>
      <c r="F609" s="11"/>
      <c r="G609" s="11"/>
      <c r="H609" s="11"/>
    </row>
    <row r="610">
      <c r="D610" s="11"/>
      <c r="E610" s="11"/>
      <c r="F610" s="11"/>
      <c r="G610" s="11"/>
      <c r="H610" s="11"/>
    </row>
    <row r="611">
      <c r="D611" s="11"/>
      <c r="E611" s="11"/>
      <c r="F611" s="11"/>
      <c r="G611" s="11"/>
      <c r="H611" s="11"/>
    </row>
    <row r="612">
      <c r="D612" s="11"/>
      <c r="E612" s="11"/>
      <c r="F612" s="11"/>
      <c r="G612" s="11"/>
      <c r="H612" s="11"/>
    </row>
    <row r="613">
      <c r="D613" s="11"/>
      <c r="E613" s="11"/>
      <c r="F613" s="11"/>
      <c r="G613" s="11"/>
      <c r="H613" s="11"/>
    </row>
    <row r="614">
      <c r="D614" s="11"/>
      <c r="E614" s="11"/>
      <c r="F614" s="11"/>
      <c r="G614" s="11"/>
      <c r="H614" s="11"/>
    </row>
    <row r="615">
      <c r="D615" s="11"/>
      <c r="E615" s="11"/>
      <c r="F615" s="11"/>
      <c r="G615" s="11"/>
      <c r="H615" s="11"/>
    </row>
    <row r="616">
      <c r="D616" s="11"/>
      <c r="E616" s="11"/>
      <c r="F616" s="11"/>
      <c r="G616" s="11"/>
      <c r="H616" s="11"/>
    </row>
    <row r="617">
      <c r="D617" s="11"/>
      <c r="E617" s="11"/>
      <c r="F617" s="11"/>
      <c r="G617" s="11"/>
      <c r="H617" s="11"/>
    </row>
    <row r="618">
      <c r="D618" s="11"/>
      <c r="E618" s="11"/>
      <c r="F618" s="11"/>
      <c r="G618" s="11"/>
      <c r="H618" s="11"/>
    </row>
    <row r="619">
      <c r="D619" s="11"/>
      <c r="E619" s="11"/>
      <c r="F619" s="11"/>
      <c r="G619" s="11"/>
      <c r="H619" s="11"/>
    </row>
    <row r="620">
      <c r="D620" s="11"/>
      <c r="E620" s="11"/>
      <c r="F620" s="11"/>
      <c r="G620" s="11"/>
      <c r="H620" s="11"/>
    </row>
    <row r="621">
      <c r="D621" s="11"/>
      <c r="E621" s="11"/>
      <c r="F621" s="11"/>
      <c r="G621" s="11"/>
      <c r="H621" s="11"/>
    </row>
    <row r="622">
      <c r="D622" s="11"/>
      <c r="E622" s="11"/>
      <c r="F622" s="11"/>
      <c r="G622" s="11"/>
      <c r="H622" s="11"/>
    </row>
    <row r="623">
      <c r="D623" s="11"/>
      <c r="E623" s="11"/>
      <c r="F623" s="11"/>
      <c r="G623" s="11"/>
      <c r="H623" s="11"/>
    </row>
    <row r="624">
      <c r="D624" s="11"/>
      <c r="E624" s="11"/>
      <c r="F624" s="11"/>
      <c r="G624" s="11"/>
      <c r="H624" s="11"/>
    </row>
    <row r="625">
      <c r="D625" s="11"/>
      <c r="E625" s="11"/>
      <c r="F625" s="11"/>
      <c r="G625" s="11"/>
      <c r="H625" s="11"/>
    </row>
    <row r="626">
      <c r="D626" s="11"/>
      <c r="E626" s="11"/>
      <c r="F626" s="11"/>
      <c r="G626" s="11"/>
      <c r="H626" s="11"/>
    </row>
    <row r="627">
      <c r="D627" s="11"/>
      <c r="E627" s="11"/>
      <c r="F627" s="11"/>
      <c r="G627" s="11"/>
      <c r="H627" s="11"/>
    </row>
    <row r="628">
      <c r="D628" s="11"/>
      <c r="E628" s="11"/>
      <c r="F628" s="11"/>
      <c r="G628" s="11"/>
      <c r="H628" s="11"/>
    </row>
    <row r="629">
      <c r="D629" s="11"/>
      <c r="E629" s="11"/>
      <c r="F629" s="11"/>
      <c r="G629" s="11"/>
      <c r="H629" s="11"/>
    </row>
    <row r="630">
      <c r="D630" s="11"/>
      <c r="E630" s="11"/>
      <c r="F630" s="11"/>
      <c r="G630" s="11"/>
      <c r="H630" s="11"/>
    </row>
    <row r="631">
      <c r="D631" s="11"/>
      <c r="E631" s="11"/>
      <c r="F631" s="11"/>
      <c r="G631" s="11"/>
      <c r="H631" s="11"/>
    </row>
    <row r="632">
      <c r="D632" s="11"/>
      <c r="E632" s="11"/>
      <c r="F632" s="11"/>
      <c r="G632" s="11"/>
      <c r="H632" s="11"/>
    </row>
    <row r="633">
      <c r="D633" s="11"/>
      <c r="E633" s="11"/>
      <c r="F633" s="11"/>
      <c r="G633" s="11"/>
      <c r="H633" s="11"/>
    </row>
    <row r="634">
      <c r="D634" s="11"/>
      <c r="E634" s="11"/>
      <c r="F634" s="11"/>
      <c r="G634" s="11"/>
      <c r="H634" s="11"/>
    </row>
    <row r="635">
      <c r="D635" s="11"/>
      <c r="E635" s="11"/>
      <c r="F635" s="11"/>
      <c r="G635" s="11"/>
      <c r="H635" s="11"/>
    </row>
    <row r="636">
      <c r="D636" s="11"/>
      <c r="E636" s="11"/>
      <c r="F636" s="11"/>
      <c r="G636" s="11"/>
      <c r="H636" s="11"/>
    </row>
    <row r="637">
      <c r="D637" s="11"/>
      <c r="E637" s="11"/>
      <c r="F637" s="11"/>
      <c r="G637" s="11"/>
      <c r="H637" s="11"/>
    </row>
    <row r="638">
      <c r="D638" s="11"/>
      <c r="E638" s="11"/>
      <c r="F638" s="11"/>
      <c r="G638" s="11"/>
      <c r="H638" s="11"/>
    </row>
    <row r="639">
      <c r="D639" s="11"/>
      <c r="E639" s="11"/>
      <c r="F639" s="11"/>
      <c r="G639" s="11"/>
      <c r="H639" s="11"/>
    </row>
    <row r="640">
      <c r="D640" s="11"/>
      <c r="E640" s="11"/>
      <c r="F640" s="11"/>
      <c r="G640" s="11"/>
      <c r="H640" s="11"/>
    </row>
    <row r="641">
      <c r="D641" s="11"/>
      <c r="E641" s="11"/>
      <c r="F641" s="11"/>
      <c r="G641" s="11"/>
      <c r="H641" s="11"/>
    </row>
    <row r="642">
      <c r="D642" s="11"/>
      <c r="E642" s="11"/>
      <c r="F642" s="11"/>
      <c r="G642" s="11"/>
      <c r="H642" s="11"/>
    </row>
    <row r="643">
      <c r="D643" s="11"/>
      <c r="E643" s="11"/>
      <c r="F643" s="11"/>
      <c r="G643" s="11"/>
      <c r="H643" s="11"/>
    </row>
    <row r="644">
      <c r="D644" s="11"/>
      <c r="E644" s="11"/>
      <c r="F644" s="11"/>
      <c r="G644" s="11"/>
      <c r="H644" s="11"/>
    </row>
    <row r="645">
      <c r="D645" s="11"/>
      <c r="E645" s="11"/>
      <c r="F645" s="11"/>
      <c r="G645" s="11"/>
      <c r="H645" s="11"/>
    </row>
    <row r="646">
      <c r="D646" s="11"/>
      <c r="E646" s="11"/>
      <c r="F646" s="11"/>
      <c r="G646" s="11"/>
      <c r="H646" s="11"/>
    </row>
    <row r="647">
      <c r="D647" s="11"/>
      <c r="E647" s="11"/>
      <c r="F647" s="11"/>
      <c r="G647" s="11"/>
      <c r="H647" s="11"/>
    </row>
    <row r="648">
      <c r="D648" s="11"/>
      <c r="E648" s="11"/>
      <c r="F648" s="11"/>
      <c r="G648" s="11"/>
      <c r="H648" s="11"/>
    </row>
    <row r="649">
      <c r="D649" s="11"/>
      <c r="E649" s="11"/>
      <c r="F649" s="11"/>
      <c r="G649" s="11"/>
      <c r="H649" s="11"/>
    </row>
    <row r="650">
      <c r="D650" s="11"/>
      <c r="E650" s="11"/>
      <c r="F650" s="11"/>
      <c r="G650" s="11"/>
      <c r="H650" s="11"/>
    </row>
    <row r="651">
      <c r="D651" s="11"/>
      <c r="E651" s="11"/>
      <c r="F651" s="11"/>
      <c r="G651" s="11"/>
      <c r="H651" s="11"/>
    </row>
    <row r="652">
      <c r="D652" s="11"/>
      <c r="E652" s="11"/>
      <c r="F652" s="11"/>
      <c r="G652" s="11"/>
      <c r="H652" s="11"/>
    </row>
    <row r="653">
      <c r="D653" s="11"/>
      <c r="E653" s="11"/>
      <c r="F653" s="11"/>
      <c r="G653" s="11"/>
      <c r="H653" s="11"/>
    </row>
    <row r="654">
      <c r="D654" s="11"/>
      <c r="E654" s="11"/>
      <c r="F654" s="11"/>
      <c r="G654" s="11"/>
      <c r="H654" s="11"/>
    </row>
    <row r="655">
      <c r="D655" s="11"/>
      <c r="E655" s="11"/>
      <c r="F655" s="11"/>
      <c r="G655" s="11"/>
      <c r="H655" s="11"/>
    </row>
    <row r="656">
      <c r="D656" s="11"/>
      <c r="E656" s="11"/>
      <c r="F656" s="11"/>
      <c r="G656" s="11"/>
      <c r="H656" s="11"/>
    </row>
    <row r="657">
      <c r="D657" s="11"/>
      <c r="E657" s="11"/>
      <c r="F657" s="11"/>
      <c r="G657" s="11"/>
      <c r="H657" s="11"/>
    </row>
    <row r="658">
      <c r="D658" s="11"/>
      <c r="E658" s="11"/>
      <c r="F658" s="11"/>
      <c r="G658" s="11"/>
      <c r="H658" s="11"/>
    </row>
    <row r="659">
      <c r="D659" s="11"/>
      <c r="E659" s="11"/>
      <c r="F659" s="11"/>
      <c r="G659" s="11"/>
      <c r="H659" s="11"/>
    </row>
    <row r="660">
      <c r="D660" s="11"/>
      <c r="E660" s="11"/>
      <c r="F660" s="11"/>
      <c r="G660" s="11"/>
      <c r="H660" s="11"/>
    </row>
    <row r="661">
      <c r="D661" s="11"/>
      <c r="E661" s="11"/>
      <c r="F661" s="11"/>
      <c r="G661" s="11"/>
      <c r="H661" s="11"/>
    </row>
    <row r="662">
      <c r="D662" s="11"/>
      <c r="E662" s="11"/>
      <c r="F662" s="11"/>
      <c r="G662" s="11"/>
      <c r="H662" s="11"/>
    </row>
    <row r="663">
      <c r="D663" s="11"/>
      <c r="E663" s="11"/>
      <c r="F663" s="11"/>
      <c r="G663" s="11"/>
      <c r="H663" s="11"/>
    </row>
    <row r="664">
      <c r="D664" s="11"/>
      <c r="E664" s="11"/>
      <c r="F664" s="11"/>
      <c r="G664" s="11"/>
      <c r="H664" s="11"/>
    </row>
    <row r="665">
      <c r="D665" s="11"/>
      <c r="E665" s="11"/>
      <c r="F665" s="11"/>
      <c r="G665" s="11"/>
      <c r="H665" s="11"/>
    </row>
    <row r="666">
      <c r="D666" s="11"/>
      <c r="E666" s="11"/>
      <c r="F666" s="11"/>
      <c r="G666" s="11"/>
      <c r="H666" s="11"/>
    </row>
    <row r="667">
      <c r="D667" s="11"/>
      <c r="E667" s="11"/>
      <c r="F667" s="11"/>
      <c r="G667" s="11"/>
      <c r="H667" s="11"/>
    </row>
    <row r="668">
      <c r="D668" s="11"/>
      <c r="E668" s="11"/>
      <c r="F668" s="11"/>
      <c r="G668" s="11"/>
      <c r="H668" s="11"/>
    </row>
    <row r="669">
      <c r="D669" s="11"/>
      <c r="E669" s="11"/>
      <c r="F669" s="11"/>
      <c r="G669" s="11"/>
      <c r="H669" s="11"/>
    </row>
    <row r="670">
      <c r="D670" s="11"/>
      <c r="E670" s="11"/>
      <c r="F670" s="11"/>
      <c r="G670" s="11"/>
      <c r="H670" s="11"/>
    </row>
    <row r="671">
      <c r="D671" s="11"/>
      <c r="E671" s="11"/>
      <c r="F671" s="11"/>
      <c r="G671" s="11"/>
      <c r="H671" s="11"/>
    </row>
    <row r="672">
      <c r="D672" s="11"/>
      <c r="E672" s="11"/>
      <c r="F672" s="11"/>
      <c r="G672" s="11"/>
      <c r="H672" s="11"/>
    </row>
    <row r="673">
      <c r="D673" s="11"/>
      <c r="E673" s="11"/>
      <c r="F673" s="11"/>
      <c r="G673" s="11"/>
      <c r="H673" s="11"/>
    </row>
    <row r="674">
      <c r="D674" s="11"/>
      <c r="E674" s="11"/>
      <c r="F674" s="11"/>
      <c r="G674" s="11"/>
      <c r="H674" s="11"/>
    </row>
    <row r="675">
      <c r="D675" s="11"/>
      <c r="E675" s="11"/>
      <c r="F675" s="11"/>
      <c r="G675" s="11"/>
      <c r="H675" s="11"/>
    </row>
    <row r="676">
      <c r="D676" s="11"/>
      <c r="E676" s="11"/>
      <c r="F676" s="11"/>
      <c r="G676" s="11"/>
      <c r="H676" s="11"/>
    </row>
    <row r="677">
      <c r="D677" s="11"/>
      <c r="E677" s="11"/>
      <c r="F677" s="11"/>
      <c r="G677" s="11"/>
      <c r="H677" s="11"/>
    </row>
    <row r="678">
      <c r="D678" s="11"/>
      <c r="E678" s="11"/>
      <c r="F678" s="11"/>
      <c r="G678" s="11"/>
      <c r="H678" s="11"/>
    </row>
    <row r="679">
      <c r="D679" s="11"/>
      <c r="E679" s="11"/>
      <c r="F679" s="11"/>
      <c r="G679" s="11"/>
      <c r="H679" s="11"/>
    </row>
    <row r="680">
      <c r="D680" s="11"/>
      <c r="E680" s="11"/>
      <c r="F680" s="11"/>
      <c r="G680" s="11"/>
      <c r="H680" s="11"/>
    </row>
    <row r="681">
      <c r="D681" s="11"/>
      <c r="E681" s="11"/>
      <c r="F681" s="11"/>
      <c r="G681" s="11"/>
      <c r="H681" s="11"/>
    </row>
    <row r="682">
      <c r="D682" s="11"/>
      <c r="E682" s="11"/>
      <c r="F682" s="11"/>
      <c r="G682" s="11"/>
      <c r="H682" s="11"/>
    </row>
    <row r="683">
      <c r="D683" s="11"/>
      <c r="E683" s="11"/>
      <c r="F683" s="11"/>
      <c r="G683" s="11"/>
      <c r="H683" s="11"/>
    </row>
    <row r="684">
      <c r="D684" s="11"/>
      <c r="E684" s="11"/>
      <c r="F684" s="11"/>
      <c r="G684" s="11"/>
      <c r="H684" s="11"/>
    </row>
    <row r="685">
      <c r="D685" s="11"/>
      <c r="E685" s="11"/>
      <c r="F685" s="11"/>
      <c r="G685" s="11"/>
      <c r="H685" s="11"/>
    </row>
    <row r="686">
      <c r="D686" s="11"/>
      <c r="E686" s="11"/>
      <c r="F686" s="11"/>
      <c r="G686" s="11"/>
      <c r="H686" s="11"/>
    </row>
    <row r="687">
      <c r="D687" s="11"/>
      <c r="E687" s="11"/>
      <c r="F687" s="11"/>
      <c r="G687" s="11"/>
      <c r="H687" s="11"/>
    </row>
    <row r="688">
      <c r="D688" s="11"/>
      <c r="E688" s="11"/>
      <c r="F688" s="11"/>
      <c r="G688" s="11"/>
      <c r="H688" s="11"/>
    </row>
    <row r="689">
      <c r="D689" s="11"/>
      <c r="E689" s="11"/>
      <c r="F689" s="11"/>
      <c r="G689" s="11"/>
      <c r="H689" s="11"/>
    </row>
    <row r="690">
      <c r="D690" s="11"/>
      <c r="E690" s="11"/>
      <c r="F690" s="11"/>
      <c r="G690" s="11"/>
      <c r="H690" s="11"/>
    </row>
    <row r="691">
      <c r="D691" s="11"/>
      <c r="E691" s="11"/>
      <c r="F691" s="11"/>
      <c r="G691" s="11"/>
      <c r="H691" s="11"/>
    </row>
    <row r="692">
      <c r="D692" s="11"/>
      <c r="E692" s="11"/>
      <c r="F692" s="11"/>
      <c r="G692" s="11"/>
      <c r="H692" s="11"/>
    </row>
    <row r="693">
      <c r="D693" s="11"/>
      <c r="E693" s="11"/>
      <c r="F693" s="11"/>
      <c r="G693" s="11"/>
      <c r="H693" s="11"/>
    </row>
    <row r="694">
      <c r="D694" s="11"/>
      <c r="E694" s="11"/>
      <c r="F694" s="11"/>
      <c r="G694" s="11"/>
      <c r="H694" s="11"/>
    </row>
    <row r="695">
      <c r="D695" s="11"/>
      <c r="E695" s="11"/>
      <c r="F695" s="11"/>
      <c r="G695" s="11"/>
      <c r="H695" s="11"/>
    </row>
    <row r="696">
      <c r="D696" s="11"/>
      <c r="E696" s="11"/>
      <c r="F696" s="11"/>
      <c r="G696" s="11"/>
      <c r="H696" s="11"/>
    </row>
    <row r="697">
      <c r="D697" s="11"/>
      <c r="E697" s="11"/>
      <c r="F697" s="11"/>
      <c r="G697" s="11"/>
      <c r="H697" s="11"/>
    </row>
    <row r="698">
      <c r="D698" s="11"/>
      <c r="E698" s="11"/>
      <c r="F698" s="11"/>
      <c r="G698" s="11"/>
      <c r="H698" s="11"/>
    </row>
    <row r="699">
      <c r="D699" s="11"/>
      <c r="E699" s="11"/>
      <c r="F699" s="11"/>
      <c r="G699" s="11"/>
      <c r="H699" s="11"/>
    </row>
    <row r="700">
      <c r="D700" s="11"/>
      <c r="E700" s="11"/>
      <c r="F700" s="11"/>
      <c r="G700" s="11"/>
      <c r="H700" s="11"/>
    </row>
    <row r="701">
      <c r="D701" s="11"/>
      <c r="E701" s="11"/>
      <c r="F701" s="11"/>
      <c r="G701" s="11"/>
      <c r="H701" s="11"/>
    </row>
    <row r="702">
      <c r="D702" s="11"/>
      <c r="E702" s="11"/>
      <c r="F702" s="11"/>
      <c r="G702" s="11"/>
      <c r="H702" s="11"/>
    </row>
    <row r="703">
      <c r="D703" s="11"/>
      <c r="E703" s="11"/>
      <c r="F703" s="11"/>
      <c r="G703" s="11"/>
      <c r="H703" s="11"/>
    </row>
    <row r="704">
      <c r="D704" s="11"/>
      <c r="E704" s="11"/>
      <c r="F704" s="11"/>
      <c r="G704" s="11"/>
      <c r="H704" s="11"/>
    </row>
    <row r="705">
      <c r="D705" s="11"/>
      <c r="E705" s="11"/>
      <c r="F705" s="11"/>
      <c r="G705" s="11"/>
      <c r="H705" s="11"/>
    </row>
    <row r="706">
      <c r="D706" s="11"/>
      <c r="E706" s="11"/>
      <c r="F706" s="11"/>
      <c r="G706" s="11"/>
      <c r="H706" s="11"/>
    </row>
    <row r="707">
      <c r="D707" s="11"/>
      <c r="E707" s="11"/>
      <c r="F707" s="11"/>
      <c r="G707" s="11"/>
      <c r="H707" s="11"/>
    </row>
    <row r="708">
      <c r="D708" s="11"/>
      <c r="E708" s="11"/>
      <c r="F708" s="11"/>
      <c r="G708" s="11"/>
      <c r="H708" s="11"/>
    </row>
    <row r="709">
      <c r="D709" s="11"/>
      <c r="E709" s="11"/>
      <c r="F709" s="11"/>
      <c r="G709" s="11"/>
      <c r="H709" s="11"/>
    </row>
    <row r="710">
      <c r="D710" s="11"/>
      <c r="E710" s="11"/>
      <c r="F710" s="11"/>
      <c r="G710" s="11"/>
      <c r="H710" s="11"/>
    </row>
    <row r="711">
      <c r="D711" s="11"/>
      <c r="E711" s="11"/>
      <c r="F711" s="11"/>
      <c r="G711" s="11"/>
      <c r="H711" s="11"/>
    </row>
    <row r="712">
      <c r="D712" s="11"/>
      <c r="E712" s="11"/>
      <c r="F712" s="11"/>
      <c r="G712" s="11"/>
      <c r="H712" s="11"/>
    </row>
    <row r="713">
      <c r="D713" s="11"/>
      <c r="E713" s="11"/>
      <c r="F713" s="11"/>
      <c r="G713" s="11"/>
      <c r="H713" s="11"/>
    </row>
    <row r="714">
      <c r="D714" s="11"/>
      <c r="E714" s="11"/>
      <c r="F714" s="11"/>
      <c r="G714" s="11"/>
      <c r="H714" s="11"/>
    </row>
    <row r="715">
      <c r="D715" s="11"/>
      <c r="E715" s="11"/>
      <c r="F715" s="11"/>
      <c r="G715" s="11"/>
      <c r="H715" s="11"/>
    </row>
    <row r="716">
      <c r="D716" s="11"/>
      <c r="E716" s="11"/>
      <c r="F716" s="11"/>
      <c r="G716" s="11"/>
      <c r="H716" s="11"/>
    </row>
    <row r="717">
      <c r="D717" s="11"/>
      <c r="E717" s="11"/>
      <c r="F717" s="11"/>
      <c r="G717" s="11"/>
      <c r="H717" s="11"/>
    </row>
    <row r="718">
      <c r="D718" s="11"/>
      <c r="E718" s="11"/>
      <c r="F718" s="11"/>
      <c r="G718" s="11"/>
      <c r="H718" s="11"/>
    </row>
    <row r="719">
      <c r="D719" s="11"/>
      <c r="E719" s="11"/>
      <c r="F719" s="11"/>
      <c r="G719" s="11"/>
      <c r="H719" s="11"/>
    </row>
    <row r="720">
      <c r="D720" s="11"/>
      <c r="E720" s="11"/>
      <c r="F720" s="11"/>
      <c r="G720" s="11"/>
      <c r="H720" s="11"/>
    </row>
    <row r="721">
      <c r="D721" s="11"/>
      <c r="E721" s="11"/>
      <c r="F721" s="11"/>
      <c r="G721" s="11"/>
      <c r="H721" s="11"/>
    </row>
    <row r="722">
      <c r="D722" s="11"/>
      <c r="E722" s="11"/>
      <c r="F722" s="11"/>
      <c r="G722" s="11"/>
      <c r="H722" s="11"/>
    </row>
    <row r="723">
      <c r="D723" s="11"/>
      <c r="E723" s="11"/>
      <c r="F723" s="11"/>
      <c r="G723" s="11"/>
      <c r="H723" s="11"/>
    </row>
    <row r="724">
      <c r="D724" s="11"/>
      <c r="E724" s="11"/>
      <c r="F724" s="11"/>
      <c r="G724" s="11"/>
      <c r="H724" s="11"/>
    </row>
    <row r="725">
      <c r="D725" s="11"/>
      <c r="E725" s="11"/>
      <c r="F725" s="11"/>
      <c r="G725" s="11"/>
      <c r="H725" s="11"/>
    </row>
    <row r="726">
      <c r="D726" s="11"/>
      <c r="E726" s="11"/>
      <c r="F726" s="11"/>
      <c r="G726" s="11"/>
      <c r="H726" s="11"/>
    </row>
    <row r="727">
      <c r="D727" s="11"/>
      <c r="E727" s="11"/>
      <c r="F727" s="11"/>
      <c r="G727" s="11"/>
      <c r="H727" s="11"/>
    </row>
    <row r="728">
      <c r="D728" s="11"/>
      <c r="E728" s="11"/>
      <c r="F728" s="11"/>
      <c r="G728" s="11"/>
      <c r="H728" s="11"/>
    </row>
    <row r="729">
      <c r="D729" s="11"/>
      <c r="E729" s="11"/>
      <c r="F729" s="11"/>
      <c r="G729" s="11"/>
      <c r="H729" s="11"/>
    </row>
    <row r="730">
      <c r="D730" s="11"/>
      <c r="E730" s="11"/>
      <c r="F730" s="11"/>
      <c r="G730" s="11"/>
      <c r="H730" s="11"/>
    </row>
    <row r="731">
      <c r="D731" s="11"/>
      <c r="E731" s="11"/>
      <c r="F731" s="11"/>
      <c r="G731" s="11"/>
      <c r="H731" s="11"/>
    </row>
    <row r="732">
      <c r="D732" s="11"/>
      <c r="E732" s="11"/>
      <c r="F732" s="11"/>
      <c r="G732" s="11"/>
      <c r="H732" s="11"/>
    </row>
    <row r="733">
      <c r="D733" s="11"/>
      <c r="E733" s="11"/>
      <c r="F733" s="11"/>
      <c r="G733" s="11"/>
      <c r="H733" s="11"/>
    </row>
    <row r="734">
      <c r="D734" s="11"/>
      <c r="E734" s="11"/>
      <c r="F734" s="11"/>
      <c r="G734" s="11"/>
      <c r="H734" s="11"/>
    </row>
    <row r="735">
      <c r="D735" s="11"/>
      <c r="E735" s="11"/>
      <c r="F735" s="11"/>
      <c r="G735" s="11"/>
      <c r="H735" s="11"/>
    </row>
    <row r="736">
      <c r="D736" s="11"/>
      <c r="E736" s="11"/>
      <c r="F736" s="11"/>
      <c r="G736" s="11"/>
      <c r="H736" s="11"/>
    </row>
    <row r="737">
      <c r="D737" s="11"/>
      <c r="E737" s="11"/>
      <c r="F737" s="11"/>
      <c r="G737" s="11"/>
      <c r="H737" s="11"/>
    </row>
    <row r="738">
      <c r="D738" s="11"/>
      <c r="E738" s="11"/>
      <c r="F738" s="11"/>
      <c r="G738" s="11"/>
      <c r="H738" s="11"/>
    </row>
    <row r="739">
      <c r="D739" s="11"/>
      <c r="E739" s="11"/>
      <c r="F739" s="11"/>
      <c r="G739" s="11"/>
      <c r="H739" s="11"/>
    </row>
    <row r="740">
      <c r="D740" s="11"/>
      <c r="E740" s="11"/>
      <c r="F740" s="11"/>
      <c r="G740" s="11"/>
      <c r="H740" s="11"/>
    </row>
    <row r="741">
      <c r="D741" s="11"/>
      <c r="E741" s="11"/>
      <c r="F741" s="11"/>
      <c r="G741" s="11"/>
      <c r="H741" s="11"/>
    </row>
    <row r="742">
      <c r="D742" s="11"/>
      <c r="E742" s="11"/>
      <c r="F742" s="11"/>
      <c r="G742" s="11"/>
      <c r="H742" s="11"/>
    </row>
    <row r="743">
      <c r="D743" s="11"/>
      <c r="E743" s="11"/>
      <c r="F743" s="11"/>
      <c r="G743" s="11"/>
      <c r="H743" s="11"/>
    </row>
    <row r="744">
      <c r="D744" s="11"/>
      <c r="E744" s="11"/>
      <c r="F744" s="11"/>
      <c r="G744" s="11"/>
      <c r="H744" s="11"/>
    </row>
    <row r="745">
      <c r="D745" s="11"/>
      <c r="E745" s="11"/>
      <c r="F745" s="11"/>
      <c r="G745" s="11"/>
      <c r="H745" s="11"/>
    </row>
    <row r="746">
      <c r="D746" s="11"/>
      <c r="E746" s="11"/>
      <c r="F746" s="11"/>
      <c r="G746" s="11"/>
      <c r="H746" s="11"/>
    </row>
    <row r="747">
      <c r="D747" s="11"/>
      <c r="E747" s="11"/>
      <c r="F747" s="11"/>
      <c r="G747" s="11"/>
      <c r="H747" s="11"/>
    </row>
    <row r="748">
      <c r="D748" s="11"/>
      <c r="E748" s="11"/>
      <c r="F748" s="11"/>
      <c r="G748" s="11"/>
      <c r="H748" s="11"/>
    </row>
    <row r="749">
      <c r="D749" s="11"/>
      <c r="E749" s="11"/>
      <c r="F749" s="11"/>
      <c r="G749" s="11"/>
      <c r="H749" s="11"/>
    </row>
    <row r="750">
      <c r="D750" s="11"/>
      <c r="E750" s="11"/>
      <c r="F750" s="11"/>
      <c r="G750" s="11"/>
      <c r="H750" s="11"/>
    </row>
    <row r="751">
      <c r="D751" s="11"/>
      <c r="E751" s="11"/>
      <c r="F751" s="11"/>
      <c r="G751" s="11"/>
      <c r="H751" s="11"/>
    </row>
    <row r="752">
      <c r="D752" s="11"/>
      <c r="E752" s="11"/>
      <c r="F752" s="11"/>
      <c r="G752" s="11"/>
      <c r="H752" s="11"/>
    </row>
    <row r="753">
      <c r="D753" s="11"/>
      <c r="E753" s="11"/>
      <c r="F753" s="11"/>
      <c r="G753" s="11"/>
      <c r="H753" s="11"/>
    </row>
    <row r="754">
      <c r="D754" s="11"/>
      <c r="E754" s="11"/>
      <c r="F754" s="11"/>
      <c r="G754" s="11"/>
      <c r="H754" s="11"/>
    </row>
    <row r="755">
      <c r="D755" s="11"/>
      <c r="E755" s="11"/>
      <c r="F755" s="11"/>
      <c r="G755" s="11"/>
      <c r="H755" s="11"/>
    </row>
    <row r="756">
      <c r="D756" s="11"/>
      <c r="E756" s="11"/>
      <c r="F756" s="11"/>
      <c r="G756" s="11"/>
      <c r="H756" s="11"/>
    </row>
    <row r="757">
      <c r="D757" s="11"/>
      <c r="E757" s="11"/>
      <c r="F757" s="11"/>
      <c r="G757" s="11"/>
      <c r="H757" s="11"/>
    </row>
    <row r="758">
      <c r="D758" s="11"/>
      <c r="E758" s="11"/>
      <c r="F758" s="11"/>
      <c r="G758" s="11"/>
      <c r="H758" s="11"/>
    </row>
    <row r="759">
      <c r="D759" s="11"/>
      <c r="E759" s="11"/>
      <c r="F759" s="11"/>
      <c r="G759" s="11"/>
      <c r="H759" s="11"/>
    </row>
    <row r="760">
      <c r="D760" s="11"/>
      <c r="E760" s="11"/>
      <c r="F760" s="11"/>
      <c r="G760" s="11"/>
      <c r="H760" s="11"/>
    </row>
    <row r="761">
      <c r="D761" s="11"/>
      <c r="E761" s="11"/>
      <c r="F761" s="11"/>
      <c r="G761" s="11"/>
      <c r="H761" s="11"/>
    </row>
    <row r="762">
      <c r="D762" s="11"/>
      <c r="E762" s="11"/>
      <c r="F762" s="11"/>
      <c r="G762" s="11"/>
      <c r="H762" s="11"/>
    </row>
    <row r="763">
      <c r="D763" s="11"/>
      <c r="E763" s="11"/>
      <c r="F763" s="11"/>
      <c r="G763" s="11"/>
      <c r="H763" s="11"/>
    </row>
    <row r="764">
      <c r="D764" s="11"/>
      <c r="E764" s="11"/>
      <c r="F764" s="11"/>
      <c r="G764" s="11"/>
      <c r="H764" s="11"/>
    </row>
    <row r="765">
      <c r="D765" s="11"/>
      <c r="E765" s="11"/>
      <c r="F765" s="11"/>
      <c r="G765" s="11"/>
      <c r="H765" s="11"/>
    </row>
    <row r="766">
      <c r="D766" s="11"/>
      <c r="E766" s="11"/>
      <c r="F766" s="11"/>
      <c r="G766" s="11"/>
      <c r="H766" s="11"/>
    </row>
    <row r="767">
      <c r="D767" s="11"/>
      <c r="E767" s="11"/>
      <c r="F767" s="11"/>
      <c r="G767" s="11"/>
      <c r="H767" s="11"/>
    </row>
    <row r="768">
      <c r="D768" s="11"/>
      <c r="E768" s="11"/>
      <c r="F768" s="11"/>
      <c r="G768" s="11"/>
      <c r="H768" s="11"/>
    </row>
    <row r="769">
      <c r="D769" s="11"/>
      <c r="E769" s="11"/>
      <c r="F769" s="11"/>
      <c r="G769" s="11"/>
      <c r="H769" s="11"/>
    </row>
    <row r="770">
      <c r="D770" s="11"/>
      <c r="E770" s="11"/>
      <c r="F770" s="11"/>
      <c r="G770" s="11"/>
      <c r="H770" s="11"/>
    </row>
    <row r="771">
      <c r="D771" s="11"/>
      <c r="E771" s="11"/>
      <c r="F771" s="11"/>
      <c r="G771" s="11"/>
      <c r="H771" s="11"/>
    </row>
    <row r="772">
      <c r="D772" s="11"/>
      <c r="E772" s="11"/>
      <c r="F772" s="11"/>
      <c r="G772" s="11"/>
      <c r="H772" s="11"/>
    </row>
    <row r="773">
      <c r="D773" s="11"/>
      <c r="E773" s="11"/>
      <c r="F773" s="11"/>
      <c r="G773" s="11"/>
      <c r="H773" s="11"/>
    </row>
    <row r="774">
      <c r="D774" s="11"/>
      <c r="E774" s="11"/>
      <c r="F774" s="11"/>
      <c r="G774" s="11"/>
      <c r="H774" s="11"/>
    </row>
    <row r="775">
      <c r="D775" s="11"/>
      <c r="E775" s="11"/>
      <c r="F775" s="11"/>
      <c r="G775" s="11"/>
      <c r="H775" s="11"/>
    </row>
    <row r="776">
      <c r="D776" s="11"/>
      <c r="E776" s="11"/>
      <c r="F776" s="11"/>
      <c r="G776" s="11"/>
      <c r="H776" s="11"/>
    </row>
    <row r="777">
      <c r="D777" s="11"/>
      <c r="E777" s="11"/>
      <c r="F777" s="11"/>
      <c r="G777" s="11"/>
      <c r="H777" s="11"/>
    </row>
    <row r="778">
      <c r="D778" s="11"/>
      <c r="E778" s="11"/>
      <c r="F778" s="11"/>
      <c r="G778" s="11"/>
      <c r="H778" s="11"/>
    </row>
    <row r="779">
      <c r="D779" s="11"/>
      <c r="E779" s="11"/>
      <c r="F779" s="11"/>
      <c r="G779" s="11"/>
      <c r="H779" s="11"/>
    </row>
    <row r="780">
      <c r="D780" s="11"/>
      <c r="E780" s="11"/>
      <c r="F780" s="11"/>
      <c r="G780" s="11"/>
      <c r="H780" s="11"/>
    </row>
    <row r="781">
      <c r="D781" s="11"/>
      <c r="E781" s="11"/>
      <c r="F781" s="11"/>
      <c r="G781" s="11"/>
      <c r="H781" s="11"/>
    </row>
    <row r="782">
      <c r="D782" s="11"/>
      <c r="E782" s="11"/>
      <c r="F782" s="11"/>
      <c r="G782" s="11"/>
      <c r="H782" s="11"/>
    </row>
    <row r="783">
      <c r="D783" s="11"/>
      <c r="E783" s="11"/>
      <c r="F783" s="11"/>
      <c r="G783" s="11"/>
      <c r="H783" s="11"/>
    </row>
    <row r="784">
      <c r="D784" s="11"/>
      <c r="E784" s="11"/>
      <c r="F784" s="11"/>
      <c r="G784" s="11"/>
      <c r="H784" s="11"/>
    </row>
    <row r="785">
      <c r="D785" s="11"/>
      <c r="E785" s="11"/>
      <c r="F785" s="11"/>
      <c r="G785" s="11"/>
      <c r="H785" s="11"/>
    </row>
    <row r="786">
      <c r="D786" s="11"/>
      <c r="E786" s="11"/>
      <c r="F786" s="11"/>
      <c r="G786" s="11"/>
      <c r="H786" s="11"/>
    </row>
    <row r="787">
      <c r="D787" s="11"/>
      <c r="E787" s="11"/>
      <c r="F787" s="11"/>
      <c r="G787" s="11"/>
      <c r="H787" s="11"/>
    </row>
    <row r="788">
      <c r="D788" s="11"/>
      <c r="E788" s="11"/>
      <c r="F788" s="11"/>
      <c r="G788" s="11"/>
      <c r="H788" s="11"/>
    </row>
    <row r="789">
      <c r="D789" s="11"/>
      <c r="E789" s="11"/>
      <c r="F789" s="11"/>
      <c r="G789" s="11"/>
      <c r="H789" s="11"/>
    </row>
    <row r="790">
      <c r="D790" s="11"/>
      <c r="E790" s="11"/>
      <c r="F790" s="11"/>
      <c r="G790" s="11"/>
      <c r="H790" s="11"/>
    </row>
    <row r="791">
      <c r="D791" s="11"/>
      <c r="E791" s="11"/>
      <c r="F791" s="11"/>
      <c r="G791" s="11"/>
      <c r="H791" s="11"/>
    </row>
    <row r="792">
      <c r="D792" s="11"/>
      <c r="E792" s="11"/>
      <c r="F792" s="11"/>
      <c r="G792" s="11"/>
      <c r="H792" s="11"/>
    </row>
    <row r="793">
      <c r="D793" s="11"/>
      <c r="E793" s="11"/>
      <c r="F793" s="11"/>
      <c r="G793" s="11"/>
      <c r="H793" s="11"/>
    </row>
    <row r="794">
      <c r="D794" s="11"/>
      <c r="E794" s="11"/>
      <c r="F794" s="11"/>
      <c r="G794" s="11"/>
      <c r="H794" s="11"/>
    </row>
    <row r="795">
      <c r="D795" s="11"/>
      <c r="E795" s="11"/>
      <c r="F795" s="11"/>
      <c r="G795" s="11"/>
      <c r="H795" s="11"/>
    </row>
    <row r="796">
      <c r="D796" s="11"/>
      <c r="E796" s="11"/>
      <c r="F796" s="11"/>
      <c r="G796" s="11"/>
      <c r="H796" s="11"/>
    </row>
    <row r="797">
      <c r="D797" s="11"/>
      <c r="E797" s="11"/>
      <c r="F797" s="11"/>
      <c r="G797" s="11"/>
      <c r="H797" s="11"/>
    </row>
    <row r="798">
      <c r="D798" s="11"/>
      <c r="E798" s="11"/>
      <c r="F798" s="11"/>
      <c r="G798" s="11"/>
      <c r="H798" s="11"/>
    </row>
    <row r="799">
      <c r="D799" s="11"/>
      <c r="E799" s="11"/>
      <c r="F799" s="11"/>
      <c r="G799" s="11"/>
      <c r="H799" s="11"/>
    </row>
    <row r="800">
      <c r="D800" s="11"/>
      <c r="E800" s="11"/>
      <c r="F800" s="11"/>
      <c r="G800" s="11"/>
      <c r="H800" s="11"/>
    </row>
    <row r="801">
      <c r="D801" s="11"/>
      <c r="E801" s="11"/>
      <c r="F801" s="11"/>
      <c r="G801" s="11"/>
      <c r="H801" s="11"/>
    </row>
    <row r="802">
      <c r="D802" s="11"/>
      <c r="E802" s="11"/>
      <c r="F802" s="11"/>
      <c r="G802" s="11"/>
      <c r="H802" s="11"/>
    </row>
    <row r="803">
      <c r="D803" s="11"/>
      <c r="E803" s="11"/>
      <c r="F803" s="11"/>
      <c r="G803" s="11"/>
      <c r="H803" s="11"/>
    </row>
    <row r="804">
      <c r="D804" s="11"/>
      <c r="E804" s="11"/>
      <c r="F804" s="11"/>
      <c r="G804" s="11"/>
      <c r="H804" s="11"/>
    </row>
    <row r="805">
      <c r="D805" s="11"/>
      <c r="E805" s="11"/>
      <c r="F805" s="11"/>
      <c r="G805" s="11"/>
      <c r="H805" s="11"/>
    </row>
    <row r="806">
      <c r="D806" s="11"/>
      <c r="E806" s="11"/>
      <c r="F806" s="11"/>
      <c r="G806" s="11"/>
      <c r="H806" s="11"/>
    </row>
    <row r="807">
      <c r="D807" s="11"/>
      <c r="E807" s="11"/>
      <c r="F807" s="11"/>
      <c r="G807" s="11"/>
      <c r="H807" s="11"/>
    </row>
    <row r="808">
      <c r="D808" s="11"/>
      <c r="E808" s="11"/>
      <c r="F808" s="11"/>
      <c r="G808" s="11"/>
      <c r="H808" s="11"/>
    </row>
    <row r="809">
      <c r="D809" s="11"/>
      <c r="E809" s="11"/>
      <c r="F809" s="11"/>
      <c r="G809" s="11"/>
      <c r="H809" s="11"/>
    </row>
    <row r="810">
      <c r="D810" s="11"/>
      <c r="E810" s="11"/>
      <c r="F810" s="11"/>
      <c r="G810" s="11"/>
      <c r="H810" s="11"/>
    </row>
    <row r="811">
      <c r="D811" s="11"/>
      <c r="E811" s="11"/>
      <c r="F811" s="11"/>
      <c r="G811" s="11"/>
      <c r="H811" s="11"/>
    </row>
    <row r="812">
      <c r="D812" s="11"/>
      <c r="E812" s="11"/>
      <c r="F812" s="11"/>
      <c r="G812" s="11"/>
      <c r="H812" s="11"/>
    </row>
    <row r="813">
      <c r="D813" s="11"/>
      <c r="E813" s="11"/>
      <c r="F813" s="11"/>
      <c r="G813" s="11"/>
      <c r="H813" s="11"/>
    </row>
    <row r="814">
      <c r="D814" s="11"/>
      <c r="E814" s="11"/>
      <c r="F814" s="11"/>
      <c r="G814" s="11"/>
      <c r="H814" s="11"/>
    </row>
    <row r="815">
      <c r="D815" s="11"/>
      <c r="E815" s="11"/>
      <c r="F815" s="11"/>
      <c r="G815" s="11"/>
      <c r="H815" s="11"/>
    </row>
    <row r="816">
      <c r="D816" s="11"/>
      <c r="E816" s="11"/>
      <c r="F816" s="11"/>
      <c r="G816" s="11"/>
      <c r="H816" s="11"/>
    </row>
    <row r="817">
      <c r="D817" s="11"/>
      <c r="E817" s="11"/>
      <c r="F817" s="11"/>
      <c r="G817" s="11"/>
      <c r="H817" s="11"/>
    </row>
    <row r="818">
      <c r="D818" s="11"/>
      <c r="E818" s="11"/>
      <c r="F818" s="11"/>
      <c r="G818" s="11"/>
      <c r="H818" s="11"/>
    </row>
    <row r="819">
      <c r="D819" s="11"/>
      <c r="E819" s="11"/>
      <c r="F819" s="11"/>
      <c r="G819" s="11"/>
      <c r="H819" s="11"/>
    </row>
    <row r="820">
      <c r="D820" s="11"/>
      <c r="E820" s="11"/>
      <c r="F820" s="11"/>
      <c r="G820" s="11"/>
      <c r="H820" s="11"/>
    </row>
    <row r="821">
      <c r="D821" s="11"/>
      <c r="E821" s="11"/>
      <c r="F821" s="11"/>
      <c r="G821" s="11"/>
      <c r="H821" s="11"/>
    </row>
    <row r="822">
      <c r="D822" s="11"/>
      <c r="E822" s="11"/>
      <c r="F822" s="11"/>
      <c r="G822" s="11"/>
      <c r="H822" s="11"/>
    </row>
    <row r="823">
      <c r="D823" s="11"/>
      <c r="E823" s="11"/>
      <c r="F823" s="11"/>
      <c r="G823" s="11"/>
      <c r="H823" s="11"/>
    </row>
    <row r="824">
      <c r="D824" s="11"/>
      <c r="E824" s="11"/>
      <c r="F824" s="11"/>
      <c r="G824" s="11"/>
      <c r="H824" s="11"/>
    </row>
    <row r="825">
      <c r="D825" s="11"/>
      <c r="E825" s="11"/>
      <c r="F825" s="11"/>
      <c r="G825" s="11"/>
      <c r="H825" s="11"/>
    </row>
    <row r="826">
      <c r="D826" s="11"/>
      <c r="E826" s="11"/>
      <c r="F826" s="11"/>
      <c r="G826" s="11"/>
      <c r="H826" s="11"/>
    </row>
    <row r="827">
      <c r="D827" s="11"/>
      <c r="E827" s="11"/>
      <c r="F827" s="11"/>
      <c r="G827" s="11"/>
      <c r="H827" s="11"/>
    </row>
    <row r="828">
      <c r="D828" s="11"/>
      <c r="E828" s="11"/>
      <c r="F828" s="11"/>
      <c r="G828" s="11"/>
      <c r="H828" s="11"/>
    </row>
    <row r="829">
      <c r="D829" s="11"/>
      <c r="E829" s="11"/>
      <c r="F829" s="11"/>
      <c r="G829" s="11"/>
      <c r="H829" s="11"/>
    </row>
    <row r="830">
      <c r="D830" s="11"/>
      <c r="E830" s="11"/>
      <c r="F830" s="11"/>
      <c r="G830" s="11"/>
      <c r="H830" s="11"/>
    </row>
    <row r="831">
      <c r="D831" s="11"/>
      <c r="E831" s="11"/>
      <c r="F831" s="11"/>
      <c r="G831" s="11"/>
      <c r="H831" s="11"/>
    </row>
    <row r="832">
      <c r="D832" s="11"/>
      <c r="E832" s="11"/>
      <c r="F832" s="11"/>
      <c r="G832" s="11"/>
      <c r="H832" s="11"/>
    </row>
    <row r="833">
      <c r="D833" s="11"/>
      <c r="E833" s="11"/>
      <c r="F833" s="11"/>
      <c r="G833" s="11"/>
      <c r="H833" s="11"/>
    </row>
    <row r="834">
      <c r="D834" s="11"/>
      <c r="E834" s="11"/>
      <c r="F834" s="11"/>
      <c r="G834" s="11"/>
      <c r="H834" s="11"/>
    </row>
    <row r="835">
      <c r="D835" s="11"/>
      <c r="E835" s="11"/>
      <c r="F835" s="11"/>
      <c r="G835" s="11"/>
      <c r="H835" s="11"/>
    </row>
    <row r="836">
      <c r="D836" s="11"/>
      <c r="E836" s="11"/>
      <c r="F836" s="11"/>
      <c r="G836" s="11"/>
      <c r="H836" s="11"/>
    </row>
    <row r="837">
      <c r="D837" s="11"/>
      <c r="E837" s="11"/>
      <c r="F837" s="11"/>
      <c r="G837" s="11"/>
      <c r="H837" s="11"/>
    </row>
    <row r="838">
      <c r="D838" s="11"/>
      <c r="E838" s="11"/>
      <c r="F838" s="11"/>
      <c r="G838" s="11"/>
      <c r="H838" s="11"/>
    </row>
    <row r="839">
      <c r="D839" s="11"/>
      <c r="E839" s="11"/>
      <c r="F839" s="11"/>
      <c r="G839" s="11"/>
      <c r="H839" s="11"/>
    </row>
    <row r="840">
      <c r="D840" s="11"/>
      <c r="E840" s="11"/>
      <c r="F840" s="11"/>
      <c r="G840" s="11"/>
      <c r="H840" s="11"/>
    </row>
    <row r="841">
      <c r="D841" s="11"/>
      <c r="E841" s="11"/>
      <c r="F841" s="11"/>
      <c r="G841" s="11"/>
      <c r="H841" s="11"/>
    </row>
    <row r="842">
      <c r="D842" s="11"/>
      <c r="E842" s="11"/>
      <c r="F842" s="11"/>
      <c r="G842" s="11"/>
      <c r="H842" s="11"/>
    </row>
    <row r="843">
      <c r="D843" s="11"/>
      <c r="E843" s="11"/>
      <c r="F843" s="11"/>
      <c r="G843" s="11"/>
      <c r="H843" s="11"/>
    </row>
    <row r="844">
      <c r="D844" s="11"/>
      <c r="E844" s="11"/>
      <c r="F844" s="11"/>
      <c r="G844" s="11"/>
      <c r="H844" s="11"/>
    </row>
    <row r="845">
      <c r="D845" s="11"/>
      <c r="E845" s="11"/>
      <c r="F845" s="11"/>
      <c r="G845" s="11"/>
      <c r="H845" s="11"/>
    </row>
    <row r="846">
      <c r="D846" s="11"/>
      <c r="E846" s="11"/>
      <c r="F846" s="11"/>
      <c r="G846" s="11"/>
      <c r="H846" s="11"/>
    </row>
    <row r="847">
      <c r="D847" s="11"/>
      <c r="E847" s="11"/>
      <c r="F847" s="11"/>
      <c r="G847" s="11"/>
      <c r="H847" s="11"/>
    </row>
    <row r="848">
      <c r="D848" s="11"/>
      <c r="E848" s="11"/>
      <c r="F848" s="11"/>
      <c r="G848" s="11"/>
      <c r="H848" s="11"/>
    </row>
    <row r="849">
      <c r="D849" s="11"/>
      <c r="E849" s="11"/>
      <c r="F849" s="11"/>
      <c r="G849" s="11"/>
      <c r="H849" s="11"/>
    </row>
    <row r="850">
      <c r="D850" s="11"/>
      <c r="E850" s="11"/>
      <c r="F850" s="11"/>
      <c r="G850" s="11"/>
      <c r="H850" s="11"/>
    </row>
    <row r="851">
      <c r="D851" s="11"/>
      <c r="E851" s="11"/>
      <c r="F851" s="11"/>
      <c r="G851" s="11"/>
      <c r="H851" s="11"/>
    </row>
    <row r="852">
      <c r="D852" s="11"/>
      <c r="E852" s="11"/>
      <c r="F852" s="11"/>
      <c r="G852" s="11"/>
      <c r="H852" s="11"/>
    </row>
    <row r="853">
      <c r="D853" s="11"/>
      <c r="E853" s="11"/>
      <c r="F853" s="11"/>
      <c r="G853" s="11"/>
      <c r="H853" s="11"/>
    </row>
    <row r="854">
      <c r="D854" s="11"/>
      <c r="E854" s="11"/>
      <c r="F854" s="11"/>
      <c r="G854" s="11"/>
      <c r="H854" s="11"/>
    </row>
    <row r="855">
      <c r="D855" s="11"/>
      <c r="E855" s="11"/>
      <c r="F855" s="11"/>
      <c r="G855" s="11"/>
      <c r="H855" s="11"/>
    </row>
    <row r="856">
      <c r="D856" s="11"/>
      <c r="E856" s="11"/>
      <c r="F856" s="11"/>
      <c r="G856" s="11"/>
      <c r="H856" s="11"/>
    </row>
    <row r="857">
      <c r="D857" s="11"/>
      <c r="E857" s="11"/>
      <c r="F857" s="11"/>
      <c r="G857" s="11"/>
      <c r="H857" s="11"/>
    </row>
    <row r="858">
      <c r="D858" s="11"/>
      <c r="E858" s="11"/>
      <c r="F858" s="11"/>
      <c r="G858" s="11"/>
      <c r="H858" s="11"/>
    </row>
    <row r="859">
      <c r="D859" s="11"/>
      <c r="E859" s="11"/>
      <c r="F859" s="11"/>
      <c r="G859" s="11"/>
      <c r="H859" s="11"/>
    </row>
    <row r="860">
      <c r="D860" s="11"/>
      <c r="E860" s="11"/>
      <c r="F860" s="11"/>
      <c r="G860" s="11"/>
      <c r="H860" s="11"/>
    </row>
    <row r="861">
      <c r="D861" s="11"/>
      <c r="E861" s="11"/>
      <c r="F861" s="11"/>
      <c r="G861" s="11"/>
      <c r="H861" s="11"/>
    </row>
    <row r="862">
      <c r="D862" s="11"/>
      <c r="E862" s="11"/>
      <c r="F862" s="11"/>
      <c r="G862" s="11"/>
      <c r="H862" s="11"/>
    </row>
    <row r="863">
      <c r="D863" s="11"/>
      <c r="E863" s="11"/>
      <c r="F863" s="11"/>
      <c r="G863" s="11"/>
      <c r="H863" s="11"/>
    </row>
    <row r="864">
      <c r="D864" s="11"/>
      <c r="E864" s="11"/>
      <c r="F864" s="11"/>
      <c r="G864" s="11"/>
      <c r="H864" s="11"/>
    </row>
    <row r="865">
      <c r="D865" s="11"/>
      <c r="E865" s="11"/>
      <c r="F865" s="11"/>
      <c r="G865" s="11"/>
      <c r="H865" s="11"/>
    </row>
    <row r="866">
      <c r="D866" s="11"/>
      <c r="E866" s="11"/>
      <c r="F866" s="11"/>
      <c r="G866" s="11"/>
      <c r="H866" s="11"/>
    </row>
    <row r="867">
      <c r="D867" s="11"/>
      <c r="E867" s="11"/>
      <c r="F867" s="11"/>
      <c r="G867" s="11"/>
      <c r="H867" s="11"/>
    </row>
    <row r="868">
      <c r="D868" s="11"/>
      <c r="E868" s="11"/>
      <c r="F868" s="11"/>
      <c r="G868" s="11"/>
      <c r="H868" s="11"/>
    </row>
    <row r="869">
      <c r="D869" s="11"/>
      <c r="E869" s="11"/>
      <c r="F869" s="11"/>
      <c r="G869" s="11"/>
      <c r="H869" s="11"/>
    </row>
    <row r="870">
      <c r="D870" s="11"/>
      <c r="E870" s="11"/>
      <c r="F870" s="11"/>
      <c r="G870" s="11"/>
      <c r="H870" s="11"/>
    </row>
    <row r="871">
      <c r="D871" s="11"/>
      <c r="E871" s="11"/>
      <c r="F871" s="11"/>
      <c r="G871" s="11"/>
      <c r="H871" s="11"/>
    </row>
    <row r="872">
      <c r="D872" s="11"/>
      <c r="E872" s="11"/>
      <c r="F872" s="11"/>
      <c r="G872" s="11"/>
      <c r="H872" s="11"/>
    </row>
    <row r="873">
      <c r="D873" s="11"/>
      <c r="E873" s="11"/>
      <c r="F873" s="11"/>
      <c r="G873" s="11"/>
      <c r="H873" s="11"/>
    </row>
    <row r="874">
      <c r="D874" s="11"/>
      <c r="E874" s="11"/>
      <c r="F874" s="11"/>
      <c r="G874" s="11"/>
      <c r="H874" s="11"/>
    </row>
    <row r="875">
      <c r="D875" s="11"/>
      <c r="E875" s="11"/>
      <c r="F875" s="11"/>
      <c r="G875" s="11"/>
      <c r="H875" s="11"/>
    </row>
    <row r="876">
      <c r="D876" s="11"/>
      <c r="E876" s="11"/>
      <c r="F876" s="11"/>
      <c r="G876" s="11"/>
      <c r="H876" s="11"/>
    </row>
    <row r="877">
      <c r="D877" s="11"/>
      <c r="E877" s="11"/>
      <c r="F877" s="11"/>
      <c r="G877" s="11"/>
      <c r="H877" s="11"/>
    </row>
    <row r="878">
      <c r="D878" s="11"/>
      <c r="E878" s="11"/>
      <c r="F878" s="11"/>
      <c r="G878" s="11"/>
      <c r="H878" s="11"/>
    </row>
    <row r="879">
      <c r="D879" s="11"/>
      <c r="E879" s="11"/>
      <c r="F879" s="11"/>
      <c r="G879" s="11"/>
      <c r="H879" s="11"/>
    </row>
    <row r="880">
      <c r="D880" s="11"/>
      <c r="E880" s="11"/>
      <c r="F880" s="11"/>
      <c r="G880" s="11"/>
      <c r="H880" s="11"/>
    </row>
    <row r="881">
      <c r="D881" s="11"/>
      <c r="E881" s="11"/>
      <c r="F881" s="11"/>
      <c r="G881" s="11"/>
      <c r="H881" s="11"/>
    </row>
    <row r="882">
      <c r="D882" s="11"/>
      <c r="E882" s="11"/>
      <c r="F882" s="11"/>
      <c r="G882" s="11"/>
      <c r="H882" s="11"/>
    </row>
    <row r="883">
      <c r="D883" s="11"/>
      <c r="E883" s="11"/>
      <c r="F883" s="11"/>
      <c r="G883" s="11"/>
      <c r="H883" s="11"/>
    </row>
    <row r="884">
      <c r="D884" s="11"/>
      <c r="E884" s="11"/>
      <c r="F884" s="11"/>
      <c r="G884" s="11"/>
      <c r="H884" s="11"/>
    </row>
    <row r="885">
      <c r="D885" s="11"/>
      <c r="E885" s="11"/>
      <c r="F885" s="11"/>
      <c r="G885" s="11"/>
      <c r="H885" s="11"/>
    </row>
    <row r="886">
      <c r="D886" s="11"/>
      <c r="E886" s="11"/>
      <c r="F886" s="11"/>
      <c r="G886" s="11"/>
      <c r="H886" s="11"/>
    </row>
    <row r="887">
      <c r="D887" s="11"/>
      <c r="E887" s="11"/>
      <c r="F887" s="11"/>
      <c r="G887" s="11"/>
      <c r="H887" s="11"/>
    </row>
    <row r="888">
      <c r="D888" s="11"/>
      <c r="E888" s="11"/>
      <c r="F888" s="11"/>
      <c r="G888" s="11"/>
      <c r="H888" s="11"/>
    </row>
    <row r="889">
      <c r="D889" s="11"/>
      <c r="E889" s="11"/>
      <c r="F889" s="11"/>
      <c r="G889" s="11"/>
      <c r="H889" s="11"/>
    </row>
    <row r="890">
      <c r="D890" s="11"/>
      <c r="E890" s="11"/>
      <c r="F890" s="11"/>
      <c r="G890" s="11"/>
      <c r="H890" s="11"/>
    </row>
    <row r="891">
      <c r="D891" s="11"/>
      <c r="E891" s="11"/>
      <c r="F891" s="11"/>
      <c r="G891" s="11"/>
      <c r="H891" s="11"/>
    </row>
    <row r="892">
      <c r="D892" s="11"/>
      <c r="E892" s="11"/>
      <c r="F892" s="11"/>
      <c r="G892" s="11"/>
      <c r="H892" s="11"/>
    </row>
    <row r="893">
      <c r="D893" s="11"/>
      <c r="E893" s="11"/>
      <c r="F893" s="11"/>
      <c r="G893" s="11"/>
      <c r="H893" s="11"/>
    </row>
    <row r="894">
      <c r="D894" s="11"/>
      <c r="E894" s="11"/>
      <c r="F894" s="11"/>
      <c r="G894" s="11"/>
      <c r="H894" s="11"/>
    </row>
    <row r="895">
      <c r="D895" s="11"/>
      <c r="E895" s="11"/>
      <c r="F895" s="11"/>
      <c r="G895" s="11"/>
      <c r="H895" s="11"/>
    </row>
    <row r="896">
      <c r="D896" s="11"/>
      <c r="E896" s="11"/>
      <c r="F896" s="11"/>
      <c r="G896" s="11"/>
      <c r="H896" s="11"/>
    </row>
    <row r="897">
      <c r="D897" s="11"/>
      <c r="E897" s="11"/>
      <c r="F897" s="11"/>
      <c r="G897" s="11"/>
      <c r="H897" s="11"/>
    </row>
    <row r="898">
      <c r="D898" s="11"/>
      <c r="E898" s="11"/>
      <c r="F898" s="11"/>
      <c r="G898" s="11"/>
      <c r="H898" s="11"/>
    </row>
    <row r="899">
      <c r="D899" s="11"/>
      <c r="E899" s="11"/>
      <c r="F899" s="11"/>
      <c r="G899" s="11"/>
      <c r="H899" s="11"/>
    </row>
    <row r="900">
      <c r="D900" s="11"/>
      <c r="E900" s="11"/>
      <c r="F900" s="11"/>
      <c r="G900" s="11"/>
      <c r="H900" s="11"/>
    </row>
    <row r="901">
      <c r="D901" s="11"/>
      <c r="E901" s="11"/>
      <c r="F901" s="11"/>
      <c r="G901" s="11"/>
      <c r="H901" s="11"/>
    </row>
    <row r="902">
      <c r="D902" s="11"/>
      <c r="E902" s="11"/>
      <c r="F902" s="11"/>
      <c r="G902" s="11"/>
      <c r="H902" s="11"/>
    </row>
    <row r="903">
      <c r="D903" s="11"/>
      <c r="E903" s="11"/>
      <c r="F903" s="11"/>
      <c r="G903" s="11"/>
      <c r="H903" s="11"/>
    </row>
    <row r="904">
      <c r="D904" s="11"/>
      <c r="E904" s="11"/>
      <c r="F904" s="11"/>
      <c r="G904" s="11"/>
      <c r="H904" s="11"/>
    </row>
    <row r="905">
      <c r="D905" s="11"/>
      <c r="E905" s="11"/>
      <c r="F905" s="11"/>
      <c r="G905" s="11"/>
      <c r="H905" s="11"/>
    </row>
    <row r="906">
      <c r="D906" s="11"/>
      <c r="E906" s="11"/>
      <c r="F906" s="11"/>
      <c r="G906" s="11"/>
      <c r="H906" s="11"/>
    </row>
    <row r="907">
      <c r="D907" s="11"/>
      <c r="E907" s="11"/>
      <c r="F907" s="11"/>
      <c r="G907" s="11"/>
      <c r="H907" s="11"/>
    </row>
    <row r="908">
      <c r="D908" s="11"/>
      <c r="E908" s="11"/>
      <c r="F908" s="11"/>
      <c r="G908" s="11"/>
      <c r="H908" s="11"/>
    </row>
    <row r="909">
      <c r="D909" s="11"/>
      <c r="E909" s="11"/>
      <c r="F909" s="11"/>
      <c r="G909" s="11"/>
      <c r="H909" s="11"/>
    </row>
    <row r="910">
      <c r="D910" s="11"/>
      <c r="E910" s="11"/>
      <c r="F910" s="11"/>
      <c r="G910" s="11"/>
      <c r="H910" s="11"/>
    </row>
    <row r="911">
      <c r="D911" s="11"/>
      <c r="E911" s="11"/>
      <c r="F911" s="11"/>
      <c r="G911" s="11"/>
      <c r="H911" s="11"/>
    </row>
    <row r="912">
      <c r="D912" s="11"/>
      <c r="E912" s="11"/>
      <c r="F912" s="11"/>
      <c r="G912" s="11"/>
      <c r="H912" s="11"/>
    </row>
    <row r="913">
      <c r="D913" s="11"/>
      <c r="E913" s="11"/>
      <c r="F913" s="11"/>
      <c r="G913" s="11"/>
      <c r="H913" s="11"/>
    </row>
    <row r="914">
      <c r="D914" s="11"/>
      <c r="E914" s="11"/>
      <c r="F914" s="11"/>
      <c r="G914" s="11"/>
      <c r="H914" s="11"/>
    </row>
    <row r="915">
      <c r="D915" s="11"/>
      <c r="E915" s="11"/>
      <c r="F915" s="11"/>
      <c r="G915" s="11"/>
      <c r="H915" s="11"/>
    </row>
    <row r="916">
      <c r="D916" s="11"/>
      <c r="E916" s="11"/>
      <c r="F916" s="11"/>
      <c r="G916" s="11"/>
      <c r="H916" s="11"/>
    </row>
    <row r="917">
      <c r="D917" s="11"/>
      <c r="E917" s="11"/>
      <c r="F917" s="11"/>
      <c r="G917" s="11"/>
      <c r="H917" s="11"/>
    </row>
    <row r="918">
      <c r="D918" s="11"/>
      <c r="E918" s="11"/>
      <c r="F918" s="11"/>
      <c r="G918" s="11"/>
      <c r="H918" s="11"/>
    </row>
    <row r="919">
      <c r="D919" s="11"/>
      <c r="E919" s="11"/>
      <c r="F919" s="11"/>
      <c r="G919" s="11"/>
      <c r="H919" s="11"/>
    </row>
    <row r="920">
      <c r="D920" s="11"/>
      <c r="E920" s="11"/>
      <c r="F920" s="11"/>
      <c r="G920" s="11"/>
      <c r="H920" s="11"/>
    </row>
    <row r="921">
      <c r="D921" s="11"/>
      <c r="E921" s="11"/>
      <c r="F921" s="11"/>
      <c r="G921" s="11"/>
      <c r="H921" s="11"/>
    </row>
    <row r="922">
      <c r="D922" s="11"/>
      <c r="E922" s="11"/>
      <c r="F922" s="11"/>
      <c r="G922" s="11"/>
      <c r="H922" s="11"/>
    </row>
    <row r="923">
      <c r="D923" s="11"/>
      <c r="E923" s="11"/>
      <c r="F923" s="11"/>
      <c r="G923" s="11"/>
      <c r="H923" s="11"/>
    </row>
    <row r="924">
      <c r="D924" s="11"/>
      <c r="E924" s="11"/>
      <c r="F924" s="11"/>
      <c r="G924" s="11"/>
      <c r="H924" s="11"/>
    </row>
    <row r="925">
      <c r="D925" s="11"/>
      <c r="E925" s="11"/>
      <c r="F925" s="11"/>
      <c r="G925" s="11"/>
      <c r="H925" s="11"/>
    </row>
    <row r="926">
      <c r="D926" s="11"/>
      <c r="E926" s="11"/>
      <c r="F926" s="11"/>
      <c r="G926" s="11"/>
      <c r="H926" s="11"/>
    </row>
    <row r="927">
      <c r="D927" s="11"/>
      <c r="E927" s="11"/>
      <c r="F927" s="11"/>
      <c r="G927" s="11"/>
      <c r="H927" s="11"/>
    </row>
    <row r="928">
      <c r="D928" s="11"/>
      <c r="E928" s="11"/>
      <c r="F928" s="11"/>
      <c r="G928" s="11"/>
      <c r="H928" s="11"/>
    </row>
    <row r="929">
      <c r="D929" s="11"/>
      <c r="E929" s="11"/>
      <c r="F929" s="11"/>
      <c r="G929" s="11"/>
      <c r="H929" s="11"/>
    </row>
    <row r="930">
      <c r="D930" s="11"/>
      <c r="E930" s="11"/>
      <c r="F930" s="11"/>
      <c r="G930" s="11"/>
      <c r="H930" s="11"/>
    </row>
    <row r="931">
      <c r="D931" s="11"/>
      <c r="E931" s="11"/>
      <c r="F931" s="11"/>
      <c r="G931" s="11"/>
      <c r="H931" s="11"/>
    </row>
    <row r="932">
      <c r="D932" s="11"/>
      <c r="E932" s="11"/>
      <c r="F932" s="11"/>
      <c r="G932" s="11"/>
      <c r="H932" s="11"/>
    </row>
    <row r="933">
      <c r="D933" s="11"/>
      <c r="E933" s="11"/>
      <c r="F933" s="11"/>
      <c r="G933" s="11"/>
      <c r="H933" s="11"/>
    </row>
    <row r="934">
      <c r="D934" s="11"/>
      <c r="E934" s="11"/>
      <c r="F934" s="11"/>
      <c r="G934" s="11"/>
      <c r="H934" s="11"/>
    </row>
    <row r="935">
      <c r="D935" s="11"/>
      <c r="E935" s="11"/>
      <c r="F935" s="11"/>
      <c r="G935" s="11"/>
      <c r="H935" s="11"/>
    </row>
    <row r="936">
      <c r="D936" s="11"/>
      <c r="E936" s="11"/>
      <c r="F936" s="11"/>
      <c r="G936" s="11"/>
      <c r="H936" s="11"/>
    </row>
    <row r="937">
      <c r="D937" s="11"/>
      <c r="E937" s="11"/>
      <c r="F937" s="11"/>
      <c r="G937" s="11"/>
      <c r="H937" s="11"/>
    </row>
    <row r="938">
      <c r="D938" s="11"/>
      <c r="E938" s="11"/>
      <c r="F938" s="11"/>
      <c r="G938" s="11"/>
      <c r="H938" s="11"/>
    </row>
    <row r="939">
      <c r="D939" s="11"/>
      <c r="E939" s="11"/>
      <c r="F939" s="11"/>
      <c r="G939" s="11"/>
      <c r="H939" s="11"/>
    </row>
    <row r="940">
      <c r="D940" s="11"/>
      <c r="E940" s="11"/>
      <c r="F940" s="11"/>
      <c r="G940" s="11"/>
      <c r="H940" s="11"/>
    </row>
    <row r="941">
      <c r="D941" s="11"/>
      <c r="E941" s="11"/>
      <c r="F941" s="11"/>
      <c r="G941" s="11"/>
      <c r="H941" s="11"/>
    </row>
    <row r="942">
      <c r="D942" s="11"/>
      <c r="E942" s="11"/>
      <c r="F942" s="11"/>
      <c r="G942" s="11"/>
      <c r="H942" s="11"/>
    </row>
    <row r="943">
      <c r="D943" s="11"/>
      <c r="E943" s="11"/>
      <c r="F943" s="11"/>
      <c r="G943" s="11"/>
      <c r="H943" s="11"/>
    </row>
    <row r="944">
      <c r="D944" s="11"/>
      <c r="E944" s="11"/>
      <c r="F944" s="11"/>
      <c r="G944" s="11"/>
      <c r="H944" s="11"/>
    </row>
    <row r="945">
      <c r="D945" s="11"/>
      <c r="E945" s="11"/>
      <c r="F945" s="11"/>
      <c r="G945" s="11"/>
      <c r="H945" s="11"/>
    </row>
    <row r="946">
      <c r="D946" s="11"/>
      <c r="E946" s="11"/>
      <c r="F946" s="11"/>
      <c r="G946" s="11"/>
      <c r="H946" s="11"/>
    </row>
    <row r="947">
      <c r="D947" s="11"/>
      <c r="E947" s="11"/>
      <c r="F947" s="11"/>
      <c r="G947" s="11"/>
      <c r="H947" s="11"/>
    </row>
    <row r="948">
      <c r="D948" s="11"/>
      <c r="E948" s="11"/>
      <c r="F948" s="11"/>
      <c r="G948" s="11"/>
      <c r="H948" s="11"/>
    </row>
    <row r="949">
      <c r="D949" s="11"/>
      <c r="E949" s="11"/>
      <c r="F949" s="11"/>
      <c r="G949" s="11"/>
      <c r="H949" s="11"/>
    </row>
    <row r="950">
      <c r="D950" s="11"/>
      <c r="E950" s="11"/>
      <c r="F950" s="11"/>
      <c r="G950" s="11"/>
      <c r="H950" s="11"/>
    </row>
    <row r="951">
      <c r="D951" s="11"/>
      <c r="E951" s="11"/>
      <c r="F951" s="11"/>
      <c r="G951" s="11"/>
      <c r="H951" s="11"/>
    </row>
    <row r="952">
      <c r="D952" s="11"/>
      <c r="E952" s="11"/>
      <c r="F952" s="11"/>
      <c r="G952" s="11"/>
      <c r="H952" s="11"/>
    </row>
    <row r="953">
      <c r="D953" s="11"/>
      <c r="E953" s="11"/>
      <c r="F953" s="11"/>
      <c r="G953" s="11"/>
      <c r="H953" s="11"/>
    </row>
    <row r="954">
      <c r="D954" s="11"/>
      <c r="E954" s="11"/>
      <c r="F954" s="11"/>
      <c r="G954" s="11"/>
      <c r="H954" s="11"/>
    </row>
    <row r="955">
      <c r="D955" s="11"/>
      <c r="E955" s="11"/>
      <c r="F955" s="11"/>
      <c r="G955" s="11"/>
      <c r="H955" s="11"/>
    </row>
    <row r="956">
      <c r="D956" s="11"/>
      <c r="E956" s="11"/>
      <c r="F956" s="11"/>
      <c r="G956" s="11"/>
      <c r="H956" s="11"/>
    </row>
    <row r="957">
      <c r="D957" s="11"/>
      <c r="E957" s="11"/>
      <c r="F957" s="11"/>
      <c r="G957" s="11"/>
      <c r="H957" s="11"/>
    </row>
    <row r="958">
      <c r="D958" s="11"/>
      <c r="E958" s="11"/>
      <c r="F958" s="11"/>
      <c r="G958" s="11"/>
      <c r="H958" s="11"/>
    </row>
    <row r="959">
      <c r="D959" s="11"/>
      <c r="E959" s="11"/>
      <c r="F959" s="11"/>
      <c r="G959" s="11"/>
      <c r="H959" s="11"/>
    </row>
    <row r="960">
      <c r="D960" s="11"/>
      <c r="E960" s="11"/>
      <c r="F960" s="11"/>
      <c r="G960" s="11"/>
      <c r="H960" s="11"/>
    </row>
    <row r="961">
      <c r="D961" s="11"/>
      <c r="E961" s="11"/>
      <c r="F961" s="11"/>
      <c r="G961" s="11"/>
      <c r="H961" s="11"/>
    </row>
    <row r="962">
      <c r="D962" s="11"/>
      <c r="E962" s="11"/>
      <c r="F962" s="11"/>
      <c r="G962" s="11"/>
      <c r="H962" s="11"/>
    </row>
    <row r="963">
      <c r="D963" s="11"/>
      <c r="E963" s="11"/>
      <c r="F963" s="11"/>
      <c r="G963" s="11"/>
      <c r="H963" s="11"/>
    </row>
    <row r="964">
      <c r="D964" s="11"/>
      <c r="E964" s="11"/>
      <c r="F964" s="11"/>
      <c r="G964" s="11"/>
      <c r="H964" s="11"/>
    </row>
    <row r="965">
      <c r="D965" s="11"/>
      <c r="E965" s="11"/>
      <c r="F965" s="11"/>
      <c r="G965" s="11"/>
      <c r="H965" s="11"/>
    </row>
    <row r="966">
      <c r="D966" s="11"/>
      <c r="E966" s="11"/>
      <c r="F966" s="11"/>
      <c r="G966" s="11"/>
      <c r="H966" s="11"/>
    </row>
    <row r="967">
      <c r="D967" s="11"/>
      <c r="E967" s="11"/>
      <c r="F967" s="11"/>
      <c r="G967" s="11"/>
      <c r="H967" s="11"/>
    </row>
    <row r="968">
      <c r="D968" s="11"/>
      <c r="E968" s="11"/>
      <c r="F968" s="11"/>
      <c r="G968" s="11"/>
      <c r="H968" s="11"/>
    </row>
    <row r="969">
      <c r="D969" s="11"/>
      <c r="E969" s="11"/>
      <c r="F969" s="11"/>
      <c r="G969" s="11"/>
      <c r="H969" s="11"/>
    </row>
    <row r="970">
      <c r="D970" s="11"/>
      <c r="E970" s="11"/>
      <c r="F970" s="11"/>
      <c r="G970" s="11"/>
      <c r="H970" s="11"/>
    </row>
    <row r="971">
      <c r="D971" s="11"/>
      <c r="E971" s="11"/>
      <c r="F971" s="11"/>
      <c r="G971" s="11"/>
      <c r="H971" s="11"/>
    </row>
    <row r="972">
      <c r="D972" s="11"/>
      <c r="E972" s="11"/>
      <c r="F972" s="11"/>
      <c r="G972" s="11"/>
      <c r="H972" s="11"/>
    </row>
    <row r="973">
      <c r="D973" s="11"/>
      <c r="E973" s="11"/>
      <c r="F973" s="11"/>
      <c r="G973" s="11"/>
      <c r="H973" s="11"/>
    </row>
    <row r="974">
      <c r="D974" s="11"/>
      <c r="E974" s="11"/>
      <c r="F974" s="11"/>
      <c r="G974" s="11"/>
      <c r="H974" s="11"/>
    </row>
    <row r="975">
      <c r="D975" s="11"/>
      <c r="E975" s="11"/>
      <c r="F975" s="11"/>
      <c r="G975" s="11"/>
      <c r="H975" s="11"/>
    </row>
    <row r="976">
      <c r="D976" s="11"/>
      <c r="E976" s="11"/>
      <c r="F976" s="11"/>
      <c r="G976" s="11"/>
      <c r="H976" s="11"/>
    </row>
    <row r="977">
      <c r="D977" s="11"/>
      <c r="E977" s="11"/>
      <c r="F977" s="11"/>
      <c r="G977" s="11"/>
      <c r="H977" s="11"/>
    </row>
    <row r="978">
      <c r="D978" s="11"/>
      <c r="E978" s="11"/>
      <c r="F978" s="11"/>
      <c r="G978" s="11"/>
      <c r="H978" s="11"/>
    </row>
    <row r="979">
      <c r="D979" s="11"/>
      <c r="E979" s="11"/>
      <c r="F979" s="11"/>
      <c r="G979" s="11"/>
      <c r="H979" s="11"/>
    </row>
    <row r="980">
      <c r="D980" s="11"/>
      <c r="E980" s="11"/>
      <c r="F980" s="11"/>
      <c r="G980" s="11"/>
      <c r="H980" s="11"/>
    </row>
    <row r="981">
      <c r="D981" s="11"/>
      <c r="E981" s="11"/>
      <c r="F981" s="11"/>
      <c r="G981" s="11"/>
      <c r="H981" s="11"/>
    </row>
    <row r="982">
      <c r="D982" s="11"/>
      <c r="E982" s="11"/>
      <c r="F982" s="11"/>
      <c r="G982" s="11"/>
      <c r="H982" s="11"/>
    </row>
    <row r="983">
      <c r="D983" s="11"/>
      <c r="E983" s="11"/>
      <c r="F983" s="11"/>
      <c r="G983" s="11"/>
      <c r="H983" s="11"/>
    </row>
    <row r="984">
      <c r="D984" s="11"/>
      <c r="E984" s="11"/>
      <c r="F984" s="11"/>
      <c r="G984" s="11"/>
      <c r="H984" s="11"/>
    </row>
    <row r="985">
      <c r="D985" s="11"/>
      <c r="E985" s="11"/>
      <c r="F985" s="11"/>
      <c r="G985" s="11"/>
      <c r="H985" s="11"/>
    </row>
    <row r="986">
      <c r="D986" s="11"/>
      <c r="E986" s="11"/>
      <c r="F986" s="11"/>
      <c r="G986" s="11"/>
      <c r="H986" s="11"/>
    </row>
    <row r="987">
      <c r="D987" s="11"/>
      <c r="E987" s="11"/>
      <c r="F987" s="11"/>
      <c r="G987" s="11"/>
      <c r="H987" s="11"/>
    </row>
    <row r="988">
      <c r="D988" s="11"/>
      <c r="E988" s="11"/>
      <c r="F988" s="11"/>
      <c r="G988" s="11"/>
      <c r="H988" s="11"/>
    </row>
    <row r="989">
      <c r="D989" s="11"/>
      <c r="E989" s="11"/>
      <c r="F989" s="11"/>
      <c r="G989" s="11"/>
      <c r="H989" s="11"/>
    </row>
    <row r="990">
      <c r="D990" s="11"/>
      <c r="E990" s="11"/>
      <c r="F990" s="11"/>
      <c r="G990" s="11"/>
      <c r="H990" s="11"/>
    </row>
    <row r="991">
      <c r="D991" s="11"/>
      <c r="E991" s="11"/>
      <c r="F991" s="11"/>
      <c r="G991" s="11"/>
      <c r="H991" s="11"/>
    </row>
    <row r="992">
      <c r="D992" s="11"/>
      <c r="E992" s="11"/>
      <c r="F992" s="11"/>
      <c r="G992" s="11"/>
      <c r="H992" s="11"/>
    </row>
    <row r="993">
      <c r="D993" s="11"/>
      <c r="E993" s="11"/>
      <c r="F993" s="11"/>
      <c r="G993" s="11"/>
      <c r="H993" s="11"/>
    </row>
    <row r="994">
      <c r="D994" s="11"/>
      <c r="E994" s="11"/>
      <c r="F994" s="11"/>
      <c r="G994" s="11"/>
      <c r="H994" s="11"/>
    </row>
    <row r="995">
      <c r="D995" s="11"/>
      <c r="E995" s="11"/>
      <c r="F995" s="11"/>
      <c r="G995" s="11"/>
      <c r="H995" s="11"/>
    </row>
    <row r="996">
      <c r="D996" s="11"/>
      <c r="E996" s="11"/>
      <c r="F996" s="11"/>
      <c r="G996" s="11"/>
      <c r="H996" s="11"/>
    </row>
    <row r="997">
      <c r="D997" s="11"/>
      <c r="E997" s="11"/>
      <c r="F997" s="11"/>
      <c r="G997" s="11"/>
      <c r="H997" s="11"/>
    </row>
    <row r="998">
      <c r="D998" s="11"/>
      <c r="E998" s="11"/>
      <c r="F998" s="11"/>
      <c r="G998" s="11"/>
      <c r="H998" s="11"/>
    </row>
    <row r="999">
      <c r="D999" s="11"/>
      <c r="E999" s="11"/>
      <c r="F999" s="11"/>
      <c r="G999" s="11"/>
      <c r="H999" s="11"/>
    </row>
    <row r="1000">
      <c r="D1000" s="11"/>
      <c r="E1000" s="11"/>
      <c r="F1000" s="11"/>
      <c r="G1000" s="11"/>
      <c r="H1000" s="11"/>
    </row>
  </sheetData>
  <mergeCells count="1">
    <mergeCell ref="AN1:AP1"/>
  </mergeCells>
  <conditionalFormatting sqref="K2:K33 Q2:Q33 W2:W33 AC2:AC33 K36:K67 Q36:Q67 W36:W67 AC36:AC67 K70:K99 Q70:Q99 W70:W99 AC70:AC99">
    <cfRule type="expression" dxfId="0" priority="1">
      <formula>AND(K2&lt;&gt;"",COUNTIF($AI:$AI,K2)&gt;0)</formula>
    </cfRule>
  </conditionalFormatting>
  <conditionalFormatting sqref="K2:K33 Q2:Q33 W2:W33 AC2:AC33 K36:K67 Q36:Q67 W36:W67 AC36:AC67 K70:K99 Q70:Q99 W70:W99 AC70:AC99">
    <cfRule type="expression" dxfId="1" priority="2">
      <formula>AND(K2&lt;&gt;"",COUNTIF($AN:$AN,K2)&gt;0)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6.5"/>
    <col customWidth="1" min="3" max="3" width="17.0"/>
  </cols>
  <sheetData>
    <row r="1">
      <c r="A1" s="14" t="s">
        <v>2</v>
      </c>
      <c r="B1" s="14" t="s">
        <v>3</v>
      </c>
      <c r="C1" s="14" t="s">
        <v>12</v>
      </c>
    </row>
    <row r="2">
      <c r="A2" s="7" t="s">
        <v>27</v>
      </c>
      <c r="B2" s="7" t="s">
        <v>28</v>
      </c>
      <c r="C2" s="7" t="s">
        <v>48</v>
      </c>
    </row>
    <row r="3">
      <c r="A3" s="7" t="s">
        <v>30</v>
      </c>
      <c r="B3" s="7" t="s">
        <v>28</v>
      </c>
      <c r="C3" s="7" t="s">
        <v>48</v>
      </c>
    </row>
    <row r="4">
      <c r="A4" s="7" t="s">
        <v>29</v>
      </c>
      <c r="B4" s="7" t="s">
        <v>25</v>
      </c>
      <c r="C4" s="7" t="s">
        <v>83</v>
      </c>
    </row>
    <row r="5">
      <c r="A5" s="7" t="s">
        <v>58</v>
      </c>
      <c r="B5" s="7" t="s">
        <v>25</v>
      </c>
      <c r="C5" s="7" t="s">
        <v>83</v>
      </c>
      <c r="G5" s="7"/>
      <c r="H5" s="7"/>
      <c r="I5" s="7"/>
    </row>
    <row r="6">
      <c r="A6" s="7" t="s">
        <v>59</v>
      </c>
      <c r="B6" s="7" t="s">
        <v>25</v>
      </c>
      <c r="C6" s="7" t="s">
        <v>83</v>
      </c>
    </row>
    <row r="7">
      <c r="A7" s="7" t="s">
        <v>70</v>
      </c>
      <c r="B7" s="7" t="s">
        <v>25</v>
      </c>
      <c r="C7" s="7" t="s">
        <v>83</v>
      </c>
    </row>
    <row r="8">
      <c r="A8" s="7" t="s">
        <v>63</v>
      </c>
      <c r="B8" s="7" t="s">
        <v>25</v>
      </c>
      <c r="C8" s="7" t="s">
        <v>83</v>
      </c>
    </row>
    <row r="9">
      <c r="A9" s="7" t="s">
        <v>62</v>
      </c>
      <c r="B9" s="7" t="s">
        <v>25</v>
      </c>
      <c r="C9" s="7" t="s">
        <v>121</v>
      </c>
    </row>
    <row r="10">
      <c r="A10" s="7" t="s">
        <v>90</v>
      </c>
      <c r="B10" s="7" t="s">
        <v>25</v>
      </c>
      <c r="C10" s="7" t="s">
        <v>83</v>
      </c>
    </row>
    <row r="11">
      <c r="A11" s="7" t="s">
        <v>92</v>
      </c>
      <c r="B11" s="7" t="s">
        <v>25</v>
      </c>
      <c r="C11" s="7" t="s">
        <v>83</v>
      </c>
    </row>
    <row r="12">
      <c r="A12" s="7" t="s">
        <v>93</v>
      </c>
      <c r="B12" s="7" t="s">
        <v>25</v>
      </c>
      <c r="C12" s="7" t="s">
        <v>83</v>
      </c>
    </row>
    <row r="13">
      <c r="A13" s="7" t="s">
        <v>100</v>
      </c>
      <c r="B13" s="7" t="s">
        <v>25</v>
      </c>
      <c r="C13" s="7" t="s">
        <v>83</v>
      </c>
    </row>
    <row r="14">
      <c r="A14" s="7" t="s">
        <v>116</v>
      </c>
      <c r="B14" s="7" t="s">
        <v>25</v>
      </c>
      <c r="C14" s="7" t="s">
        <v>83</v>
      </c>
    </row>
    <row r="15">
      <c r="A15" s="7" t="s">
        <v>117</v>
      </c>
      <c r="B15" s="7" t="s">
        <v>25</v>
      </c>
      <c r="C15" s="7" t="s">
        <v>83</v>
      </c>
    </row>
    <row r="16">
      <c r="A16" s="7" t="s">
        <v>115</v>
      </c>
      <c r="B16" s="7" t="s">
        <v>25</v>
      </c>
      <c r="C16" s="7" t="s">
        <v>83</v>
      </c>
    </row>
    <row r="17">
      <c r="A17" s="7" t="s">
        <v>162</v>
      </c>
      <c r="B17" s="7" t="s">
        <v>25</v>
      </c>
      <c r="C17" s="7" t="s">
        <v>83</v>
      </c>
    </row>
    <row r="18">
      <c r="A18" s="7" t="s">
        <v>163</v>
      </c>
      <c r="B18" s="7" t="s">
        <v>25</v>
      </c>
      <c r="C18" s="7" t="s">
        <v>83</v>
      </c>
    </row>
    <row r="19">
      <c r="A19" s="7" t="s">
        <v>147</v>
      </c>
      <c r="B19" s="7" t="s">
        <v>25</v>
      </c>
      <c r="C19" s="7" t="s">
        <v>83</v>
      </c>
    </row>
    <row r="20">
      <c r="A20" s="7" t="s">
        <v>146</v>
      </c>
      <c r="B20" s="7" t="s">
        <v>25</v>
      </c>
      <c r="C20" s="7" t="s">
        <v>83</v>
      </c>
    </row>
    <row r="21">
      <c r="A21" s="7" t="s">
        <v>183</v>
      </c>
      <c r="B21" s="7" t="s">
        <v>25</v>
      </c>
      <c r="C21" s="7" t="s">
        <v>83</v>
      </c>
    </row>
    <row r="22">
      <c r="A22" s="7" t="s">
        <v>185</v>
      </c>
      <c r="B22" s="7" t="s">
        <v>25</v>
      </c>
      <c r="C22" s="7" t="s">
        <v>83</v>
      </c>
    </row>
    <row r="23">
      <c r="A23" s="7" t="s">
        <v>182</v>
      </c>
      <c r="B23" s="7" t="s">
        <v>25</v>
      </c>
      <c r="C23" s="7" t="s">
        <v>83</v>
      </c>
    </row>
    <row r="24">
      <c r="A24" s="7" t="s">
        <v>174</v>
      </c>
      <c r="B24" s="7" t="s">
        <v>25</v>
      </c>
      <c r="C24" s="7" t="s">
        <v>83</v>
      </c>
    </row>
    <row r="25">
      <c r="A25" s="7" t="s">
        <v>248</v>
      </c>
      <c r="B25" s="7" t="s">
        <v>25</v>
      </c>
      <c r="C25" s="7" t="s">
        <v>83</v>
      </c>
    </row>
    <row r="26">
      <c r="A26" s="7" t="s">
        <v>249</v>
      </c>
      <c r="B26" s="7" t="s">
        <v>25</v>
      </c>
      <c r="C26" s="7" t="s">
        <v>83</v>
      </c>
    </row>
    <row r="27">
      <c r="A27" s="7" t="s">
        <v>274</v>
      </c>
      <c r="B27" s="7" t="s">
        <v>25</v>
      </c>
      <c r="C27" s="7" t="s">
        <v>121</v>
      </c>
    </row>
    <row r="28">
      <c r="A28" s="7" t="s">
        <v>275</v>
      </c>
      <c r="B28" s="7" t="s">
        <v>25</v>
      </c>
      <c r="C28" s="7" t="s">
        <v>121</v>
      </c>
    </row>
    <row r="29">
      <c r="A29" s="7" t="s">
        <v>306</v>
      </c>
      <c r="B29" s="7" t="s">
        <v>25</v>
      </c>
      <c r="C29" s="7" t="s">
        <v>121</v>
      </c>
    </row>
    <row r="30">
      <c r="A30" s="7" t="s">
        <v>344</v>
      </c>
      <c r="B30" s="7" t="s">
        <v>25</v>
      </c>
      <c r="C30" s="7" t="s">
        <v>83</v>
      </c>
    </row>
    <row r="31">
      <c r="A31" s="7" t="s">
        <v>345</v>
      </c>
      <c r="B31" s="7" t="s">
        <v>25</v>
      </c>
      <c r="C31" s="7" t="s">
        <v>121</v>
      </c>
    </row>
    <row r="32">
      <c r="A32" s="7" t="s">
        <v>346</v>
      </c>
      <c r="B32" s="7" t="s">
        <v>25</v>
      </c>
      <c r="C32" s="7" t="s">
        <v>121</v>
      </c>
    </row>
    <row r="33">
      <c r="A33" s="7" t="s">
        <v>387</v>
      </c>
      <c r="B33" s="7" t="s">
        <v>25</v>
      </c>
      <c r="C33" s="7" t="s">
        <v>83</v>
      </c>
    </row>
    <row r="34">
      <c r="A34" s="7" t="s">
        <v>377</v>
      </c>
      <c r="B34" s="7" t="s">
        <v>25</v>
      </c>
      <c r="C34" s="7" t="s">
        <v>121</v>
      </c>
    </row>
    <row r="35">
      <c r="A35" s="46" t="s">
        <v>237</v>
      </c>
      <c r="B35" s="46" t="s">
        <v>28</v>
      </c>
      <c r="C35" s="7" t="s">
        <v>121</v>
      </c>
    </row>
    <row r="36">
      <c r="A36" s="46" t="s">
        <v>269</v>
      </c>
      <c r="B36" s="46" t="s">
        <v>28</v>
      </c>
      <c r="C36" s="7" t="s">
        <v>121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88"/>
    <col customWidth="1" min="3" max="3" width="16.5"/>
    <col customWidth="1" min="4" max="4" width="35.5"/>
    <col customWidth="1" min="5" max="5" width="6.38"/>
    <col customWidth="1" min="7" max="7" width="33.88"/>
    <col customWidth="1" min="8" max="8" width="34.75"/>
    <col customWidth="1" min="12" max="12" width="38.0"/>
    <col customWidth="1" min="14" max="14" width="3.38"/>
    <col customWidth="1" min="15" max="15" width="14.0"/>
    <col customWidth="1" min="16" max="16" width="12.0"/>
    <col customWidth="1" min="17" max="18" width="12.5"/>
    <col customWidth="1" min="20" max="20" width="10.88"/>
    <col customWidth="1" min="21" max="21" width="16.5"/>
    <col customWidth="1" min="22" max="22" width="35.5"/>
    <col customWidth="1" min="23" max="23" width="11.0"/>
    <col customWidth="1" min="24" max="24" width="12.5"/>
    <col customWidth="1" min="25" max="25" width="6.88"/>
    <col customWidth="1" min="26" max="26" width="13.0"/>
    <col customWidth="1" min="27" max="27" width="16.5"/>
    <col customWidth="1" min="28" max="28" width="35.5"/>
    <col customWidth="1" min="29" max="29" width="10.88"/>
    <col customWidth="1" min="30" max="30" width="16.5"/>
    <col customWidth="1" min="31" max="31" width="7.38"/>
    <col customWidth="1" min="33" max="33" width="16.5"/>
    <col customWidth="1" min="34" max="34" width="35.5"/>
  </cols>
  <sheetData>
    <row r="1">
      <c r="G1" s="47"/>
      <c r="H1" s="47"/>
      <c r="N1" s="47"/>
      <c r="O1" s="47"/>
      <c r="P1" s="47"/>
      <c r="Q1" s="47"/>
      <c r="R1" s="47"/>
      <c r="AB1" s="14" t="s">
        <v>12</v>
      </c>
      <c r="AC1" s="14" t="s">
        <v>433</v>
      </c>
      <c r="AD1" s="14" t="s">
        <v>434</v>
      </c>
      <c r="AE1" s="14" t="s">
        <v>0</v>
      </c>
    </row>
    <row r="2">
      <c r="A2" s="23" t="s">
        <v>1</v>
      </c>
      <c r="B2" s="23" t="s">
        <v>2</v>
      </c>
      <c r="C2" s="23" t="s">
        <v>435</v>
      </c>
      <c r="D2" s="23" t="s">
        <v>12</v>
      </c>
      <c r="E2" s="23" t="s">
        <v>436</v>
      </c>
      <c r="F2" s="23" t="s">
        <v>437</v>
      </c>
      <c r="G2" s="12" t="s">
        <v>438</v>
      </c>
      <c r="H2" s="12" t="s">
        <v>439</v>
      </c>
      <c r="J2" s="23" t="s">
        <v>440</v>
      </c>
      <c r="K2" s="12" t="s">
        <v>441</v>
      </c>
      <c r="M2" s="14" t="s">
        <v>0</v>
      </c>
      <c r="N2" s="17" t="str">
        <f>IFERROR(__xludf.DUMMYFUNCTION("QUERY({M3:M1000,E3:E1000,K3:K1000},""select Col1,count(Col1),sum(Col2),avg(Col2),sum(Col3) where Col1 is not null group by Col1 order by Col1 label Col1 'PC',count(Col1) 'JUMLAH NOPOL',sum(Col2) 'TOTAL JARAK',avg(Col2) 'RATA JARAK',sum(Col3) 'TOTAL BOBOT'"&amp;""",0)"),"PC")</f>
        <v>PC</v>
      </c>
      <c r="O2" s="17" t="str">
        <f>IFERROR(__xludf.DUMMYFUNCTION("""COMPUTED_VALUE"""),"JUMLAH NOPOL")</f>
        <v>JUMLAH NOPOL</v>
      </c>
      <c r="P2" s="17" t="str">
        <f>IFERROR(__xludf.DUMMYFUNCTION("""COMPUTED_VALUE"""),"TOTAL JARAK")</f>
        <v>TOTAL JARAK</v>
      </c>
      <c r="Q2" s="17" t="str">
        <f>IFERROR(__xludf.DUMMYFUNCTION("""COMPUTED_VALUE"""),"RATA JARAK")</f>
        <v>RATA JARAK</v>
      </c>
      <c r="R2" s="17" t="str">
        <f>IFERROR(__xludf.DUMMYFUNCTION("""COMPUTED_VALUE"""),"TOTAL BOBOT")</f>
        <v>TOTAL BOBOT</v>
      </c>
      <c r="S2" s="17"/>
      <c r="T2" s="14" t="s">
        <v>2</v>
      </c>
      <c r="U2" s="14" t="s">
        <v>435</v>
      </c>
      <c r="V2" s="14" t="s">
        <v>12</v>
      </c>
      <c r="W2" s="14" t="s">
        <v>436</v>
      </c>
      <c r="X2" s="14" t="s">
        <v>440</v>
      </c>
      <c r="Y2" s="14" t="s">
        <v>441</v>
      </c>
      <c r="Z2" s="14" t="s">
        <v>447</v>
      </c>
      <c r="AB2" s="48" t="str">
        <f>IFERROR(__xludf.DUMMYFUNCTION("SORT(FILTER({D3:D1000,B3:B1000,C3:C1000,M3:M1000},D3:D1000&lt;&gt;"""",D3:D1000&lt;&gt;""Data Company Belum Ada""),1,TRUE,4,TRUE)"),"PT ADAM TRANS")</f>
        <v>PT ADAM TRANS</v>
      </c>
      <c r="AC2" s="48" t="str">
        <f>IFERROR(__xludf.DUMMYFUNCTION("""COMPUTED_VALUE"""),"B 9203 TEK")</f>
        <v>B 9203 TEK</v>
      </c>
      <c r="AD2" s="48" t="str">
        <f>IFERROR(__xludf.DUMMYFUNCTION("""COMPUTED_VALUE"""),"TLPG MEM GRESIK")</f>
        <v>TLPG MEM GRESIK</v>
      </c>
      <c r="AE2" s="17">
        <f>IFERROR(__xludf.DUMMYFUNCTION("""COMPUTED_VALUE"""),3.0)</f>
        <v>3</v>
      </c>
    </row>
    <row r="3">
      <c r="A3" s="12">
        <v>1.0</v>
      </c>
      <c r="B3" s="9" t="str">
        <f t="array" ref="B3:D23551">IF('SETTING ROTASI'!A2:A1000="",,{'SETTING ROTASI'!A2:A1000,'SETTING ROTASI'!B2:B1000,'SETTING ROTASI'!E2:E1000})</f>
        <v>AD 9780 AB</v>
      </c>
      <c r="C3" s="9" t="s">
        <v>5</v>
      </c>
      <c r="D3" s="9" t="s">
        <v>44</v>
      </c>
      <c r="E3" s="49">
        <v>53.9</v>
      </c>
      <c r="F3" s="23" t="s">
        <v>454</v>
      </c>
      <c r="G3" s="9" t="str">
        <f>IFERROR(VLOOKUP(C3,'MASTER TLPG'!A:B,2,FALSE),"")</f>
        <v>-8.749911797697688, 116.03590255003817</v>
      </c>
      <c r="H3" s="9" t="str">
        <f>IFERROR(VLOOKUP(D3,'MASTER PERUSAHAAN'!A:B,2,FALSE),"")</f>
        <v>-8.592744146752992, 116.29455490550856</v>
      </c>
      <c r="J3" s="9" t="str">
        <f t="shared" ref="J3:J334" si="1">IF(E3="","",IF(E3&lt;=50,"DEKAT",IF(E3&lt;=150,"SEDANG","JAUH")))</f>
        <v>SEDANG</v>
      </c>
      <c r="K3" s="11">
        <f t="shared" ref="K3:K334" si="2">IF(J3="","",IF(J3="DEKAT",1,IF(J3="SEDANG",2,3)))</f>
        <v>2</v>
      </c>
      <c r="M3" s="17">
        <f t="array" ref="M3:M1000">IF(B3:B1000="","",IFERROR(VLOOKUP(TRIM(B3:B1000),{'PC SETTING'!C:C,'PC SETTING'!E:E},2,FALSE),""))</f>
        <v>1</v>
      </c>
      <c r="N3" s="17">
        <f>IFERROR(__xludf.DUMMYFUNCTION("""COMPUTED_VALUE"""),1.0)</f>
        <v>1</v>
      </c>
      <c r="O3" s="17">
        <f>IFERROR(__xludf.DUMMYFUNCTION("""COMPUTED_VALUE"""),28.0)</f>
        <v>28</v>
      </c>
      <c r="P3" s="17">
        <f>IFERROR(__xludf.DUMMYFUNCTION("""COMPUTED_VALUE"""),3212.2999999999993)</f>
        <v>3212.3</v>
      </c>
      <c r="Q3" s="17">
        <f>IFERROR(__xludf.DUMMYFUNCTION("""COMPUTED_VALUE"""),146.01363636363632)</f>
        <v>146.0136364</v>
      </c>
      <c r="R3" s="17">
        <f>IFERROR(__xludf.DUMMYFUNCTION("""COMPUTED_VALUE"""),57.0)</f>
        <v>57</v>
      </c>
      <c r="S3" s="17"/>
      <c r="T3" s="17" t="str">
        <f>IFERROR(__xludf.DUMMYFUNCTION("SORT(FILTER({B3:B1000,C3:C1000,D3:D1000,E3:E1000,J3:J1000,K3:K1000,M3:M1000},E3:E1000&lt;&gt;""""),4,FALSE)"),"L 8116 UUC")</f>
        <v>L 8116 UUC</v>
      </c>
      <c r="U3" s="17" t="str">
        <f>IFERROR(__xludf.DUMMYFUNCTION("""COMPUTED_VALUE"""),"TLPG BIMA")</f>
        <v>TLPG BIMA</v>
      </c>
      <c r="V3" s="17" t="str">
        <f>IFERROR(__xludf.DUMMYFUNCTION("""COMPUTED_VALUE"""),"PT. SUMBAWA DUTA ENERGY")</f>
        <v>PT. SUMBAWA DUTA ENERGY</v>
      </c>
      <c r="W3" s="17">
        <f>IFERROR(__xludf.DUMMYFUNCTION("""COMPUTED_VALUE"""),240.9)</f>
        <v>240.9</v>
      </c>
      <c r="X3" s="17" t="str">
        <f>IFERROR(__xludf.DUMMYFUNCTION("""COMPUTED_VALUE"""),"JAUH")</f>
        <v>JAUH</v>
      </c>
      <c r="Y3" s="17">
        <f>IFERROR(__xludf.DUMMYFUNCTION("""COMPUTED_VALUE"""),3.0)</f>
        <v>3</v>
      </c>
      <c r="Z3" s="17">
        <f>IFERROR(__xludf.DUMMYFUNCTION("""COMPUTED_VALUE"""),1.0)</f>
        <v>1</v>
      </c>
      <c r="AB3" s="48" t="str">
        <f>IFERROR(__xludf.DUMMYFUNCTION("""COMPUTED_VALUE"""),"PT ADAM TRANS")</f>
        <v>PT ADAM TRANS</v>
      </c>
      <c r="AC3" s="48" t="str">
        <f>IFERROR(__xludf.DUMMYFUNCTION("""COMPUTED_VALUE"""),"B 9202 TEK")</f>
        <v>B 9202 TEK</v>
      </c>
      <c r="AD3" s="48" t="str">
        <f>IFERROR(__xludf.DUMMYFUNCTION("""COMPUTED_VALUE"""),"TLPG MEM GRESIK")</f>
        <v>TLPG MEM GRESIK</v>
      </c>
      <c r="AE3" s="17">
        <f>IFERROR(__xludf.DUMMYFUNCTION("""COMPUTED_VALUE"""),10.0)</f>
        <v>10</v>
      </c>
    </row>
    <row r="4">
      <c r="A4" s="12">
        <v>2.0</v>
      </c>
      <c r="B4" s="9" t="s">
        <v>6</v>
      </c>
      <c r="C4" s="9" t="s">
        <v>7</v>
      </c>
      <c r="D4" s="9" t="s">
        <v>108</v>
      </c>
      <c r="E4" s="49">
        <v>163.5</v>
      </c>
      <c r="F4" s="23" t="s">
        <v>454</v>
      </c>
      <c r="G4" s="9" t="str">
        <f>IFERROR(VLOOKUP(C4,'MASTER TLPG'!A:B,2,FALSE),"")</f>
        <v>-7.203807110524606, 112.71950675497641</v>
      </c>
      <c r="H4" s="9" t="str">
        <f>IFERROR(VLOOKUP(D4,'MASTER PERUSAHAAN'!A:B,2,FALSE),"")</f>
        <v>-7.55209311653006, 111.6970825901112</v>
      </c>
      <c r="J4" s="9" t="str">
        <f t="shared" si="1"/>
        <v>JAUH</v>
      </c>
      <c r="K4" s="11">
        <f t="shared" si="2"/>
        <v>3</v>
      </c>
      <c r="M4" s="17">
        <v>1.0</v>
      </c>
      <c r="N4" s="17">
        <f>IFERROR(__xludf.DUMMYFUNCTION("""COMPUTED_VALUE"""),2.0)</f>
        <v>2</v>
      </c>
      <c r="O4" s="17">
        <f>IFERROR(__xludf.DUMMYFUNCTION("""COMPUTED_VALUE"""),29.0)</f>
        <v>29</v>
      </c>
      <c r="P4" s="17">
        <f>IFERROR(__xludf.DUMMYFUNCTION("""COMPUTED_VALUE"""),2973.9)</f>
        <v>2973.9</v>
      </c>
      <c r="Q4" s="17">
        <f>IFERROR(__xludf.DUMMYFUNCTION("""COMPUTED_VALUE"""),141.61428571428573)</f>
        <v>141.6142857</v>
      </c>
      <c r="R4" s="17">
        <f>IFERROR(__xludf.DUMMYFUNCTION("""COMPUTED_VALUE"""),52.0)</f>
        <v>52</v>
      </c>
      <c r="S4" s="17"/>
      <c r="T4" s="17" t="str">
        <f>IFERROR(__xludf.DUMMYFUNCTION("""COMPUTED_VALUE"""),"W 8057 UD")</f>
        <v>W 8057 UD</v>
      </c>
      <c r="U4" s="17" t="str">
        <f>IFERROR(__xludf.DUMMYFUNCTION("""COMPUTED_VALUE"""),"TLPG BIMA")</f>
        <v>TLPG BIMA</v>
      </c>
      <c r="V4" s="17" t="str">
        <f>IFERROR(__xludf.DUMMYFUNCTION("""COMPUTED_VALUE"""),"PT. SUMBAWA DUTA ENERGI")</f>
        <v>PT. SUMBAWA DUTA ENERGI</v>
      </c>
      <c r="W4" s="17">
        <f>IFERROR(__xludf.DUMMYFUNCTION("""COMPUTED_VALUE"""),240.9)</f>
        <v>240.9</v>
      </c>
      <c r="X4" s="17" t="str">
        <f>IFERROR(__xludf.DUMMYFUNCTION("""COMPUTED_VALUE"""),"JAUH")</f>
        <v>JAUH</v>
      </c>
      <c r="Y4" s="17">
        <f>IFERROR(__xludf.DUMMYFUNCTION("""COMPUTED_VALUE"""),3.0)</f>
        <v>3</v>
      </c>
      <c r="Z4" s="17">
        <f>IFERROR(__xludf.DUMMYFUNCTION("""COMPUTED_VALUE"""),12.0)</f>
        <v>12</v>
      </c>
      <c r="AB4" s="48" t="str">
        <f>IFERROR(__xludf.DUMMYFUNCTION("""COMPUTED_VALUE"""),"PT AGAM SEULAWAH JAYA")</f>
        <v>PT AGAM SEULAWAH JAYA</v>
      </c>
      <c r="AC4" s="48" t="str">
        <f>IFERROR(__xludf.DUMMYFUNCTION("""COMPUTED_VALUE"""),"N 8182 EB")</f>
        <v>N 8182 EB</v>
      </c>
      <c r="AD4" s="48" t="str">
        <f>IFERROR(__xludf.DUMMYFUNCTION("""COMPUTED_VALUE"""),"TLPG TJ PERAK")</f>
        <v>TLPG TJ PERAK</v>
      </c>
      <c r="AE4" s="17">
        <f>IFERROR(__xludf.DUMMYFUNCTION("""COMPUTED_VALUE"""),8.0)</f>
        <v>8</v>
      </c>
    </row>
    <row r="5">
      <c r="A5" s="12">
        <v>3.0</v>
      </c>
      <c r="B5" s="9" t="s">
        <v>8</v>
      </c>
      <c r="C5" s="9" t="s">
        <v>7</v>
      </c>
      <c r="D5" s="9" t="s">
        <v>114</v>
      </c>
      <c r="E5" s="49">
        <v>195.7</v>
      </c>
      <c r="F5" s="23" t="s">
        <v>454</v>
      </c>
      <c r="G5" s="9" t="str">
        <f>IFERROR(VLOOKUP(C5,'MASTER TLPG'!A:B,2,FALSE),"")</f>
        <v>-7.203807110524606, 112.71950675497641</v>
      </c>
      <c r="H5" s="9" t="str">
        <f>IFERROR(VLOOKUP(D5,'MASTER PERUSAHAAN'!A:B,2,FALSE),"")</f>
        <v>-7.834743437237973, 111.48357492268443</v>
      </c>
      <c r="J5" s="9" t="str">
        <f t="shared" si="1"/>
        <v>JAUH</v>
      </c>
      <c r="K5" s="11">
        <f t="shared" si="2"/>
        <v>3</v>
      </c>
      <c r="M5" s="17">
        <v>1.0</v>
      </c>
      <c r="N5" s="17">
        <f>IFERROR(__xludf.DUMMYFUNCTION("""COMPUTED_VALUE"""),3.0)</f>
        <v>3</v>
      </c>
      <c r="O5" s="17">
        <f>IFERROR(__xludf.DUMMYFUNCTION("""COMPUTED_VALUE"""),27.0)</f>
        <v>27</v>
      </c>
      <c r="P5" s="17">
        <f>IFERROR(__xludf.DUMMYFUNCTION("""COMPUTED_VALUE"""),2211.1999999999994)</f>
        <v>2211.2</v>
      </c>
      <c r="Q5" s="17">
        <f>IFERROR(__xludf.DUMMYFUNCTION("""COMPUTED_VALUE"""),110.55999999999997)</f>
        <v>110.56</v>
      </c>
      <c r="R5" s="17">
        <f>IFERROR(__xludf.DUMMYFUNCTION("""COMPUTED_VALUE"""),39.0)</f>
        <v>39</v>
      </c>
      <c r="S5" s="17"/>
      <c r="T5" s="17" t="str">
        <f>IFERROR(__xludf.DUMMYFUNCTION("""COMPUTED_VALUE"""),"P 8435 UA")</f>
        <v>P 8435 UA</v>
      </c>
      <c r="U5" s="17" t="str">
        <f>IFERROR(__xludf.DUMMYFUNCTION("""COMPUTED_VALUE"""),"TLPG MEM GRESIK")</f>
        <v>TLPG MEM GRESIK</v>
      </c>
      <c r="V5" s="17" t="str">
        <f>IFERROR(__xludf.DUMMYFUNCTION("""COMPUTED_VALUE"""),"PT ARIA ENERGY PERSADA")</f>
        <v>PT ARIA ENERGY PERSADA</v>
      </c>
      <c r="W5" s="17">
        <f>IFERROR(__xludf.DUMMYFUNCTION("""COMPUTED_VALUE"""),235.0)</f>
        <v>235</v>
      </c>
      <c r="X5" s="17" t="str">
        <f>IFERROR(__xludf.DUMMYFUNCTION("""COMPUTED_VALUE"""),"JAUH")</f>
        <v>JAUH</v>
      </c>
      <c r="Y5" s="17">
        <f>IFERROR(__xludf.DUMMYFUNCTION("""COMPUTED_VALUE"""),3.0)</f>
        <v>3</v>
      </c>
      <c r="Z5" s="17">
        <f>IFERROR(__xludf.DUMMYFUNCTION("""COMPUTED_VALUE"""),10.0)</f>
        <v>10</v>
      </c>
      <c r="AB5" s="48" t="str">
        <f>IFERROR(__xludf.DUMMYFUNCTION("""COMPUTED_VALUE"""),"PT AGAM SEULAWAH JAYA")</f>
        <v>PT AGAM SEULAWAH JAYA</v>
      </c>
      <c r="AC5" s="48" t="str">
        <f>IFERROR(__xludf.DUMMYFUNCTION("""COMPUTED_VALUE"""),"N 8183 EB")</f>
        <v>N 8183 EB</v>
      </c>
      <c r="AD5" s="48" t="str">
        <f>IFERROR(__xludf.DUMMYFUNCTION("""COMPUTED_VALUE"""),"TLPG TJ PERAK")</f>
        <v>TLPG TJ PERAK</v>
      </c>
      <c r="AE5" s="17">
        <f>IFERROR(__xludf.DUMMYFUNCTION("""COMPUTED_VALUE"""),8.0)</f>
        <v>8</v>
      </c>
    </row>
    <row r="6">
      <c r="A6" s="12">
        <v>4.0</v>
      </c>
      <c r="B6" s="9" t="s">
        <v>9</v>
      </c>
      <c r="C6" s="9" t="s">
        <v>7</v>
      </c>
      <c r="D6" s="9" t="s">
        <v>108</v>
      </c>
      <c r="E6" s="49">
        <v>163.5</v>
      </c>
      <c r="F6" s="23" t="s">
        <v>454</v>
      </c>
      <c r="G6" s="9" t="str">
        <f>IFERROR(VLOOKUP(C6,'MASTER TLPG'!A:B,2,FALSE),"")</f>
        <v>-7.203807110524606, 112.71950675497641</v>
      </c>
      <c r="H6" s="9" t="str">
        <f>IFERROR(VLOOKUP(D6,'MASTER PERUSAHAAN'!A:B,2,FALSE),"")</f>
        <v>-7.55209311653006, 111.6970825901112</v>
      </c>
      <c r="J6" s="9" t="str">
        <f t="shared" si="1"/>
        <v>JAUH</v>
      </c>
      <c r="K6" s="11">
        <f t="shared" si="2"/>
        <v>3</v>
      </c>
      <c r="M6" s="17">
        <v>1.0</v>
      </c>
      <c r="N6" s="17">
        <f>IFERROR(__xludf.DUMMYFUNCTION("""COMPUTED_VALUE"""),4.0)</f>
        <v>4</v>
      </c>
      <c r="O6" s="17">
        <f>IFERROR(__xludf.DUMMYFUNCTION("""COMPUTED_VALUE"""),27.0)</f>
        <v>27</v>
      </c>
      <c r="P6" s="17">
        <f>IFERROR(__xludf.DUMMYFUNCTION("""COMPUTED_VALUE"""),2741.4999999999995)</f>
        <v>2741.5</v>
      </c>
      <c r="Q6" s="17">
        <f>IFERROR(__xludf.DUMMYFUNCTION("""COMPUTED_VALUE"""),114.22916666666664)</f>
        <v>114.2291667</v>
      </c>
      <c r="R6" s="17">
        <f>IFERROR(__xludf.DUMMYFUNCTION("""COMPUTED_VALUE"""),53.0)</f>
        <v>53</v>
      </c>
      <c r="S6" s="17"/>
      <c r="T6" s="17" t="str">
        <f>IFERROR(__xludf.DUMMYFUNCTION("""COMPUTED_VALUE"""),"L 8440 UD")</f>
        <v>L 8440 UD</v>
      </c>
      <c r="U6" s="17" t="str">
        <f>IFERROR(__xludf.DUMMYFUNCTION("""COMPUTED_VALUE"""),"TLPG MEM GRESIK")</f>
        <v>TLPG MEM GRESIK</v>
      </c>
      <c r="V6" s="17" t="str">
        <f>IFERROR(__xludf.DUMMYFUNCTION("""COMPUTED_VALUE"""),"PT BINA MAKMUR SENTOSA LESTARI")</f>
        <v>PT BINA MAKMUR SENTOSA LESTARI</v>
      </c>
      <c r="W6" s="17">
        <f>IFERROR(__xludf.DUMMYFUNCTION("""COMPUTED_VALUE"""),225.5)</f>
        <v>225.5</v>
      </c>
      <c r="X6" s="17" t="str">
        <f>IFERROR(__xludf.DUMMYFUNCTION("""COMPUTED_VALUE"""),"JAUH")</f>
        <v>JAUH</v>
      </c>
      <c r="Y6" s="17">
        <f>IFERROR(__xludf.DUMMYFUNCTION("""COMPUTED_VALUE"""),3.0)</f>
        <v>3</v>
      </c>
      <c r="Z6" s="17">
        <f>IFERROR(__xludf.DUMMYFUNCTION("""COMPUTED_VALUE"""),4.0)</f>
        <v>4</v>
      </c>
      <c r="AB6" s="48" t="str">
        <f>IFERROR(__xludf.DUMMYFUNCTION("""COMPUTED_VALUE"""),"PT AGAM SEULAWAH JAYA")</f>
        <v>PT AGAM SEULAWAH JAYA</v>
      </c>
      <c r="AC6" s="48" t="str">
        <f>IFERROR(__xludf.DUMMYFUNCTION("""COMPUTED_VALUE"""),"N 8327 ED")</f>
        <v>N 8327 ED</v>
      </c>
      <c r="AD6" s="48" t="str">
        <f>IFERROR(__xludf.DUMMYFUNCTION("""COMPUTED_VALUE"""),"TLPG TJ PERAK")</f>
        <v>TLPG TJ PERAK</v>
      </c>
      <c r="AE6" s="17">
        <f>IFERROR(__xludf.DUMMYFUNCTION("""COMPUTED_VALUE"""),8.0)</f>
        <v>8</v>
      </c>
    </row>
    <row r="7">
      <c r="A7" s="12">
        <v>5.0</v>
      </c>
      <c r="B7" s="9" t="s">
        <v>10</v>
      </c>
      <c r="C7" s="9" t="s">
        <v>7</v>
      </c>
      <c r="D7" s="9" t="s">
        <v>108</v>
      </c>
      <c r="E7" s="49">
        <v>163.5</v>
      </c>
      <c r="F7" s="23" t="s">
        <v>454</v>
      </c>
      <c r="G7" s="9" t="str">
        <f>IFERROR(VLOOKUP(C7,'MASTER TLPG'!A:B,2,FALSE),"")</f>
        <v>-7.203807110524606, 112.71950675497641</v>
      </c>
      <c r="H7" s="9" t="str">
        <f>IFERROR(VLOOKUP(D7,'MASTER PERUSAHAAN'!A:B,2,FALSE),"")</f>
        <v>-7.55209311653006, 111.6970825901112</v>
      </c>
      <c r="J7" s="9" t="str">
        <f t="shared" si="1"/>
        <v>JAUH</v>
      </c>
      <c r="K7" s="11">
        <f t="shared" si="2"/>
        <v>3</v>
      </c>
      <c r="M7" s="17">
        <v>1.0</v>
      </c>
      <c r="N7" s="17">
        <f>IFERROR(__xludf.DUMMYFUNCTION("""COMPUTED_VALUE"""),5.0)</f>
        <v>5</v>
      </c>
      <c r="O7" s="17">
        <f>IFERROR(__xludf.DUMMYFUNCTION("""COMPUTED_VALUE"""),27.0)</f>
        <v>27</v>
      </c>
      <c r="P7" s="17">
        <f>IFERROR(__xludf.DUMMYFUNCTION("""COMPUTED_VALUE"""),1918.2)</f>
        <v>1918.2</v>
      </c>
      <c r="Q7" s="17">
        <f>IFERROR(__xludf.DUMMYFUNCTION("""COMPUTED_VALUE"""),91.34285714285714)</f>
        <v>91.34285714</v>
      </c>
      <c r="R7" s="17">
        <f>IFERROR(__xludf.DUMMYFUNCTION("""COMPUTED_VALUE"""),39.0)</f>
        <v>39</v>
      </c>
      <c r="S7" s="17"/>
      <c r="T7" s="17" t="str">
        <f>IFERROR(__xludf.DUMMYFUNCTION("""COMPUTED_VALUE"""),"P 8208 UG")</f>
        <v>P 8208 UG</v>
      </c>
      <c r="U7" s="17" t="str">
        <f>IFERROR(__xludf.DUMMYFUNCTION("""COMPUTED_VALUE"""),"TLPG MEM GRESIK")</f>
        <v>TLPG MEM GRESIK</v>
      </c>
      <c r="V7" s="17" t="str">
        <f>IFERROR(__xludf.DUMMYFUNCTION("""COMPUTED_VALUE"""),"PT TRI TUNGGAL ARGOPURO MANDIRI")</f>
        <v>PT TRI TUNGGAL ARGOPURO MANDIRI</v>
      </c>
      <c r="W7" s="17">
        <f>IFERROR(__xludf.DUMMYFUNCTION("""COMPUTED_VALUE"""),202.3)</f>
        <v>202.3</v>
      </c>
      <c r="X7" s="17" t="str">
        <f>IFERROR(__xludf.DUMMYFUNCTION("""COMPUTED_VALUE"""),"JAUH")</f>
        <v>JAUH</v>
      </c>
      <c r="Y7" s="17">
        <f>IFERROR(__xludf.DUMMYFUNCTION("""COMPUTED_VALUE"""),3.0)</f>
        <v>3</v>
      </c>
      <c r="Z7" s="17">
        <f>IFERROR(__xludf.DUMMYFUNCTION("""COMPUTED_VALUE"""),10.0)</f>
        <v>10</v>
      </c>
      <c r="AB7" s="48" t="str">
        <f>IFERROR(__xludf.DUMMYFUNCTION("""COMPUTED_VALUE"""),"PT AGUNG CATUR UTAMA GROUP")</f>
        <v>PT AGUNG CATUR UTAMA GROUP</v>
      </c>
      <c r="AC7" s="48" t="str">
        <f>IFERROR(__xludf.DUMMYFUNCTION("""COMPUTED_VALUE"""),"L 9155 UB")</f>
        <v>L 9155 UB</v>
      </c>
      <c r="AD7" s="48" t="str">
        <f>IFERROR(__xludf.DUMMYFUNCTION("""COMPUTED_VALUE"""),"TLPG TJ PERAK")</f>
        <v>TLPG TJ PERAK</v>
      </c>
      <c r="AE7" s="17">
        <f>IFERROR(__xludf.DUMMYFUNCTION("""COMPUTED_VALUE"""),2.0)</f>
        <v>2</v>
      </c>
    </row>
    <row r="8">
      <c r="A8" s="12">
        <v>6.0</v>
      </c>
      <c r="B8" s="9" t="s">
        <v>13</v>
      </c>
      <c r="C8" s="9" t="s">
        <v>7</v>
      </c>
      <c r="D8" s="9" t="s">
        <v>108</v>
      </c>
      <c r="E8" s="49">
        <v>163.5</v>
      </c>
      <c r="F8" s="23" t="s">
        <v>454</v>
      </c>
      <c r="G8" s="9" t="str">
        <f>IFERROR(VLOOKUP(C8,'MASTER TLPG'!A:B,2,FALSE),"")</f>
        <v>-7.203807110524606, 112.71950675497641</v>
      </c>
      <c r="H8" s="9" t="str">
        <f>IFERROR(VLOOKUP(D8,'MASTER PERUSAHAAN'!A:B,2,FALSE),"")</f>
        <v>-7.55209311653006, 111.6970825901112</v>
      </c>
      <c r="J8" s="9" t="str">
        <f t="shared" si="1"/>
        <v>JAUH</v>
      </c>
      <c r="K8" s="11">
        <f t="shared" si="2"/>
        <v>3</v>
      </c>
      <c r="M8" s="17">
        <v>1.0</v>
      </c>
      <c r="N8" s="17">
        <f>IFERROR(__xludf.DUMMYFUNCTION("""COMPUTED_VALUE"""),6.0)</f>
        <v>6</v>
      </c>
      <c r="O8" s="17">
        <f>IFERROR(__xludf.DUMMYFUNCTION("""COMPUTED_VALUE"""),27.0)</f>
        <v>27</v>
      </c>
      <c r="P8" s="17">
        <f>IFERROR(__xludf.DUMMYFUNCTION("""COMPUTED_VALUE"""),1668.5)</f>
        <v>1668.5</v>
      </c>
      <c r="Q8" s="17">
        <f>IFERROR(__xludf.DUMMYFUNCTION("""COMPUTED_VALUE"""),83.425)</f>
        <v>83.425</v>
      </c>
      <c r="R8" s="17">
        <f>IFERROR(__xludf.DUMMYFUNCTION("""COMPUTED_VALUE"""),39.0)</f>
        <v>39</v>
      </c>
      <c r="S8" s="17"/>
      <c r="T8" s="17" t="str">
        <f>IFERROR(__xludf.DUMMYFUNCTION("""COMPUTED_VALUE"""),"P 9114 UG")</f>
        <v>P 9114 UG</v>
      </c>
      <c r="U8" s="17" t="str">
        <f>IFERROR(__xludf.DUMMYFUNCTION("""COMPUTED_VALUE"""),"TLPG MEM GRESIK")</f>
        <v>TLPG MEM GRESIK</v>
      </c>
      <c r="V8" s="17" t="str">
        <f>IFERROR(__xludf.DUMMYFUNCTION("""COMPUTED_VALUE"""),"PT TRI TUNGGAL ARGOPURO MANDIRI")</f>
        <v>PT TRI TUNGGAL ARGOPURO MANDIRI</v>
      </c>
      <c r="W8" s="17">
        <f>IFERROR(__xludf.DUMMYFUNCTION("""COMPUTED_VALUE"""),202.3)</f>
        <v>202.3</v>
      </c>
      <c r="X8" s="17" t="str">
        <f>IFERROR(__xludf.DUMMYFUNCTION("""COMPUTED_VALUE"""),"JAUH")</f>
        <v>JAUH</v>
      </c>
      <c r="Y8" s="17">
        <f>IFERROR(__xludf.DUMMYFUNCTION("""COMPUTED_VALUE"""),3.0)</f>
        <v>3</v>
      </c>
      <c r="Z8" s="17">
        <f>IFERROR(__xludf.DUMMYFUNCTION("""COMPUTED_VALUE"""),11.0)</f>
        <v>11</v>
      </c>
      <c r="AB8" s="48" t="str">
        <f>IFERROR(__xludf.DUMMYFUNCTION("""COMPUTED_VALUE"""),"PT AGUNG CATUR UTAMA GROUP")</f>
        <v>PT AGUNG CATUR UTAMA GROUP</v>
      </c>
      <c r="AC8" s="48" t="str">
        <f>IFERROR(__xludf.DUMMYFUNCTION("""COMPUTED_VALUE"""),"AG 8380 KL")</f>
        <v>AG 8380 KL</v>
      </c>
      <c r="AD8" s="48" t="str">
        <f>IFERROR(__xludf.DUMMYFUNCTION("""COMPUTED_VALUE"""),"TLPG TJ PERAK")</f>
        <v>TLPG TJ PERAK</v>
      </c>
      <c r="AE8" s="17">
        <f>IFERROR(__xludf.DUMMYFUNCTION("""COMPUTED_VALUE"""),3.0)</f>
        <v>3</v>
      </c>
    </row>
    <row r="9">
      <c r="A9" s="12">
        <v>7.0</v>
      </c>
      <c r="B9" s="9" t="s">
        <v>15</v>
      </c>
      <c r="C9" s="9" t="s">
        <v>7</v>
      </c>
      <c r="D9" s="9" t="s">
        <v>149</v>
      </c>
      <c r="E9" s="49">
        <v>178.3</v>
      </c>
      <c r="F9" s="23" t="s">
        <v>454</v>
      </c>
      <c r="G9" s="9" t="str">
        <f>IFERROR(VLOOKUP(C9,'MASTER TLPG'!A:B,2,FALSE),"")</f>
        <v>-7.203807110524606, 112.71950675497641</v>
      </c>
      <c r="H9" s="9" t="str">
        <f>IFERROR(VLOOKUP(D9,'MASTER PERUSAHAAN'!A:B,2,FALSE),"")</f>
        <v>-7.410023627653789, 111.47550424820821</v>
      </c>
      <c r="J9" s="9" t="str">
        <f t="shared" si="1"/>
        <v>JAUH</v>
      </c>
      <c r="K9" s="11">
        <f t="shared" si="2"/>
        <v>3</v>
      </c>
      <c r="M9" s="17">
        <v>1.0</v>
      </c>
      <c r="N9" s="17">
        <f>IFERROR(__xludf.DUMMYFUNCTION("""COMPUTED_VALUE"""),7.0)</f>
        <v>7</v>
      </c>
      <c r="O9" s="17">
        <f>IFERROR(__xludf.DUMMYFUNCTION("""COMPUTED_VALUE"""),28.0)</f>
        <v>28</v>
      </c>
      <c r="P9" s="17">
        <f>IFERROR(__xludf.DUMMYFUNCTION("""COMPUTED_VALUE"""),2242.7)</f>
        <v>2242.7</v>
      </c>
      <c r="Q9" s="17">
        <f>IFERROR(__xludf.DUMMYFUNCTION("""COMPUTED_VALUE"""),93.44583333333333)</f>
        <v>93.44583333</v>
      </c>
      <c r="R9" s="17">
        <f>IFERROR(__xludf.DUMMYFUNCTION("""COMPUTED_VALUE"""),48.0)</f>
        <v>48</v>
      </c>
      <c r="S9" s="17"/>
      <c r="T9" s="17" t="str">
        <f>IFERROR(__xludf.DUMMYFUNCTION("""COMPUTED_VALUE"""),"AE 8845 UT")</f>
        <v>AE 8845 UT</v>
      </c>
      <c r="U9" s="17" t="str">
        <f>IFERROR(__xludf.DUMMYFUNCTION("""COMPUTED_VALUE"""),"TLPG TJ PERAK")</f>
        <v>TLPG TJ PERAK</v>
      </c>
      <c r="V9" s="17" t="str">
        <f>IFERROR(__xludf.DUMMYFUNCTION("""COMPUTED_VALUE"""),"PT BUANA KARYA SURYA PRATAMA")</f>
        <v>PT BUANA KARYA SURYA PRATAMA</v>
      </c>
      <c r="W9" s="17">
        <f>IFERROR(__xludf.DUMMYFUNCTION("""COMPUTED_VALUE"""),201.0)</f>
        <v>201</v>
      </c>
      <c r="X9" s="17" t="str">
        <f>IFERROR(__xludf.DUMMYFUNCTION("""COMPUTED_VALUE"""),"JAUH")</f>
        <v>JAUH</v>
      </c>
      <c r="Y9" s="17">
        <f>IFERROR(__xludf.DUMMYFUNCTION("""COMPUTED_VALUE"""),3.0)</f>
        <v>3</v>
      </c>
      <c r="Z9" s="17">
        <f>IFERROR(__xludf.DUMMYFUNCTION("""COMPUTED_VALUE"""),2.0)</f>
        <v>2</v>
      </c>
      <c r="AB9" s="48" t="str">
        <f>IFERROR(__xludf.DUMMYFUNCTION("""COMPUTED_VALUE"""),"PT AMANATUL UMMAH GAS")</f>
        <v>PT AMANATUL UMMAH GAS</v>
      </c>
      <c r="AC9" s="48" t="str">
        <f>IFERROR(__xludf.DUMMYFUNCTION("""COMPUTED_VALUE"""),"S 8543 UN")</f>
        <v>S 8543 UN</v>
      </c>
      <c r="AD9" s="48" t="str">
        <f>IFERROR(__xludf.DUMMYFUNCTION("""COMPUTED_VALUE"""),"TLPG TJ PERAK")</f>
        <v>TLPG TJ PERAK</v>
      </c>
      <c r="AE9" s="17">
        <f>IFERROR(__xludf.DUMMYFUNCTION("""COMPUTED_VALUE"""),11.0)</f>
        <v>11</v>
      </c>
    </row>
    <row r="10">
      <c r="A10" s="12">
        <v>8.0</v>
      </c>
      <c r="B10" s="9" t="s">
        <v>16</v>
      </c>
      <c r="C10" s="9" t="s">
        <v>7</v>
      </c>
      <c r="D10" s="9" t="s">
        <v>149</v>
      </c>
      <c r="E10" s="49">
        <v>178.3</v>
      </c>
      <c r="F10" s="23" t="s">
        <v>454</v>
      </c>
      <c r="G10" s="9" t="str">
        <f>IFERROR(VLOOKUP(C10,'MASTER TLPG'!A:B,2,FALSE),"")</f>
        <v>-7.203807110524606, 112.71950675497641</v>
      </c>
      <c r="H10" s="9" t="str">
        <f>IFERROR(VLOOKUP(D10,'MASTER PERUSAHAAN'!A:B,2,FALSE),"")</f>
        <v>-7.410023627653789, 111.47550424820821</v>
      </c>
      <c r="J10" s="9" t="str">
        <f t="shared" si="1"/>
        <v>JAUH</v>
      </c>
      <c r="K10" s="11">
        <f t="shared" si="2"/>
        <v>3</v>
      </c>
      <c r="M10" s="17">
        <v>1.0</v>
      </c>
      <c r="N10" s="17">
        <f>IFERROR(__xludf.DUMMYFUNCTION("""COMPUTED_VALUE"""),8.0)</f>
        <v>8</v>
      </c>
      <c r="O10" s="17">
        <f>IFERROR(__xludf.DUMMYFUNCTION("""COMPUTED_VALUE"""),28.0)</f>
        <v>28</v>
      </c>
      <c r="P10" s="17">
        <f>IFERROR(__xludf.DUMMYFUNCTION("""COMPUTED_VALUE"""),1895.5000000000002)</f>
        <v>1895.5</v>
      </c>
      <c r="Q10" s="17">
        <f>IFERROR(__xludf.DUMMYFUNCTION("""COMPUTED_VALUE"""),90.26190476190477)</f>
        <v>90.26190476</v>
      </c>
      <c r="R10" s="17">
        <f>IFERROR(__xludf.DUMMYFUNCTION("""COMPUTED_VALUE"""),39.0)</f>
        <v>39</v>
      </c>
      <c r="S10" s="17"/>
      <c r="T10" s="17" t="str">
        <f>IFERROR(__xludf.DUMMYFUNCTION("""COMPUTED_VALUE"""),"AE 8846 UT")</f>
        <v>AE 8846 UT</v>
      </c>
      <c r="U10" s="17" t="str">
        <f>IFERROR(__xludf.DUMMYFUNCTION("""COMPUTED_VALUE"""),"TLPG TJ PERAK")</f>
        <v>TLPG TJ PERAK</v>
      </c>
      <c r="V10" s="17" t="str">
        <f>IFERROR(__xludf.DUMMYFUNCTION("""COMPUTED_VALUE"""),"PT BUANA KARYA SURYA PRATAMA")</f>
        <v>PT BUANA KARYA SURYA PRATAMA</v>
      </c>
      <c r="W10" s="17">
        <f>IFERROR(__xludf.DUMMYFUNCTION("""COMPUTED_VALUE"""),201.0)</f>
        <v>201</v>
      </c>
      <c r="X10" s="17" t="str">
        <f>IFERROR(__xludf.DUMMYFUNCTION("""COMPUTED_VALUE"""),"JAUH")</f>
        <v>JAUH</v>
      </c>
      <c r="Y10" s="17">
        <f>IFERROR(__xludf.DUMMYFUNCTION("""COMPUTED_VALUE"""),3.0)</f>
        <v>3</v>
      </c>
      <c r="Z10" s="17">
        <f>IFERROR(__xludf.DUMMYFUNCTION("""COMPUTED_VALUE"""),2.0)</f>
        <v>2</v>
      </c>
      <c r="AB10" s="48" t="str">
        <f>IFERROR(__xludf.DUMMYFUNCTION("""COMPUTED_VALUE"""),"PT AMANATUL UMMAH GAS")</f>
        <v>PT AMANATUL UMMAH GAS</v>
      </c>
      <c r="AC10" s="48" t="str">
        <f>IFERROR(__xludf.DUMMYFUNCTION("""COMPUTED_VALUE"""),"S 8548 UN")</f>
        <v>S 8548 UN</v>
      </c>
      <c r="AD10" s="48" t="str">
        <f>IFERROR(__xludf.DUMMYFUNCTION("""COMPUTED_VALUE"""),"TLPG TJ PERAK")</f>
        <v>TLPG TJ PERAK</v>
      </c>
      <c r="AE10" s="17">
        <f>IFERROR(__xludf.DUMMYFUNCTION("""COMPUTED_VALUE"""),11.0)</f>
        <v>11</v>
      </c>
    </row>
    <row r="11">
      <c r="A11" s="12">
        <v>9.0</v>
      </c>
      <c r="B11" s="9" t="s">
        <v>17</v>
      </c>
      <c r="C11" s="9" t="s">
        <v>7</v>
      </c>
      <c r="D11" s="9" t="s">
        <v>180</v>
      </c>
      <c r="E11" s="49">
        <v>179.3</v>
      </c>
      <c r="F11" s="23" t="s">
        <v>454</v>
      </c>
      <c r="G11" s="9" t="str">
        <f>IFERROR(VLOOKUP(C11,'MASTER TLPG'!A:B,2,FALSE),"")</f>
        <v>-7.203807110524606, 112.71950675497641</v>
      </c>
      <c r="H11" s="9" t="str">
        <f>IFERROR(VLOOKUP(D11,'MASTER PERUSAHAAN'!A:B,2,FALSE),"")</f>
        <v>-7.55639698110663, 111.42665588033401</v>
      </c>
      <c r="J11" s="9" t="str">
        <f t="shared" si="1"/>
        <v>JAUH</v>
      </c>
      <c r="K11" s="11">
        <f t="shared" si="2"/>
        <v>3</v>
      </c>
      <c r="M11" s="17">
        <v>1.0</v>
      </c>
      <c r="N11" s="17">
        <f>IFERROR(__xludf.DUMMYFUNCTION("""COMPUTED_VALUE"""),9.0)</f>
        <v>9</v>
      </c>
      <c r="O11" s="17">
        <f>IFERROR(__xludf.DUMMYFUNCTION("""COMPUTED_VALUE"""),27.0)</f>
        <v>27</v>
      </c>
      <c r="P11" s="17">
        <f>IFERROR(__xludf.DUMMYFUNCTION("""COMPUTED_VALUE"""),2331.7000000000003)</f>
        <v>2331.7</v>
      </c>
      <c r="Q11" s="17">
        <f>IFERROR(__xludf.DUMMYFUNCTION("""COMPUTED_VALUE"""),101.37826086956522)</f>
        <v>101.3782609</v>
      </c>
      <c r="R11" s="17">
        <f>IFERROR(__xludf.DUMMYFUNCTION("""COMPUTED_VALUE"""),43.0)</f>
        <v>43</v>
      </c>
      <c r="S11" s="17"/>
      <c r="T11" s="17" t="str">
        <f>IFERROR(__xludf.DUMMYFUNCTION("""COMPUTED_VALUE"""),"AE 8857 UT")</f>
        <v>AE 8857 UT</v>
      </c>
      <c r="U11" s="17" t="str">
        <f>IFERROR(__xludf.DUMMYFUNCTION("""COMPUTED_VALUE"""),"TLPG TJ PERAK")</f>
        <v>TLPG TJ PERAK</v>
      </c>
      <c r="V11" s="17" t="str">
        <f>IFERROR(__xludf.DUMMYFUNCTION("""COMPUTED_VALUE"""),"PT BUANA KARYA SURYA PRATAMA")</f>
        <v>PT BUANA KARYA SURYA PRATAMA</v>
      </c>
      <c r="W11" s="17">
        <f>IFERROR(__xludf.DUMMYFUNCTION("""COMPUTED_VALUE"""),201.0)</f>
        <v>201</v>
      </c>
      <c r="X11" s="17" t="str">
        <f>IFERROR(__xludf.DUMMYFUNCTION("""COMPUTED_VALUE"""),"JAUH")</f>
        <v>JAUH</v>
      </c>
      <c r="Y11" s="17">
        <f>IFERROR(__xludf.DUMMYFUNCTION("""COMPUTED_VALUE"""),3.0)</f>
        <v>3</v>
      </c>
      <c r="Z11" s="17">
        <f>IFERROR(__xludf.DUMMYFUNCTION("""COMPUTED_VALUE"""),2.0)</f>
        <v>2</v>
      </c>
      <c r="AB11" s="48" t="str">
        <f>IFERROR(__xludf.DUMMYFUNCTION("""COMPUTED_VALUE"""),"PT ANDHIKA DIAN UTAMA")</f>
        <v>PT ANDHIKA DIAN UTAMA</v>
      </c>
      <c r="AC11" s="48" t="str">
        <f>IFERROR(__xludf.DUMMYFUNCTION("""COMPUTED_VALUE"""),"L 8454 N")</f>
        <v>L 8454 N</v>
      </c>
      <c r="AD11" s="48" t="str">
        <f>IFERROR(__xludf.DUMMYFUNCTION("""COMPUTED_VALUE"""),"TLPG TJ PERAK")</f>
        <v>TLPG TJ PERAK</v>
      </c>
      <c r="AE11" s="17">
        <f>IFERROR(__xludf.DUMMYFUNCTION("""COMPUTED_VALUE"""),5.0)</f>
        <v>5</v>
      </c>
    </row>
    <row r="12">
      <c r="A12" s="12">
        <v>10.0</v>
      </c>
      <c r="B12" s="9" t="s">
        <v>18</v>
      </c>
      <c r="C12" s="9" t="s">
        <v>7</v>
      </c>
      <c r="D12" s="9" t="s">
        <v>180</v>
      </c>
      <c r="E12" s="49">
        <v>179.3</v>
      </c>
      <c r="F12" s="23" t="s">
        <v>454</v>
      </c>
      <c r="G12" s="9" t="str">
        <f>IFERROR(VLOOKUP(C12,'MASTER TLPG'!A:B,2,FALSE),"")</f>
        <v>-7.203807110524606, 112.71950675497641</v>
      </c>
      <c r="H12" s="9" t="str">
        <f>IFERROR(VLOOKUP(D12,'MASTER PERUSAHAAN'!A:B,2,FALSE),"")</f>
        <v>-7.55639698110663, 111.42665588033401</v>
      </c>
      <c r="J12" s="9" t="str">
        <f t="shared" si="1"/>
        <v>JAUH</v>
      </c>
      <c r="K12" s="11">
        <f t="shared" si="2"/>
        <v>3</v>
      </c>
      <c r="M12" s="17">
        <v>1.0</v>
      </c>
      <c r="N12" s="17">
        <f>IFERROR(__xludf.DUMMYFUNCTION("""COMPUTED_VALUE"""),10.0)</f>
        <v>10</v>
      </c>
      <c r="O12" s="17">
        <f>IFERROR(__xludf.DUMMYFUNCTION("""COMPUTED_VALUE"""),28.0)</f>
        <v>28</v>
      </c>
      <c r="P12" s="17">
        <f>IFERROR(__xludf.DUMMYFUNCTION("""COMPUTED_VALUE"""),2117.1)</f>
        <v>2117.1</v>
      </c>
      <c r="Q12" s="17">
        <f>IFERROR(__xludf.DUMMYFUNCTION("""COMPUTED_VALUE"""),96.23181818181818)</f>
        <v>96.23181818</v>
      </c>
      <c r="R12" s="17">
        <f>IFERROR(__xludf.DUMMYFUNCTION("""COMPUTED_VALUE"""),42.0)</f>
        <v>42</v>
      </c>
      <c r="S12" s="17"/>
      <c r="T12" s="17" t="str">
        <f>IFERROR(__xludf.DUMMYFUNCTION("""COMPUTED_VALUE"""),"AE 8086 UT")</f>
        <v>AE 8086 UT</v>
      </c>
      <c r="U12" s="17" t="str">
        <f>IFERROR(__xludf.DUMMYFUNCTION("""COMPUTED_VALUE"""),"TLPG TJ PERAK")</f>
        <v>TLPG TJ PERAK</v>
      </c>
      <c r="V12" s="17" t="str">
        <f>IFERROR(__xludf.DUMMYFUNCTION("""COMPUTED_VALUE"""),"PT BUANA KARYA SURYA PRATAMA")</f>
        <v>PT BUANA KARYA SURYA PRATAMA</v>
      </c>
      <c r="W12" s="17">
        <f>IFERROR(__xludf.DUMMYFUNCTION("""COMPUTED_VALUE"""),201.0)</f>
        <v>201</v>
      </c>
      <c r="X12" s="17" t="str">
        <f>IFERROR(__xludf.DUMMYFUNCTION("""COMPUTED_VALUE"""),"JAUH")</f>
        <v>JAUH</v>
      </c>
      <c r="Y12" s="17">
        <f>IFERROR(__xludf.DUMMYFUNCTION("""COMPUTED_VALUE"""),3.0)</f>
        <v>3</v>
      </c>
      <c r="Z12" s="17">
        <f>IFERROR(__xludf.DUMMYFUNCTION("""COMPUTED_VALUE"""),7.0)</f>
        <v>7</v>
      </c>
      <c r="AB12" s="48" t="str">
        <f>IFERROR(__xludf.DUMMYFUNCTION("""COMPUTED_VALUE"""),"PT ANDHIKA PUTRA TRIGAS LENTERA")</f>
        <v>PT ANDHIKA PUTRA TRIGAS LENTERA</v>
      </c>
      <c r="AC12" s="48" t="str">
        <f>IFERROR(__xludf.DUMMYFUNCTION("""COMPUTED_VALUE"""),"L 8684 AG")</f>
        <v>L 8684 AG</v>
      </c>
      <c r="AD12" s="48" t="str">
        <f>IFERROR(__xludf.DUMMYFUNCTION("""COMPUTED_VALUE"""),"TLPG TJ PERAK")</f>
        <v>TLPG TJ PERAK</v>
      </c>
      <c r="AE12" s="17">
        <f>IFERROR(__xludf.DUMMYFUNCTION("""COMPUTED_VALUE"""),5.0)</f>
        <v>5</v>
      </c>
    </row>
    <row r="13">
      <c r="A13" s="12">
        <v>11.0</v>
      </c>
      <c r="B13" s="9" t="s">
        <v>19</v>
      </c>
      <c r="C13" s="9" t="s">
        <v>7</v>
      </c>
      <c r="D13" s="9" t="s">
        <v>180</v>
      </c>
      <c r="E13" s="49">
        <v>179.3</v>
      </c>
      <c r="F13" s="23" t="s">
        <v>454</v>
      </c>
      <c r="G13" s="9" t="str">
        <f>IFERROR(VLOOKUP(C13,'MASTER TLPG'!A:B,2,FALSE),"")</f>
        <v>-7.203807110524606, 112.71950675497641</v>
      </c>
      <c r="H13" s="9" t="str">
        <f>IFERROR(VLOOKUP(D13,'MASTER PERUSAHAAN'!A:B,2,FALSE),"")</f>
        <v>-7.55639698110663, 111.42665588033401</v>
      </c>
      <c r="J13" s="9" t="str">
        <f t="shared" si="1"/>
        <v>JAUH</v>
      </c>
      <c r="K13" s="11">
        <f t="shared" si="2"/>
        <v>3</v>
      </c>
      <c r="M13" s="17">
        <v>1.0</v>
      </c>
      <c r="N13" s="17">
        <f>IFERROR(__xludf.DUMMYFUNCTION("""COMPUTED_VALUE"""),11.0)</f>
        <v>11</v>
      </c>
      <c r="O13" s="17">
        <f>IFERROR(__xludf.DUMMYFUNCTION("""COMPUTED_VALUE"""),27.0)</f>
        <v>27</v>
      </c>
      <c r="P13" s="17">
        <f>IFERROR(__xludf.DUMMYFUNCTION("""COMPUTED_VALUE"""),1778.5)</f>
        <v>1778.5</v>
      </c>
      <c r="Q13" s="17">
        <f>IFERROR(__xludf.DUMMYFUNCTION("""COMPUTED_VALUE"""),88.925)</f>
        <v>88.925</v>
      </c>
      <c r="R13" s="17">
        <f>IFERROR(__xludf.DUMMYFUNCTION("""COMPUTED_VALUE"""),36.0)</f>
        <v>36</v>
      </c>
      <c r="S13" s="17"/>
      <c r="T13" s="17" t="str">
        <f>IFERROR(__xludf.DUMMYFUNCTION("""COMPUTED_VALUE"""),"AE 8099 UT")</f>
        <v>AE 8099 UT</v>
      </c>
      <c r="U13" s="17" t="str">
        <f>IFERROR(__xludf.DUMMYFUNCTION("""COMPUTED_VALUE"""),"TLPG TJ PERAK")</f>
        <v>TLPG TJ PERAK</v>
      </c>
      <c r="V13" s="17" t="str">
        <f>IFERROR(__xludf.DUMMYFUNCTION("""COMPUTED_VALUE"""),"PT GAS ALAM BUMI REOG")</f>
        <v>PT GAS ALAM BUMI REOG</v>
      </c>
      <c r="W13" s="17">
        <f>IFERROR(__xludf.DUMMYFUNCTION("""COMPUTED_VALUE"""),195.7)</f>
        <v>195.7</v>
      </c>
      <c r="X13" s="17" t="str">
        <f>IFERROR(__xludf.DUMMYFUNCTION("""COMPUTED_VALUE"""),"JAUH")</f>
        <v>JAUH</v>
      </c>
      <c r="Y13" s="17">
        <f>IFERROR(__xludf.DUMMYFUNCTION("""COMPUTED_VALUE"""),3.0)</f>
        <v>3</v>
      </c>
      <c r="Z13" s="17">
        <f>IFERROR(__xludf.DUMMYFUNCTION("""COMPUTED_VALUE"""),1.0)</f>
        <v>1</v>
      </c>
      <c r="AB13" s="48" t="str">
        <f>IFERROR(__xludf.DUMMYFUNCTION("""COMPUTED_VALUE"""),"PT ANDHIKA PUTRA TRIGAS LENTERA")</f>
        <v>PT ANDHIKA PUTRA TRIGAS LENTERA</v>
      </c>
      <c r="AC13" s="48" t="str">
        <f>IFERROR(__xludf.DUMMYFUNCTION("""COMPUTED_VALUE"""),"L 9644 BB")</f>
        <v>L 9644 BB</v>
      </c>
      <c r="AD13" s="48" t="str">
        <f>IFERROR(__xludf.DUMMYFUNCTION("""COMPUTED_VALUE"""),"TLPG TJ PERAK")</f>
        <v>TLPG TJ PERAK</v>
      </c>
      <c r="AE13" s="17">
        <f>IFERROR(__xludf.DUMMYFUNCTION("""COMPUTED_VALUE"""),6.0)</f>
        <v>6</v>
      </c>
    </row>
    <row r="14">
      <c r="A14" s="12">
        <v>12.0</v>
      </c>
      <c r="B14" s="9" t="s">
        <v>22</v>
      </c>
      <c r="C14" s="9" t="s">
        <v>7</v>
      </c>
      <c r="D14" s="9" t="s">
        <v>149</v>
      </c>
      <c r="E14" s="49">
        <v>178.3</v>
      </c>
      <c r="F14" s="23" t="s">
        <v>454</v>
      </c>
      <c r="G14" s="9" t="str">
        <f>IFERROR(VLOOKUP(C14,'MASTER TLPG'!A:B,2,FALSE),"")</f>
        <v>-7.203807110524606, 112.71950675497641</v>
      </c>
      <c r="H14" s="9" t="str">
        <f>IFERROR(VLOOKUP(D14,'MASTER PERUSAHAAN'!A:B,2,FALSE),"")</f>
        <v>-7.410023627653789, 111.47550424820821</v>
      </c>
      <c r="J14" s="9" t="str">
        <f t="shared" si="1"/>
        <v>JAUH</v>
      </c>
      <c r="K14" s="11">
        <f t="shared" si="2"/>
        <v>3</v>
      </c>
      <c r="M14" s="17">
        <v>1.0</v>
      </c>
      <c r="N14" s="17">
        <f>IFERROR(__xludf.DUMMYFUNCTION("""COMPUTED_VALUE"""),12.0)</f>
        <v>12</v>
      </c>
      <c r="O14" s="17">
        <f>IFERROR(__xludf.DUMMYFUNCTION("""COMPUTED_VALUE"""),29.0)</f>
        <v>29</v>
      </c>
      <c r="P14" s="17">
        <f>IFERROR(__xludf.DUMMYFUNCTION("""COMPUTED_VALUE"""),1811.3000000000006)</f>
        <v>1811.3</v>
      </c>
      <c r="Q14" s="17">
        <f>IFERROR(__xludf.DUMMYFUNCTION("""COMPUTED_VALUE"""),75.47083333333336)</f>
        <v>75.47083333</v>
      </c>
      <c r="R14" s="17">
        <f>IFERROR(__xludf.DUMMYFUNCTION("""COMPUTED_VALUE"""),41.0)</f>
        <v>41</v>
      </c>
      <c r="S14" s="17"/>
      <c r="T14" s="17" t="str">
        <f>IFERROR(__xludf.DUMMYFUNCTION("""COMPUTED_VALUE"""),"N 9910 UN")</f>
        <v>N 9910 UN</v>
      </c>
      <c r="U14" s="17" t="str">
        <f>IFERROR(__xludf.DUMMYFUNCTION("""COMPUTED_VALUE"""),"TLPG TJ WANGI")</f>
        <v>TLPG TJ WANGI</v>
      </c>
      <c r="V14" s="17" t="str">
        <f>IFERROR(__xludf.DUMMYFUNCTION("""COMPUTED_VALUE"""),"PT MAHKOTA MIGAS PERKASA")</f>
        <v>PT MAHKOTA MIGAS PERKASA</v>
      </c>
      <c r="W14" s="17">
        <f>IFERROR(__xludf.DUMMYFUNCTION("""COMPUTED_VALUE"""),189.8)</f>
        <v>189.8</v>
      </c>
      <c r="X14" s="17" t="str">
        <f>IFERROR(__xludf.DUMMYFUNCTION("""COMPUTED_VALUE"""),"JAUH")</f>
        <v>JAUH</v>
      </c>
      <c r="Y14" s="17">
        <f>IFERROR(__xludf.DUMMYFUNCTION("""COMPUTED_VALUE"""),3.0)</f>
        <v>3</v>
      </c>
      <c r="Z14" s="17">
        <f>IFERROR(__xludf.DUMMYFUNCTION("""COMPUTED_VALUE"""),5.0)</f>
        <v>5</v>
      </c>
      <c r="AB14" s="48" t="str">
        <f>IFERROR(__xludf.DUMMYFUNCTION("""COMPUTED_VALUE"""),"PT ANTARES JAYA SAKTI")</f>
        <v>PT ANTARES JAYA SAKTI</v>
      </c>
      <c r="AC14" s="48" t="str">
        <f>IFERROR(__xludf.DUMMYFUNCTION("""COMPUTED_VALUE"""),"S 8347 UQ")</f>
        <v>S 8347 UQ</v>
      </c>
      <c r="AD14" s="48" t="str">
        <f>IFERROR(__xludf.DUMMYFUNCTION("""COMPUTED_VALUE"""),"TLPG TJ PERAK")</f>
        <v>TLPG TJ PERAK</v>
      </c>
      <c r="AE14" s="17">
        <f>IFERROR(__xludf.DUMMYFUNCTION("""COMPUTED_VALUE"""),11.0)</f>
        <v>11</v>
      </c>
    </row>
    <row r="15">
      <c r="A15" s="12">
        <v>13.0</v>
      </c>
      <c r="B15" s="9" t="s">
        <v>23</v>
      </c>
      <c r="C15" s="9" t="s">
        <v>7</v>
      </c>
      <c r="D15" s="9" t="s">
        <v>152</v>
      </c>
      <c r="E15" s="49">
        <v>188.4</v>
      </c>
      <c r="F15" s="23" t="s">
        <v>454</v>
      </c>
      <c r="G15" s="9" t="str">
        <f>IFERROR(VLOOKUP(C15,'MASTER TLPG'!A:B,2,FALSE),"")</f>
        <v>-7.203807110524606, 112.71950675497641</v>
      </c>
      <c r="H15" s="9" t="str">
        <f>IFERROR(VLOOKUP(D15,'MASTER PERUSAHAAN'!A:B,2,FALSE),"")</f>
        <v>-7.672244588757425, 111.399318463261</v>
      </c>
      <c r="J15" s="9" t="str">
        <f t="shared" si="1"/>
        <v>JAUH</v>
      </c>
      <c r="K15" s="11">
        <f t="shared" si="2"/>
        <v>3</v>
      </c>
      <c r="M15" s="17">
        <v>1.0</v>
      </c>
      <c r="N15" s="17"/>
      <c r="O15" s="17"/>
      <c r="P15" s="17"/>
      <c r="Q15" s="17"/>
      <c r="R15" s="17"/>
      <c r="S15" s="17"/>
      <c r="T15" s="17" t="str">
        <f>IFERROR(__xludf.DUMMYFUNCTION("""COMPUTED_VALUE"""),"AE 9401 UJ")</f>
        <v>AE 9401 UJ</v>
      </c>
      <c r="U15" s="17" t="str">
        <f>IFERROR(__xludf.DUMMYFUNCTION("""COMPUTED_VALUE"""),"TLPG TJ PERAK")</f>
        <v>TLPG TJ PERAK</v>
      </c>
      <c r="V15" s="17" t="str">
        <f>IFERROR(__xludf.DUMMYFUNCTION("""COMPUTED_VALUE"""),"PT SUMINAR MITRAGAS SELARAS")</f>
        <v>PT SUMINAR MITRAGAS SELARAS</v>
      </c>
      <c r="W15" s="17">
        <f>IFERROR(__xludf.DUMMYFUNCTION("""COMPUTED_VALUE"""),189.0)</f>
        <v>189</v>
      </c>
      <c r="X15" s="17" t="str">
        <f>IFERROR(__xludf.DUMMYFUNCTION("""COMPUTED_VALUE"""),"JAUH")</f>
        <v>JAUH</v>
      </c>
      <c r="Y15" s="17">
        <f>IFERROR(__xludf.DUMMYFUNCTION("""COMPUTED_VALUE"""),3.0)</f>
        <v>3</v>
      </c>
      <c r="Z15" s="17">
        <f>IFERROR(__xludf.DUMMYFUNCTION("""COMPUTED_VALUE"""),2.0)</f>
        <v>2</v>
      </c>
      <c r="AB15" s="48" t="str">
        <f>IFERROR(__xludf.DUMMYFUNCTION("""COMPUTED_VALUE"""),"PT ANUGERAH JATI UTAMA")</f>
        <v>PT ANUGERAH JATI UTAMA</v>
      </c>
      <c r="AC15" s="48" t="str">
        <f>IFERROR(__xludf.DUMMYFUNCTION("""COMPUTED_VALUE"""),"N 8006 UT")</f>
        <v>N 8006 UT</v>
      </c>
      <c r="AD15" s="48" t="str">
        <f>IFERROR(__xludf.DUMMYFUNCTION("""COMPUTED_VALUE"""),"TLPG TJ PERAK")</f>
        <v>TLPG TJ PERAK</v>
      </c>
      <c r="AE15" s="17">
        <f>IFERROR(__xludf.DUMMYFUNCTION("""COMPUTED_VALUE"""),8.0)</f>
        <v>8</v>
      </c>
    </row>
    <row r="16">
      <c r="A16" s="12">
        <v>14.0</v>
      </c>
      <c r="B16" s="9" t="s">
        <v>24</v>
      </c>
      <c r="C16" s="9" t="s">
        <v>25</v>
      </c>
      <c r="D16" s="9" t="s">
        <v>317</v>
      </c>
      <c r="E16" s="49">
        <v>108.9</v>
      </c>
      <c r="F16" s="23" t="s">
        <v>454</v>
      </c>
      <c r="G16" s="9" t="str">
        <f>IFERROR(VLOOKUP(C16,'MASTER TLPG'!A:B,2,FALSE),"")</f>
        <v>-7.109201954744449, 112.62272164861744</v>
      </c>
      <c r="H16" s="9" t="str">
        <f>IFERROR(VLOOKUP(D16,'MASTER PERUSAHAAN'!A:B,2,FALSE),"")</f>
        <v>-7.731653065260299, 112.14678515432527</v>
      </c>
      <c r="J16" s="9" t="str">
        <f t="shared" si="1"/>
        <v>SEDANG</v>
      </c>
      <c r="K16" s="11">
        <f t="shared" si="2"/>
        <v>2</v>
      </c>
      <c r="M16" s="17">
        <v>1.0</v>
      </c>
      <c r="N16" s="17"/>
      <c r="O16" s="17"/>
      <c r="P16" s="17"/>
      <c r="Q16" s="17"/>
      <c r="R16" s="17"/>
      <c r="S16" s="17"/>
      <c r="T16" s="17" t="str">
        <f>IFERROR(__xludf.DUMMYFUNCTION("""COMPUTED_VALUE"""),"AG 9151 UL")</f>
        <v>AG 9151 UL</v>
      </c>
      <c r="U16" s="17" t="str">
        <f>IFERROR(__xludf.DUMMYFUNCTION("""COMPUTED_VALUE"""),"TLPG TJ PERAK")</f>
        <v>TLPG TJ PERAK</v>
      </c>
      <c r="V16" s="17" t="str">
        <f>IFERROR(__xludf.DUMMYFUNCTION("""COMPUTED_VALUE"""),"PT SUMINAR MITRAGAS SELARAS")</f>
        <v>PT SUMINAR MITRAGAS SELARAS</v>
      </c>
      <c r="W16" s="17">
        <f>IFERROR(__xludf.DUMMYFUNCTION("""COMPUTED_VALUE"""),189.0)</f>
        <v>189</v>
      </c>
      <c r="X16" s="17" t="str">
        <f>IFERROR(__xludf.DUMMYFUNCTION("""COMPUTED_VALUE"""),"JAUH")</f>
        <v>JAUH</v>
      </c>
      <c r="Y16" s="17">
        <f>IFERROR(__xludf.DUMMYFUNCTION("""COMPUTED_VALUE"""),3.0)</f>
        <v>3</v>
      </c>
      <c r="Z16" s="17">
        <f>IFERROR(__xludf.DUMMYFUNCTION("""COMPUTED_VALUE"""),5.0)</f>
        <v>5</v>
      </c>
      <c r="AB16" s="48" t="str">
        <f>IFERROR(__xludf.DUMMYFUNCTION("""COMPUTED_VALUE"""),"PT ANUGERAH JATI UTAMA")</f>
        <v>PT ANUGERAH JATI UTAMA</v>
      </c>
      <c r="AC16" s="48" t="str">
        <f>IFERROR(__xludf.DUMMYFUNCTION("""COMPUTED_VALUE"""),"N 8714 US")</f>
        <v>N 8714 US</v>
      </c>
      <c r="AD16" s="48" t="str">
        <f>IFERROR(__xludf.DUMMYFUNCTION("""COMPUTED_VALUE"""),"TLPG TJ PERAK")</f>
        <v>TLPG TJ PERAK</v>
      </c>
      <c r="AE16" s="17">
        <f>IFERROR(__xludf.DUMMYFUNCTION("""COMPUTED_VALUE"""),9.0)</f>
        <v>9</v>
      </c>
    </row>
    <row r="17">
      <c r="A17" s="12">
        <v>15.0</v>
      </c>
      <c r="B17" s="9" t="s">
        <v>26</v>
      </c>
      <c r="C17" s="9" t="s">
        <v>25</v>
      </c>
      <c r="D17" s="9" t="s">
        <v>168</v>
      </c>
      <c r="E17" s="49">
        <v>176.1</v>
      </c>
      <c r="F17" s="23" t="s">
        <v>454</v>
      </c>
      <c r="G17" s="9" t="str">
        <f>IFERROR(VLOOKUP(C17,'MASTER TLPG'!A:B,2,FALSE),"")</f>
        <v>-7.109201954744449, 112.62272164861744</v>
      </c>
      <c r="H17" s="9" t="str">
        <f>IFERROR(VLOOKUP(D17,'MASTER PERUSAHAAN'!A:B,2,FALSE),"")</f>
        <v>-8.084902676848168, 111.71029249586367</v>
      </c>
      <c r="J17" s="9" t="str">
        <f t="shared" si="1"/>
        <v>JAUH</v>
      </c>
      <c r="K17" s="11">
        <f t="shared" si="2"/>
        <v>3</v>
      </c>
      <c r="M17" s="17">
        <v>1.0</v>
      </c>
      <c r="N17" s="17"/>
      <c r="O17" s="17"/>
      <c r="P17" s="17"/>
      <c r="Q17" s="17"/>
      <c r="R17" s="17"/>
      <c r="S17" s="17"/>
      <c r="T17" s="17" t="str">
        <f>IFERROR(__xludf.DUMMYFUNCTION("""COMPUTED_VALUE"""),"N 8857 UR")</f>
        <v>N 8857 UR</v>
      </c>
      <c r="U17" s="17" t="str">
        <f>IFERROR(__xludf.DUMMYFUNCTION("""COMPUTED_VALUE"""),"TLPG TJ WANGI")</f>
        <v>TLPG TJ WANGI</v>
      </c>
      <c r="V17" s="17" t="str">
        <f>IFERROR(__xludf.DUMMYFUNCTION("""COMPUTED_VALUE"""),"PT BHUMI PERMATA INDAH")</f>
        <v>PT BHUMI PERMATA INDAH</v>
      </c>
      <c r="W17" s="17">
        <f>IFERROR(__xludf.DUMMYFUNCTION("""COMPUTED_VALUE"""),188.6)</f>
        <v>188.6</v>
      </c>
      <c r="X17" s="17" t="str">
        <f>IFERROR(__xludf.DUMMYFUNCTION("""COMPUTED_VALUE"""),"JAUH")</f>
        <v>JAUH</v>
      </c>
      <c r="Y17" s="17">
        <f>IFERROR(__xludf.DUMMYFUNCTION("""COMPUTED_VALUE"""),3.0)</f>
        <v>3</v>
      </c>
      <c r="Z17" s="17">
        <f>IFERROR(__xludf.DUMMYFUNCTION("""COMPUTED_VALUE"""),2.0)</f>
        <v>2</v>
      </c>
      <c r="AB17" s="48" t="str">
        <f>IFERROR(__xludf.DUMMYFUNCTION("""COMPUTED_VALUE"""),"PT ANUGERAH SUMBER BERKAT")</f>
        <v>PT ANUGERAH SUMBER BERKAT</v>
      </c>
      <c r="AC17" s="48" t="str">
        <f>IFERROR(__xludf.DUMMYFUNCTION("""COMPUTED_VALUE"""),"N 8079 US")</f>
        <v>N 8079 US</v>
      </c>
      <c r="AD17" s="48" t="str">
        <f>IFERROR(__xludf.DUMMYFUNCTION("""COMPUTED_VALUE"""),"TLPG TJ PERAK")</f>
        <v>TLPG TJ PERAK</v>
      </c>
      <c r="AE17" s="17">
        <f>IFERROR(__xludf.DUMMYFUNCTION("""COMPUTED_VALUE"""),9.0)</f>
        <v>9</v>
      </c>
    </row>
    <row r="18">
      <c r="A18" s="12">
        <v>16.0</v>
      </c>
      <c r="B18" s="9" t="s">
        <v>27</v>
      </c>
      <c r="C18" s="9" t="s">
        <v>28</v>
      </c>
      <c r="D18" s="9" t="s">
        <v>48</v>
      </c>
      <c r="E18" s="9"/>
      <c r="G18" s="9" t="str">
        <f>IFERROR(VLOOKUP(C18,'MASTER TLPG'!A:B,2,FALSE),"")</f>
        <v>-8.16862812274526, 114.38753900822569</v>
      </c>
      <c r="H18" s="9" t="str">
        <f>IFERROR(VLOOKUP(D18,'MASTER PERUSAHAAN'!A:B,2,FALSE),"")</f>
        <v/>
      </c>
      <c r="J18" s="9" t="str">
        <f t="shared" si="1"/>
        <v/>
      </c>
      <c r="K18" s="11" t="str">
        <f t="shared" si="2"/>
        <v/>
      </c>
      <c r="M18" s="17">
        <v>1.0</v>
      </c>
      <c r="N18" s="17"/>
      <c r="O18" s="17"/>
      <c r="P18" s="17"/>
      <c r="Q18" s="17"/>
      <c r="R18" s="17"/>
      <c r="S18" s="17"/>
      <c r="T18" s="17" t="str">
        <f>IFERROR(__xludf.DUMMYFUNCTION("""COMPUTED_VALUE"""),"AE 8835 UQ")</f>
        <v>AE 8835 UQ</v>
      </c>
      <c r="U18" s="17" t="str">
        <f>IFERROR(__xludf.DUMMYFUNCTION("""COMPUTED_VALUE"""),"TLPG TJ PERAK")</f>
        <v>TLPG TJ PERAK</v>
      </c>
      <c r="V18" s="17" t="str">
        <f>IFERROR(__xludf.DUMMYFUNCTION("""COMPUTED_VALUE"""),"PT SEKAWAN GAS NUSA")</f>
        <v>PT SEKAWAN GAS NUSA</v>
      </c>
      <c r="W18" s="17">
        <f>IFERROR(__xludf.DUMMYFUNCTION("""COMPUTED_VALUE"""),188.4)</f>
        <v>188.4</v>
      </c>
      <c r="X18" s="17" t="str">
        <f>IFERROR(__xludf.DUMMYFUNCTION("""COMPUTED_VALUE"""),"JAUH")</f>
        <v>JAUH</v>
      </c>
      <c r="Y18" s="17">
        <f>IFERROR(__xludf.DUMMYFUNCTION("""COMPUTED_VALUE"""),3.0)</f>
        <v>3</v>
      </c>
      <c r="Z18" s="17">
        <f>IFERROR(__xludf.DUMMYFUNCTION("""COMPUTED_VALUE"""),1.0)</f>
        <v>1</v>
      </c>
      <c r="AB18" s="48" t="str">
        <f>IFERROR(__xludf.DUMMYFUNCTION("""COMPUTED_VALUE"""),"PT ANUGERAH SUMBER BERKAT")</f>
        <v>PT ANUGERAH SUMBER BERKAT</v>
      </c>
      <c r="AC18" s="48" t="str">
        <f>IFERROR(__xludf.DUMMYFUNCTION("""COMPUTED_VALUE"""),"N 8799 UG")</f>
        <v>N 8799 UG</v>
      </c>
      <c r="AD18" s="48" t="str">
        <f>IFERROR(__xludf.DUMMYFUNCTION("""COMPUTED_VALUE"""),"TLPG TJ PERAK")</f>
        <v>TLPG TJ PERAK</v>
      </c>
      <c r="AE18" s="17">
        <f>IFERROR(__xludf.DUMMYFUNCTION("""COMPUTED_VALUE"""),9.0)</f>
        <v>9</v>
      </c>
    </row>
    <row r="19">
      <c r="A19" s="12">
        <v>17.0</v>
      </c>
      <c r="B19" s="9" t="s">
        <v>29</v>
      </c>
      <c r="C19" s="9" t="s">
        <v>25</v>
      </c>
      <c r="D19" s="9" t="s">
        <v>83</v>
      </c>
      <c r="E19" s="9"/>
      <c r="G19" s="9" t="str">
        <f>IFERROR(VLOOKUP(C19,'MASTER TLPG'!A:B,2,FALSE),"")</f>
        <v>-7.109201954744449, 112.62272164861744</v>
      </c>
      <c r="H19" s="9" t="str">
        <f>IFERROR(VLOOKUP(D19,'MASTER PERUSAHAAN'!A:B,2,FALSE),"")</f>
        <v/>
      </c>
      <c r="J19" s="9" t="str">
        <f t="shared" si="1"/>
        <v/>
      </c>
      <c r="K19" s="11" t="str">
        <f t="shared" si="2"/>
        <v/>
      </c>
      <c r="M19" s="17">
        <v>1.0</v>
      </c>
      <c r="N19" s="17"/>
      <c r="O19" s="17"/>
      <c r="P19" s="17"/>
      <c r="Q19" s="17"/>
      <c r="R19" s="17"/>
      <c r="S19" s="17"/>
      <c r="T19" s="17" t="str">
        <f>IFERROR(__xludf.DUMMYFUNCTION("""COMPUTED_VALUE"""),"AE 8828 UQ")</f>
        <v>AE 8828 UQ</v>
      </c>
      <c r="U19" s="17" t="str">
        <f>IFERROR(__xludf.DUMMYFUNCTION("""COMPUTED_VALUE"""),"TLPG TJ PERAK")</f>
        <v>TLPG TJ PERAK</v>
      </c>
      <c r="V19" s="17" t="str">
        <f>IFERROR(__xludf.DUMMYFUNCTION("""COMPUTED_VALUE"""),"PT SEKAWAN GAS NUSA")</f>
        <v>PT SEKAWAN GAS NUSA</v>
      </c>
      <c r="W19" s="17">
        <f>IFERROR(__xludf.DUMMYFUNCTION("""COMPUTED_VALUE"""),188.4)</f>
        <v>188.4</v>
      </c>
      <c r="X19" s="17" t="str">
        <f>IFERROR(__xludf.DUMMYFUNCTION("""COMPUTED_VALUE"""),"JAUH")</f>
        <v>JAUH</v>
      </c>
      <c r="Y19" s="17">
        <f>IFERROR(__xludf.DUMMYFUNCTION("""COMPUTED_VALUE"""),3.0)</f>
        <v>3</v>
      </c>
      <c r="Z19" s="17">
        <f>IFERROR(__xludf.DUMMYFUNCTION("""COMPUTED_VALUE"""),2.0)</f>
        <v>2</v>
      </c>
      <c r="AB19" s="48" t="str">
        <f>IFERROR(__xludf.DUMMYFUNCTION("""COMPUTED_VALUE"""),"PT ANUGRAH SURYA MANDALA")</f>
        <v>PT ANUGRAH SURYA MANDALA</v>
      </c>
      <c r="AC19" s="48" t="str">
        <f>IFERROR(__xludf.DUMMYFUNCTION("""COMPUTED_VALUE"""),"N 9424 UU")</f>
        <v>N 9424 UU</v>
      </c>
      <c r="AD19" s="48" t="str">
        <f>IFERROR(__xludf.DUMMYFUNCTION("""COMPUTED_VALUE"""),"TLPG TJ PERAK")</f>
        <v>TLPG TJ PERAK</v>
      </c>
      <c r="AE19" s="17">
        <f>IFERROR(__xludf.DUMMYFUNCTION("""COMPUTED_VALUE"""),9.0)</f>
        <v>9</v>
      </c>
    </row>
    <row r="20">
      <c r="A20" s="12">
        <v>18.0</v>
      </c>
      <c r="B20" s="9" t="s">
        <v>30</v>
      </c>
      <c r="C20" s="9" t="s">
        <v>28</v>
      </c>
      <c r="D20" s="9" t="s">
        <v>48</v>
      </c>
      <c r="E20" s="9"/>
      <c r="G20" s="9" t="str">
        <f>IFERROR(VLOOKUP(C20,'MASTER TLPG'!A:B,2,FALSE),"")</f>
        <v>-8.16862812274526, 114.38753900822569</v>
      </c>
      <c r="H20" s="9" t="str">
        <f>IFERROR(VLOOKUP(D20,'MASTER PERUSAHAAN'!A:B,2,FALSE),"")</f>
        <v/>
      </c>
      <c r="J20" s="9" t="str">
        <f t="shared" si="1"/>
        <v/>
      </c>
      <c r="K20" s="11" t="str">
        <f t="shared" si="2"/>
        <v/>
      </c>
      <c r="M20" s="17">
        <v>1.0</v>
      </c>
      <c r="N20" s="17"/>
      <c r="O20" s="17"/>
      <c r="P20" s="17"/>
      <c r="Q20" s="17"/>
      <c r="R20" s="17"/>
      <c r="S20" s="17"/>
      <c r="T20" s="17" t="str">
        <f>IFERROR(__xludf.DUMMYFUNCTION("""COMPUTED_VALUE"""),"AG 8032 YQ")</f>
        <v>AG 8032 YQ</v>
      </c>
      <c r="U20" s="17" t="str">
        <f>IFERROR(__xludf.DUMMYFUNCTION("""COMPUTED_VALUE"""),"TLPG TJ PERAK")</f>
        <v>TLPG TJ PERAK</v>
      </c>
      <c r="V20" s="17" t="str">
        <f>IFERROR(__xludf.DUMMYFUNCTION("""COMPUTED_VALUE"""),"PT BINTANG CIPTA PERSADA")</f>
        <v>PT BINTANG CIPTA PERSADA</v>
      </c>
      <c r="W20" s="17">
        <f>IFERROR(__xludf.DUMMYFUNCTION("""COMPUTED_VALUE"""),181.0)</f>
        <v>181</v>
      </c>
      <c r="X20" s="17" t="str">
        <f>IFERROR(__xludf.DUMMYFUNCTION("""COMPUTED_VALUE"""),"JAUH")</f>
        <v>JAUH</v>
      </c>
      <c r="Y20" s="17">
        <f>IFERROR(__xludf.DUMMYFUNCTION("""COMPUTED_VALUE"""),3.0)</f>
        <v>3</v>
      </c>
      <c r="Z20" s="17">
        <f>IFERROR(__xludf.DUMMYFUNCTION("""COMPUTED_VALUE"""),2.0)</f>
        <v>2</v>
      </c>
      <c r="AB20" s="48" t="str">
        <f>IFERROR(__xludf.DUMMYFUNCTION("""COMPUTED_VALUE"""),"PT ANUGRAH SURYA MANDALA")</f>
        <v>PT ANUGRAH SURYA MANDALA</v>
      </c>
      <c r="AC20" s="48" t="str">
        <f>IFERROR(__xludf.DUMMYFUNCTION("""COMPUTED_VALUE"""),"W 9205 NY")</f>
        <v>W 9205 NY</v>
      </c>
      <c r="AD20" s="48" t="str">
        <f>IFERROR(__xludf.DUMMYFUNCTION("""COMPUTED_VALUE"""),"TLPG TJ PERAK")</f>
        <v>TLPG TJ PERAK</v>
      </c>
      <c r="AE20" s="17">
        <f>IFERROR(__xludf.DUMMYFUNCTION("""COMPUTED_VALUE"""),9.0)</f>
        <v>9</v>
      </c>
    </row>
    <row r="21">
      <c r="A21" s="12">
        <v>19.0</v>
      </c>
      <c r="B21" s="9" t="s">
        <v>31</v>
      </c>
      <c r="C21" s="9" t="s">
        <v>32</v>
      </c>
      <c r="D21" s="9" t="s">
        <v>299</v>
      </c>
      <c r="E21" s="49">
        <v>17.2</v>
      </c>
      <c r="F21" s="23" t="s">
        <v>454</v>
      </c>
      <c r="G21" s="9" t="str">
        <f>IFERROR(VLOOKUP(C21,'MASTER TLPG'!A:B,2,FALSE),"")</f>
        <v>-8.509457097470957, 115.50344705076587</v>
      </c>
      <c r="H21" s="9" t="str">
        <f>IFERROR(VLOOKUP(D21,'MASTER PERUSAHAAN'!A:B,2,FALSE),"")</f>
        <v>-8.56709037351299, 115.3964158129068</v>
      </c>
      <c r="J21" s="9" t="str">
        <f t="shared" si="1"/>
        <v>DEKAT</v>
      </c>
      <c r="K21" s="11">
        <f t="shared" si="2"/>
        <v>1</v>
      </c>
      <c r="M21" s="17">
        <v>1.0</v>
      </c>
      <c r="N21" s="17"/>
      <c r="O21" s="17"/>
      <c r="P21" s="17"/>
      <c r="Q21" s="17"/>
      <c r="R21" s="17"/>
      <c r="S21" s="17"/>
      <c r="T21" s="17" t="str">
        <f>IFERROR(__xludf.DUMMYFUNCTION("""COMPUTED_VALUE"""),"AG 9312 UW")</f>
        <v>AG 9312 UW</v>
      </c>
      <c r="U21" s="17" t="str">
        <f>IFERROR(__xludf.DUMMYFUNCTION("""COMPUTED_VALUE"""),"TLPG TJ PERAK")</f>
        <v>TLPG TJ PERAK</v>
      </c>
      <c r="V21" s="17" t="str">
        <f>IFERROR(__xludf.DUMMYFUNCTION("""COMPUTED_VALUE"""),"PT LAJU")</f>
        <v>PT LAJU</v>
      </c>
      <c r="W21" s="17">
        <f>IFERROR(__xludf.DUMMYFUNCTION("""COMPUTED_VALUE"""),181.0)</f>
        <v>181</v>
      </c>
      <c r="X21" s="17" t="str">
        <f>IFERROR(__xludf.DUMMYFUNCTION("""COMPUTED_VALUE"""),"JAUH")</f>
        <v>JAUH</v>
      </c>
      <c r="Y21" s="17">
        <f>IFERROR(__xludf.DUMMYFUNCTION("""COMPUTED_VALUE"""),3.0)</f>
        <v>3</v>
      </c>
      <c r="Z21" s="17">
        <f>IFERROR(__xludf.DUMMYFUNCTION("""COMPUTED_VALUE"""),2.0)</f>
        <v>2</v>
      </c>
      <c r="AB21" s="48" t="str">
        <f>IFERROR(__xludf.DUMMYFUNCTION("""COMPUTED_VALUE"""),"PT ANUGRAH SURYA MANDALA")</f>
        <v>PT ANUGRAH SURYA MANDALA</v>
      </c>
      <c r="AC21" s="48" t="str">
        <f>IFERROR(__xludf.DUMMYFUNCTION("""COMPUTED_VALUE"""),"AG 8056 OA")</f>
        <v>AG 8056 OA</v>
      </c>
      <c r="AD21" s="48" t="str">
        <f>IFERROR(__xludf.DUMMYFUNCTION("""COMPUTED_VALUE"""),"TLPG TJ PERAK")</f>
        <v>TLPG TJ PERAK</v>
      </c>
      <c r="AE21" s="17">
        <f>IFERROR(__xludf.DUMMYFUNCTION("""COMPUTED_VALUE"""),10.0)</f>
        <v>10</v>
      </c>
    </row>
    <row r="22">
      <c r="A22" s="12">
        <v>20.0</v>
      </c>
      <c r="B22" s="9" t="s">
        <v>33</v>
      </c>
      <c r="C22" s="9" t="s">
        <v>32</v>
      </c>
      <c r="D22" s="9" t="s">
        <v>321</v>
      </c>
      <c r="E22" s="49">
        <v>110.1</v>
      </c>
      <c r="F22" s="23" t="s">
        <v>454</v>
      </c>
      <c r="G22" s="9" t="str">
        <f>IFERROR(VLOOKUP(C22,'MASTER TLPG'!A:B,2,FALSE),"")</f>
        <v>-8.509457097470957, 115.50344705076587</v>
      </c>
      <c r="H22" s="9" t="str">
        <f>IFERROR(VLOOKUP(D22,'MASTER PERUSAHAAN'!A:B,2,FALSE),"")</f>
        <v>-8.176693652789284, 115.00358837055657</v>
      </c>
      <c r="J22" s="9" t="str">
        <f t="shared" si="1"/>
        <v>SEDANG</v>
      </c>
      <c r="K22" s="11">
        <f t="shared" si="2"/>
        <v>2</v>
      </c>
      <c r="M22" s="17">
        <v>1.0</v>
      </c>
      <c r="N22" s="17"/>
      <c r="O22" s="17"/>
      <c r="P22" s="17"/>
      <c r="Q22" s="17"/>
      <c r="R22" s="17"/>
      <c r="S22" s="17"/>
      <c r="T22" s="17" t="str">
        <f>IFERROR(__xludf.DUMMYFUNCTION("""COMPUTED_VALUE"""),"L 8537 UD")</f>
        <v>L 8537 UD</v>
      </c>
      <c r="U22" s="17" t="str">
        <f>IFERROR(__xludf.DUMMYFUNCTION("""COMPUTED_VALUE"""),"TLPG TJ PERAK")</f>
        <v>TLPG TJ PERAK</v>
      </c>
      <c r="V22" s="17" t="str">
        <f>IFERROR(__xludf.DUMMYFUNCTION("""COMPUTED_VALUE"""),"PT GOENADI GASINDO PRATAMA")</f>
        <v>PT GOENADI GASINDO PRATAMA</v>
      </c>
      <c r="W22" s="17">
        <f>IFERROR(__xludf.DUMMYFUNCTION("""COMPUTED_VALUE"""),181.0)</f>
        <v>181</v>
      </c>
      <c r="X22" s="17" t="str">
        <f>IFERROR(__xludf.DUMMYFUNCTION("""COMPUTED_VALUE"""),"JAUH")</f>
        <v>JAUH</v>
      </c>
      <c r="Y22" s="17">
        <f>IFERROR(__xludf.DUMMYFUNCTION("""COMPUTED_VALUE"""),3.0)</f>
        <v>3</v>
      </c>
      <c r="Z22" s="17">
        <f>IFERROR(__xludf.DUMMYFUNCTION("""COMPUTED_VALUE"""),4.0)</f>
        <v>4</v>
      </c>
      <c r="AB22" s="48" t="str">
        <f>IFERROR(__xludf.DUMMYFUNCTION("""COMPUTED_VALUE"""),"PT ARGOPURO MAJU SUKSES")</f>
        <v>PT ARGOPURO MAJU SUKSES</v>
      </c>
      <c r="AC22" s="48" t="str">
        <f>IFERROR(__xludf.DUMMYFUNCTION("""COMPUTED_VALUE"""),"P 8176 UW")</f>
        <v>P 8176 UW</v>
      </c>
      <c r="AD22" s="48" t="str">
        <f>IFERROR(__xludf.DUMMYFUNCTION("""COMPUTED_VALUE"""),"TLPG TJ WANGI")</f>
        <v>TLPG TJ WANGI</v>
      </c>
      <c r="AE22" s="17">
        <f>IFERROR(__xludf.DUMMYFUNCTION("""COMPUTED_VALUE"""),4.0)</f>
        <v>4</v>
      </c>
    </row>
    <row r="23">
      <c r="A23" s="12">
        <v>21.0</v>
      </c>
      <c r="B23" s="9" t="s">
        <v>34</v>
      </c>
      <c r="C23" s="9" t="s">
        <v>32</v>
      </c>
      <c r="D23" s="9" t="s">
        <v>339</v>
      </c>
      <c r="E23" s="49">
        <v>102.0</v>
      </c>
      <c r="F23" s="23" t="s">
        <v>454</v>
      </c>
      <c r="G23" s="9" t="str">
        <f>IFERROR(VLOOKUP(C23,'MASTER TLPG'!A:B,2,FALSE),"")</f>
        <v>-8.509457097470957, 115.50344705076587</v>
      </c>
      <c r="H23" s="9" t="str">
        <f>IFERROR(VLOOKUP(D23,'MASTER PERUSAHAAN'!A:B,2,FALSE),"")</f>
        <v>-8.09053607810492, 115.17681684154483</v>
      </c>
      <c r="J23" s="9" t="str">
        <f t="shared" si="1"/>
        <v>SEDANG</v>
      </c>
      <c r="K23" s="11">
        <f t="shared" si="2"/>
        <v>2</v>
      </c>
      <c r="M23" s="17">
        <v>1.0</v>
      </c>
      <c r="N23" s="17"/>
      <c r="O23" s="17"/>
      <c r="P23" s="17"/>
      <c r="Q23" s="17"/>
      <c r="R23" s="17"/>
      <c r="S23" s="17"/>
      <c r="T23" s="17" t="str">
        <f>IFERROR(__xludf.DUMMYFUNCTION("""COMPUTED_VALUE"""),"AE 9634 UJ")</f>
        <v>AE 9634 UJ</v>
      </c>
      <c r="U23" s="17" t="str">
        <f>IFERROR(__xludf.DUMMYFUNCTION("""COMPUTED_VALUE"""),"TLPG TJ PERAK")</f>
        <v>TLPG TJ PERAK</v>
      </c>
      <c r="V23" s="17" t="str">
        <f>IFERROR(__xludf.DUMMYFUNCTION("""COMPUTED_VALUE"""),"PT KARYA USAHA MANDIRI LESTARI")</f>
        <v>PT KARYA USAHA MANDIRI LESTARI</v>
      </c>
      <c r="W23" s="17">
        <f>IFERROR(__xludf.DUMMYFUNCTION("""COMPUTED_VALUE"""),180.4)</f>
        <v>180.4</v>
      </c>
      <c r="X23" s="17" t="str">
        <f>IFERROR(__xludf.DUMMYFUNCTION("""COMPUTED_VALUE"""),"JAUH")</f>
        <v>JAUH</v>
      </c>
      <c r="Y23" s="17">
        <f>IFERROR(__xludf.DUMMYFUNCTION("""COMPUTED_VALUE"""),3.0)</f>
        <v>3</v>
      </c>
      <c r="Z23" s="17">
        <f>IFERROR(__xludf.DUMMYFUNCTION("""COMPUTED_VALUE"""),2.0)</f>
        <v>2</v>
      </c>
      <c r="AB23" s="48" t="str">
        <f>IFERROR(__xludf.DUMMYFUNCTION("""COMPUTED_VALUE"""),"PT ARIA ENERGY PERSADA")</f>
        <v>PT ARIA ENERGY PERSADA</v>
      </c>
      <c r="AC23" s="48" t="str">
        <f>IFERROR(__xludf.DUMMYFUNCTION("""COMPUTED_VALUE"""),"P 8436 UA")</f>
        <v>P 8436 UA</v>
      </c>
      <c r="AD23" s="48" t="str">
        <f>IFERROR(__xludf.DUMMYFUNCTION("""COMPUTED_VALUE"""),"TLPG TJ WANGI")</f>
        <v>TLPG TJ WANGI</v>
      </c>
      <c r="AE23" s="17">
        <f>IFERROR(__xludf.DUMMYFUNCTION("""COMPUTED_VALUE"""),9.0)</f>
        <v>9</v>
      </c>
    </row>
    <row r="24">
      <c r="A24" s="12">
        <v>22.0</v>
      </c>
      <c r="B24" s="9" t="s">
        <v>36</v>
      </c>
      <c r="C24" s="9" t="s">
        <v>32</v>
      </c>
      <c r="D24" s="9" t="s">
        <v>184</v>
      </c>
      <c r="E24" s="9"/>
      <c r="G24" s="9" t="str">
        <f>IFERROR(VLOOKUP(C24,'MASTER TLPG'!A:B,2,FALSE),"")</f>
        <v>-8.509457097470957, 115.50344705076587</v>
      </c>
      <c r="H24" s="9" t="str">
        <f>IFERROR(VLOOKUP(D24,'MASTER PERUSAHAAN'!A:B,2,FALSE),"")</f>
        <v/>
      </c>
      <c r="J24" s="9" t="str">
        <f t="shared" si="1"/>
        <v/>
      </c>
      <c r="K24" s="11" t="str">
        <f t="shared" si="2"/>
        <v/>
      </c>
      <c r="M24" s="17">
        <v>1.0</v>
      </c>
      <c r="N24" s="17"/>
      <c r="O24" s="17"/>
      <c r="P24" s="17"/>
      <c r="Q24" s="17"/>
      <c r="R24" s="17"/>
      <c r="S24" s="17"/>
      <c r="T24" s="17" t="str">
        <f>IFERROR(__xludf.DUMMYFUNCTION("""COMPUTED_VALUE"""),"AE 8639 UP")</f>
        <v>AE 8639 UP</v>
      </c>
      <c r="U24" s="17" t="str">
        <f>IFERROR(__xludf.DUMMYFUNCTION("""COMPUTED_VALUE"""),"TLPG TJ PERAK")</f>
        <v>TLPG TJ PERAK</v>
      </c>
      <c r="V24" s="17" t="str">
        <f>IFERROR(__xludf.DUMMYFUNCTION("""COMPUTED_VALUE"""),"PT TRISINDO ADIKAMULIA")</f>
        <v>PT TRISINDO ADIKAMULIA</v>
      </c>
      <c r="W24" s="17">
        <f>IFERROR(__xludf.DUMMYFUNCTION("""COMPUTED_VALUE"""),179.3)</f>
        <v>179.3</v>
      </c>
      <c r="X24" s="17" t="str">
        <f>IFERROR(__xludf.DUMMYFUNCTION("""COMPUTED_VALUE"""),"JAUH")</f>
        <v>JAUH</v>
      </c>
      <c r="Y24" s="17">
        <f>IFERROR(__xludf.DUMMYFUNCTION("""COMPUTED_VALUE"""),3.0)</f>
        <v>3</v>
      </c>
      <c r="Z24" s="17">
        <f>IFERROR(__xludf.DUMMYFUNCTION("""COMPUTED_VALUE"""),1.0)</f>
        <v>1</v>
      </c>
      <c r="AB24" s="48" t="str">
        <f>IFERROR(__xludf.DUMMYFUNCTION("""COMPUTED_VALUE"""),"PT ARIA ENERGY PERSADA")</f>
        <v>PT ARIA ENERGY PERSADA</v>
      </c>
      <c r="AC24" s="48" t="str">
        <f>IFERROR(__xludf.DUMMYFUNCTION("""COMPUTED_VALUE"""),"P 8435 UA")</f>
        <v>P 8435 UA</v>
      </c>
      <c r="AD24" s="48" t="str">
        <f>IFERROR(__xludf.DUMMYFUNCTION("""COMPUTED_VALUE"""),"TLPG MEM GRESIK")</f>
        <v>TLPG MEM GRESIK</v>
      </c>
      <c r="AE24" s="17">
        <f>IFERROR(__xludf.DUMMYFUNCTION("""COMPUTED_VALUE"""),10.0)</f>
        <v>10</v>
      </c>
    </row>
    <row r="25">
      <c r="A25" s="12">
        <v>23.0</v>
      </c>
      <c r="B25" s="9" t="s">
        <v>37</v>
      </c>
      <c r="C25" s="9" t="s">
        <v>5</v>
      </c>
      <c r="D25" s="9" t="s">
        <v>366</v>
      </c>
      <c r="E25" s="49">
        <v>18.7</v>
      </c>
      <c r="F25" s="23" t="s">
        <v>454</v>
      </c>
      <c r="G25" s="9" t="str">
        <f>IFERROR(VLOOKUP(C25,'MASTER TLPG'!A:B,2,FALSE),"")</f>
        <v>-8.749911797697688, 116.03590255003817</v>
      </c>
      <c r="H25" s="9" t="str">
        <f>IFERROR(VLOOKUP(D25,'MASTER PERUSAHAAN'!A:B,2,FALSE),"")</f>
        <v>-8.720187644147899, 116.07450482981622</v>
      </c>
      <c r="J25" s="9" t="str">
        <f t="shared" si="1"/>
        <v>DEKAT</v>
      </c>
      <c r="K25" s="11">
        <f t="shared" si="2"/>
        <v>1</v>
      </c>
      <c r="M25" s="17">
        <v>1.0</v>
      </c>
      <c r="N25" s="17"/>
      <c r="O25" s="17"/>
      <c r="P25" s="17"/>
      <c r="Q25" s="17"/>
      <c r="R25" s="17"/>
      <c r="S25" s="17"/>
      <c r="T25" s="17" t="str">
        <f>IFERROR(__xludf.DUMMYFUNCTION("""COMPUTED_VALUE"""),"AE 8641 UP")</f>
        <v>AE 8641 UP</v>
      </c>
      <c r="U25" s="17" t="str">
        <f>IFERROR(__xludf.DUMMYFUNCTION("""COMPUTED_VALUE"""),"TLPG TJ PERAK")</f>
        <v>TLPG TJ PERAK</v>
      </c>
      <c r="V25" s="17" t="str">
        <f>IFERROR(__xludf.DUMMYFUNCTION("""COMPUTED_VALUE"""),"PT TRISINDO ADIKAMULIA")</f>
        <v>PT TRISINDO ADIKAMULIA</v>
      </c>
      <c r="W25" s="17">
        <f>IFERROR(__xludf.DUMMYFUNCTION("""COMPUTED_VALUE"""),179.3)</f>
        <v>179.3</v>
      </c>
      <c r="X25" s="17" t="str">
        <f>IFERROR(__xludf.DUMMYFUNCTION("""COMPUTED_VALUE"""),"JAUH")</f>
        <v>JAUH</v>
      </c>
      <c r="Y25" s="17">
        <f>IFERROR(__xludf.DUMMYFUNCTION("""COMPUTED_VALUE"""),3.0)</f>
        <v>3</v>
      </c>
      <c r="Z25" s="17">
        <f>IFERROR(__xludf.DUMMYFUNCTION("""COMPUTED_VALUE"""),1.0)</f>
        <v>1</v>
      </c>
      <c r="AB25" s="48" t="str">
        <f>IFERROR(__xludf.DUMMYFUNCTION("""COMPUTED_VALUE"""),"PT ASAPERKASA ABIMULYA")</f>
        <v>PT ASAPERKASA ABIMULYA</v>
      </c>
      <c r="AC25" s="48" t="str">
        <f>IFERROR(__xludf.DUMMYFUNCTION("""COMPUTED_VALUE"""),"M 8025 UN")</f>
        <v>M 8025 UN</v>
      </c>
      <c r="AD25" s="48" t="str">
        <f>IFERROR(__xludf.DUMMYFUNCTION("""COMPUTED_VALUE"""),"TLPG TJ PERAK")</f>
        <v>TLPG TJ PERAK</v>
      </c>
      <c r="AE25" s="17">
        <f>IFERROR(__xludf.DUMMYFUNCTION("""COMPUTED_VALUE"""),7.0)</f>
        <v>7</v>
      </c>
    </row>
    <row r="26">
      <c r="A26" s="12">
        <v>24.0</v>
      </c>
      <c r="B26" s="9" t="s">
        <v>38</v>
      </c>
      <c r="C26" s="9" t="s">
        <v>39</v>
      </c>
      <c r="D26" s="9" t="s">
        <v>379</v>
      </c>
      <c r="E26" s="49">
        <v>240.9</v>
      </c>
      <c r="F26" s="23" t="s">
        <v>454</v>
      </c>
      <c r="G26" s="9" t="str">
        <f>IFERROR(VLOOKUP(C26,'MASTER TLPG'!A:B,2,FALSE),"")</f>
        <v>-8.477696591405829, 118.71143008615176</v>
      </c>
      <c r="H26" s="9" t="str">
        <f>IFERROR(VLOOKUP(D26,'MASTER PERUSAHAAN'!A:B,2,FALSE),"")</f>
        <v>-8.526610219970085, 117.41948937098523</v>
      </c>
      <c r="J26" s="9" t="str">
        <f t="shared" si="1"/>
        <v>JAUH</v>
      </c>
      <c r="K26" s="11">
        <f t="shared" si="2"/>
        <v>3</v>
      </c>
      <c r="M26" s="17">
        <v>1.0</v>
      </c>
      <c r="N26" s="17"/>
      <c r="O26" s="17"/>
      <c r="P26" s="17"/>
      <c r="Q26" s="17"/>
      <c r="R26" s="17"/>
      <c r="S26" s="17"/>
      <c r="T26" s="17" t="str">
        <f>IFERROR(__xludf.DUMMYFUNCTION("""COMPUTED_VALUE"""),"AE 8642 UP")</f>
        <v>AE 8642 UP</v>
      </c>
      <c r="U26" s="17" t="str">
        <f>IFERROR(__xludf.DUMMYFUNCTION("""COMPUTED_VALUE"""),"TLPG TJ PERAK")</f>
        <v>TLPG TJ PERAK</v>
      </c>
      <c r="V26" s="17" t="str">
        <f>IFERROR(__xludf.DUMMYFUNCTION("""COMPUTED_VALUE"""),"PT TRISINDO ADIKAMULIA")</f>
        <v>PT TRISINDO ADIKAMULIA</v>
      </c>
      <c r="W26" s="17">
        <f>IFERROR(__xludf.DUMMYFUNCTION("""COMPUTED_VALUE"""),179.3)</f>
        <v>179.3</v>
      </c>
      <c r="X26" s="17" t="str">
        <f>IFERROR(__xludf.DUMMYFUNCTION("""COMPUTED_VALUE"""),"JAUH")</f>
        <v>JAUH</v>
      </c>
      <c r="Y26" s="17">
        <f>IFERROR(__xludf.DUMMYFUNCTION("""COMPUTED_VALUE"""),3.0)</f>
        <v>3</v>
      </c>
      <c r="Z26" s="17">
        <f>IFERROR(__xludf.DUMMYFUNCTION("""COMPUTED_VALUE"""),1.0)</f>
        <v>1</v>
      </c>
      <c r="AB26" s="48" t="str">
        <f>IFERROR(__xludf.DUMMYFUNCTION("""COMPUTED_VALUE"""),"PT ASAPERKASA ABIMULYA")</f>
        <v>PT ASAPERKASA ABIMULYA</v>
      </c>
      <c r="AC26" s="48" t="str">
        <f>IFERROR(__xludf.DUMMYFUNCTION("""COMPUTED_VALUE"""),"M 9489 UN")</f>
        <v>M 9489 UN</v>
      </c>
      <c r="AD26" s="48" t="str">
        <f>IFERROR(__xludf.DUMMYFUNCTION("""COMPUTED_VALUE"""),"TLPG TJ PERAK")</f>
        <v>TLPG TJ PERAK</v>
      </c>
      <c r="AE26" s="17">
        <f>IFERROR(__xludf.DUMMYFUNCTION("""COMPUTED_VALUE"""),7.0)</f>
        <v>7</v>
      </c>
    </row>
    <row r="27">
      <c r="A27" s="12">
        <v>25.0</v>
      </c>
      <c r="B27" s="9" t="s">
        <v>40</v>
      </c>
      <c r="C27" s="9" t="s">
        <v>25</v>
      </c>
      <c r="D27" s="9" t="s">
        <v>390</v>
      </c>
      <c r="E27" s="49">
        <v>169.5</v>
      </c>
      <c r="F27" s="23" t="s">
        <v>454</v>
      </c>
      <c r="G27" s="9" t="str">
        <f>IFERROR(VLOOKUP(C27,'MASTER TLPG'!A:B,2,FALSE),"")</f>
        <v>-7.109201954744449, 112.62272164861744</v>
      </c>
      <c r="H27" s="9" t="str">
        <f>IFERROR(VLOOKUP(D27,'MASTER PERUSAHAAN'!A:B,2,FALSE),"")</f>
        <v>-8.105570240769127, 113.25566251010493</v>
      </c>
      <c r="J27" s="9" t="str">
        <f t="shared" si="1"/>
        <v>JAUH</v>
      </c>
      <c r="K27" s="11">
        <f t="shared" si="2"/>
        <v>3</v>
      </c>
      <c r="M27" s="17">
        <v>1.0</v>
      </c>
      <c r="N27" s="17"/>
      <c r="O27" s="17"/>
      <c r="P27" s="17"/>
      <c r="Q27" s="17"/>
      <c r="R27" s="17"/>
      <c r="S27" s="17"/>
      <c r="T27" s="17" t="str">
        <f>IFERROR(__xludf.DUMMYFUNCTION("""COMPUTED_VALUE"""),"AE 8518 UJ")</f>
        <v>AE 8518 UJ</v>
      </c>
      <c r="U27" s="17" t="str">
        <f>IFERROR(__xludf.DUMMYFUNCTION("""COMPUTED_VALUE"""),"TLPG TJ PERAK")</f>
        <v>TLPG TJ PERAK</v>
      </c>
      <c r="V27" s="17" t="str">
        <f>IFERROR(__xludf.DUMMYFUNCTION("""COMPUTED_VALUE"""),"PT NUR WISTARA ABADI")</f>
        <v>PT NUR WISTARA ABADI</v>
      </c>
      <c r="W27" s="17">
        <f>IFERROR(__xludf.DUMMYFUNCTION("""COMPUTED_VALUE"""),178.3)</f>
        <v>178.3</v>
      </c>
      <c r="X27" s="17" t="str">
        <f>IFERROR(__xludf.DUMMYFUNCTION("""COMPUTED_VALUE"""),"JAUH")</f>
        <v>JAUH</v>
      </c>
      <c r="Y27" s="17">
        <f>IFERROR(__xludf.DUMMYFUNCTION("""COMPUTED_VALUE"""),3.0)</f>
        <v>3</v>
      </c>
      <c r="Z27" s="17">
        <f>IFERROR(__xludf.DUMMYFUNCTION("""COMPUTED_VALUE"""),1.0)</f>
        <v>1</v>
      </c>
      <c r="AB27" s="48" t="str">
        <f>IFERROR(__xludf.DUMMYFUNCTION("""COMPUTED_VALUE"""),"PT BAKTI NUSA PERDANA")</f>
        <v>PT BAKTI NUSA PERDANA</v>
      </c>
      <c r="AC27" s="48" t="str">
        <f>IFERROR(__xludf.DUMMYFUNCTION("""COMPUTED_VALUE"""),"L 8303 UDD")</f>
        <v>L 8303 UDD</v>
      </c>
      <c r="AD27" s="48" t="str">
        <f>IFERROR(__xludf.DUMMYFUNCTION("""COMPUTED_VALUE"""),"TLPG MEM GRESIK")</f>
        <v>TLPG MEM GRESIK</v>
      </c>
      <c r="AE27" s="17">
        <f>IFERROR(__xludf.DUMMYFUNCTION("""COMPUTED_VALUE"""),7.0)</f>
        <v>7</v>
      </c>
    </row>
    <row r="28">
      <c r="A28" s="12">
        <v>26.0</v>
      </c>
      <c r="B28" s="9" t="s">
        <v>41</v>
      </c>
      <c r="C28" s="9" t="s">
        <v>7</v>
      </c>
      <c r="D28" s="9" t="s">
        <v>401</v>
      </c>
      <c r="E28" s="9"/>
      <c r="F28" s="23" t="s">
        <v>510</v>
      </c>
      <c r="G28" s="9" t="str">
        <f>IFERROR(VLOOKUP(C28,'MASTER TLPG'!A:B,2,FALSE),"")</f>
        <v>-7.203807110524606, 112.71950675497641</v>
      </c>
      <c r="H28" s="9" t="str">
        <f>IFERROR(VLOOKUP(D28,'MASTER PERUSAHAAN'!A:B,2,FALSE),"")</f>
        <v/>
      </c>
      <c r="J28" s="9" t="str">
        <f t="shared" si="1"/>
        <v/>
      </c>
      <c r="K28" s="11" t="str">
        <f t="shared" si="2"/>
        <v/>
      </c>
      <c r="M28" s="17">
        <v>1.0</v>
      </c>
      <c r="N28" s="17"/>
      <c r="O28" s="17"/>
      <c r="P28" s="17"/>
      <c r="Q28" s="17"/>
      <c r="R28" s="17"/>
      <c r="S28" s="17"/>
      <c r="T28" s="17" t="str">
        <f>IFERROR(__xludf.DUMMYFUNCTION("""COMPUTED_VALUE"""),"AE 8546 UJ")</f>
        <v>AE 8546 UJ</v>
      </c>
      <c r="U28" s="17" t="str">
        <f>IFERROR(__xludf.DUMMYFUNCTION("""COMPUTED_VALUE"""),"TLPG TJ PERAK")</f>
        <v>TLPG TJ PERAK</v>
      </c>
      <c r="V28" s="17" t="str">
        <f>IFERROR(__xludf.DUMMYFUNCTION("""COMPUTED_VALUE"""),"PT NUR WISTARA ABADI")</f>
        <v>PT NUR WISTARA ABADI</v>
      </c>
      <c r="W28" s="17">
        <f>IFERROR(__xludf.DUMMYFUNCTION("""COMPUTED_VALUE"""),178.3)</f>
        <v>178.3</v>
      </c>
      <c r="X28" s="17" t="str">
        <f>IFERROR(__xludf.DUMMYFUNCTION("""COMPUTED_VALUE"""),"JAUH")</f>
        <v>JAUH</v>
      </c>
      <c r="Y28" s="17">
        <f>IFERROR(__xludf.DUMMYFUNCTION("""COMPUTED_VALUE"""),3.0)</f>
        <v>3</v>
      </c>
      <c r="Z28" s="17">
        <f>IFERROR(__xludf.DUMMYFUNCTION("""COMPUTED_VALUE"""),1.0)</f>
        <v>1</v>
      </c>
      <c r="AB28" s="48" t="str">
        <f>IFERROR(__xludf.DUMMYFUNCTION("""COMPUTED_VALUE"""),"PT BERINGIN GAS LESTARI")</f>
        <v>PT BERINGIN GAS LESTARI</v>
      </c>
      <c r="AC28" s="48" t="str">
        <f>IFERROR(__xludf.DUMMYFUNCTION("""COMPUTED_VALUE"""),"N 8776 UT")</f>
        <v>N 8776 UT</v>
      </c>
      <c r="AD28" s="48" t="str">
        <f>IFERROR(__xludf.DUMMYFUNCTION("""COMPUTED_VALUE"""),"TLPG TJ PERAK")</f>
        <v>TLPG TJ PERAK</v>
      </c>
      <c r="AE28" s="17">
        <f>IFERROR(__xludf.DUMMYFUNCTION("""COMPUTED_VALUE"""),9.0)</f>
        <v>9</v>
      </c>
    </row>
    <row r="29">
      <c r="A29" s="12">
        <v>27.0</v>
      </c>
      <c r="B29" s="9" t="s">
        <v>42</v>
      </c>
      <c r="C29" s="9" t="s">
        <v>28</v>
      </c>
      <c r="D29" s="9" t="s">
        <v>412</v>
      </c>
      <c r="E29" s="9"/>
      <c r="G29" s="9" t="str">
        <f>IFERROR(VLOOKUP(C29,'MASTER TLPG'!A:B,2,FALSE),"")</f>
        <v>-8.16862812274526, 114.38753900822569</v>
      </c>
      <c r="H29" s="9" t="str">
        <f>IFERROR(VLOOKUP(D29,'MASTER PERUSAHAAN'!A:B,2,FALSE),"")</f>
        <v/>
      </c>
      <c r="J29" s="9" t="str">
        <f t="shared" si="1"/>
        <v/>
      </c>
      <c r="K29" s="11" t="str">
        <f t="shared" si="2"/>
        <v/>
      </c>
      <c r="M29" s="17">
        <v>1.0</v>
      </c>
      <c r="N29" s="17"/>
      <c r="O29" s="17"/>
      <c r="P29" s="17"/>
      <c r="Q29" s="17"/>
      <c r="R29" s="17"/>
      <c r="S29" s="17"/>
      <c r="T29" s="17" t="str">
        <f>IFERROR(__xludf.DUMMYFUNCTION("""COMPUTED_VALUE"""),"AE 9061 UJ")</f>
        <v>AE 9061 UJ</v>
      </c>
      <c r="U29" s="17" t="str">
        <f>IFERROR(__xludf.DUMMYFUNCTION("""COMPUTED_VALUE"""),"TLPG TJ PERAK")</f>
        <v>TLPG TJ PERAK</v>
      </c>
      <c r="V29" s="17" t="str">
        <f>IFERROR(__xludf.DUMMYFUNCTION("""COMPUTED_VALUE"""),"PT NUR WISTARA ABADI")</f>
        <v>PT NUR WISTARA ABADI</v>
      </c>
      <c r="W29" s="17">
        <f>IFERROR(__xludf.DUMMYFUNCTION("""COMPUTED_VALUE"""),178.3)</f>
        <v>178.3</v>
      </c>
      <c r="X29" s="17" t="str">
        <f>IFERROR(__xludf.DUMMYFUNCTION("""COMPUTED_VALUE"""),"JAUH")</f>
        <v>JAUH</v>
      </c>
      <c r="Y29" s="17">
        <f>IFERROR(__xludf.DUMMYFUNCTION("""COMPUTED_VALUE"""),3.0)</f>
        <v>3</v>
      </c>
      <c r="Z29" s="17">
        <f>IFERROR(__xludf.DUMMYFUNCTION("""COMPUTED_VALUE"""),1.0)</f>
        <v>1</v>
      </c>
      <c r="AB29" s="48" t="str">
        <f>IFERROR(__xludf.DUMMYFUNCTION("""COMPUTED_VALUE"""),"PT BERINGIN GAS LESTARI")</f>
        <v>PT BERINGIN GAS LESTARI</v>
      </c>
      <c r="AC29" s="48" t="str">
        <f>IFERROR(__xludf.DUMMYFUNCTION("""COMPUTED_VALUE"""),"N 9422 UU")</f>
        <v>N 9422 UU</v>
      </c>
      <c r="AD29" s="48" t="str">
        <f>IFERROR(__xludf.DUMMYFUNCTION("""COMPUTED_VALUE"""),"TLPG TJ PERAK")</f>
        <v>TLPG TJ PERAK</v>
      </c>
      <c r="AE29" s="17">
        <f>IFERROR(__xludf.DUMMYFUNCTION("""COMPUTED_VALUE"""),9.0)</f>
        <v>9</v>
      </c>
    </row>
    <row r="30">
      <c r="A30" s="12">
        <v>28.0</v>
      </c>
      <c r="B30" s="9" t="s">
        <v>43</v>
      </c>
      <c r="C30" s="9" t="s">
        <v>7</v>
      </c>
      <c r="D30" s="9" t="s">
        <v>429</v>
      </c>
      <c r="E30" s="49">
        <v>104.1</v>
      </c>
      <c r="F30" s="23" t="s">
        <v>454</v>
      </c>
      <c r="G30" s="9" t="str">
        <f>IFERROR(VLOOKUP(C30,'MASTER TLPG'!A:B,2,FALSE),"")</f>
        <v>-7.203807110524606, 112.71950675497641</v>
      </c>
      <c r="H30" s="9" t="str">
        <f>IFERROR(VLOOKUP(D30,'MASTER PERUSAHAAN'!A:B,2,FALSE),"")</f>
        <v>-7.191468687505368, 111.92169305996842</v>
      </c>
      <c r="J30" s="9" t="str">
        <f t="shared" si="1"/>
        <v>SEDANG</v>
      </c>
      <c r="K30" s="11">
        <f t="shared" si="2"/>
        <v>2</v>
      </c>
      <c r="M30" s="17">
        <v>1.0</v>
      </c>
      <c r="N30" s="17"/>
      <c r="O30" s="17"/>
      <c r="P30" s="17"/>
      <c r="Q30" s="17"/>
      <c r="R30" s="17"/>
      <c r="S30" s="17"/>
      <c r="T30" s="17" t="str">
        <f>IFERROR(__xludf.DUMMYFUNCTION("""COMPUTED_VALUE"""),"AG 9876 RK")</f>
        <v>AG 9876 RK</v>
      </c>
      <c r="U30" s="17" t="str">
        <f>IFERROR(__xludf.DUMMYFUNCTION("""COMPUTED_VALUE"""),"TLPG MEM GRESIK")</f>
        <v>TLPG MEM GRESIK</v>
      </c>
      <c r="V30" s="17" t="str">
        <f>IFERROR(__xludf.DUMMYFUNCTION("""COMPUTED_VALUE"""),"PT BINTANG CIPTA PERSADA")</f>
        <v>PT BINTANG CIPTA PERSADA</v>
      </c>
      <c r="W30" s="17">
        <f>IFERROR(__xludf.DUMMYFUNCTION("""COMPUTED_VALUE"""),176.1)</f>
        <v>176.1</v>
      </c>
      <c r="X30" s="17" t="str">
        <f>IFERROR(__xludf.DUMMYFUNCTION("""COMPUTED_VALUE"""),"JAUH")</f>
        <v>JAUH</v>
      </c>
      <c r="Y30" s="17">
        <f>IFERROR(__xludf.DUMMYFUNCTION("""COMPUTED_VALUE"""),3.0)</f>
        <v>3</v>
      </c>
      <c r="Z30" s="17">
        <f>IFERROR(__xludf.DUMMYFUNCTION("""COMPUTED_VALUE"""),1.0)</f>
        <v>1</v>
      </c>
      <c r="AB30" s="48" t="str">
        <f>IFERROR(__xludf.DUMMYFUNCTION("""COMPUTED_VALUE"""),"PT BHUMI PERMATA INDAH")</f>
        <v>PT BHUMI PERMATA INDAH</v>
      </c>
      <c r="AC30" s="48" t="str">
        <f>IFERROR(__xludf.DUMMYFUNCTION("""COMPUTED_VALUE"""),"N 8083 UQ")</f>
        <v>N 8083 UQ</v>
      </c>
      <c r="AD30" s="48" t="str">
        <f>IFERROR(__xludf.DUMMYFUNCTION("""COMPUTED_VALUE"""),"TLPG TJ PERAK")</f>
        <v>TLPG TJ PERAK</v>
      </c>
      <c r="AE30" s="17">
        <f>IFERROR(__xludf.DUMMYFUNCTION("""COMPUTED_VALUE"""),2.0)</f>
        <v>2</v>
      </c>
    </row>
    <row r="31">
      <c r="A31" s="12">
        <v>29.0</v>
      </c>
      <c r="B31" s="9" t="s">
        <v>45</v>
      </c>
      <c r="C31" s="9" t="s">
        <v>5</v>
      </c>
      <c r="D31" s="9" t="s">
        <v>44</v>
      </c>
      <c r="E31" s="49">
        <v>53.9</v>
      </c>
      <c r="F31" s="23" t="s">
        <v>454</v>
      </c>
      <c r="G31" s="9" t="str">
        <f>IFERROR(VLOOKUP(C31,'MASTER TLPG'!A:B,2,FALSE),"")</f>
        <v>-8.749911797697688, 116.03590255003817</v>
      </c>
      <c r="H31" s="9" t="str">
        <f>IFERROR(VLOOKUP(D31,'MASTER PERUSAHAAN'!A:B,2,FALSE),"")</f>
        <v>-8.592744146752992, 116.29455490550856</v>
      </c>
      <c r="J31" s="9" t="str">
        <f t="shared" si="1"/>
        <v>SEDANG</v>
      </c>
      <c r="K31" s="11">
        <f t="shared" si="2"/>
        <v>2</v>
      </c>
      <c r="M31" s="17">
        <v>2.0</v>
      </c>
      <c r="N31" s="17"/>
      <c r="O31" s="17"/>
      <c r="P31" s="17"/>
      <c r="Q31" s="17"/>
      <c r="R31" s="17"/>
      <c r="S31" s="17"/>
      <c r="T31" s="17" t="str">
        <f>IFERROR(__xludf.DUMMYFUNCTION("""COMPUTED_VALUE"""),"AG 8701 UO")</f>
        <v>AG 8701 UO</v>
      </c>
      <c r="U31" s="17" t="str">
        <f>IFERROR(__xludf.DUMMYFUNCTION("""COMPUTED_VALUE"""),"TLPG TJ PERAK")</f>
        <v>TLPG TJ PERAK</v>
      </c>
      <c r="V31" s="17" t="str">
        <f>IFERROR(__xludf.DUMMYFUNCTION("""COMPUTED_VALUE"""),"PT MODERNA TEHNIK PERKASA")</f>
        <v>PT MODERNA TEHNIK PERKASA</v>
      </c>
      <c r="W31" s="17">
        <f>IFERROR(__xludf.DUMMYFUNCTION("""COMPUTED_VALUE"""),175.0)</f>
        <v>175</v>
      </c>
      <c r="X31" s="17" t="str">
        <f>IFERROR(__xludf.DUMMYFUNCTION("""COMPUTED_VALUE"""),"JAUH")</f>
        <v>JAUH</v>
      </c>
      <c r="Y31" s="17">
        <f>IFERROR(__xludf.DUMMYFUNCTION("""COMPUTED_VALUE"""),3.0)</f>
        <v>3</v>
      </c>
      <c r="Z31" s="17">
        <f>IFERROR(__xludf.DUMMYFUNCTION("""COMPUTED_VALUE"""),4.0)</f>
        <v>4</v>
      </c>
      <c r="AB31" s="48" t="str">
        <f>IFERROR(__xludf.DUMMYFUNCTION("""COMPUTED_VALUE"""),"PT BHUMI PERMATA INDAH")</f>
        <v>PT BHUMI PERMATA INDAH</v>
      </c>
      <c r="AC31" s="48" t="str">
        <f>IFERROR(__xludf.DUMMYFUNCTION("""COMPUTED_VALUE"""),"N 8857 UR")</f>
        <v>N 8857 UR</v>
      </c>
      <c r="AD31" s="48" t="str">
        <f>IFERROR(__xludf.DUMMYFUNCTION("""COMPUTED_VALUE"""),"TLPG TJ WANGI")</f>
        <v>TLPG TJ WANGI</v>
      </c>
      <c r="AE31" s="17">
        <f>IFERROR(__xludf.DUMMYFUNCTION("""COMPUTED_VALUE"""),2.0)</f>
        <v>2</v>
      </c>
    </row>
    <row r="32">
      <c r="A32" s="12">
        <v>30.0</v>
      </c>
      <c r="B32" s="9" t="s">
        <v>46</v>
      </c>
      <c r="C32" s="9" t="s">
        <v>5</v>
      </c>
      <c r="D32" s="9" t="s">
        <v>44</v>
      </c>
      <c r="E32" s="49">
        <v>53.9</v>
      </c>
      <c r="F32" s="23" t="s">
        <v>454</v>
      </c>
      <c r="G32" s="9" t="str">
        <f>IFERROR(VLOOKUP(C32,'MASTER TLPG'!A:B,2,FALSE),"")</f>
        <v>-8.749911797697688, 116.03590255003817</v>
      </c>
      <c r="H32" s="9" t="str">
        <f>IFERROR(VLOOKUP(D32,'MASTER PERUSAHAAN'!A:B,2,FALSE),"")</f>
        <v>-8.592744146752992, 116.29455490550856</v>
      </c>
      <c r="J32" s="9" t="str">
        <f t="shared" si="1"/>
        <v>SEDANG</v>
      </c>
      <c r="K32" s="11">
        <f t="shared" si="2"/>
        <v>2</v>
      </c>
      <c r="M32" s="17">
        <v>2.0</v>
      </c>
      <c r="N32" s="17"/>
      <c r="O32" s="17"/>
      <c r="P32" s="17"/>
      <c r="Q32" s="17"/>
      <c r="R32" s="17"/>
      <c r="S32" s="17"/>
      <c r="T32" s="17" t="str">
        <f>IFERROR(__xludf.DUMMYFUNCTION("""COMPUTED_VALUE"""),"AG 8702 UO")</f>
        <v>AG 8702 UO</v>
      </c>
      <c r="U32" s="17" t="str">
        <f>IFERROR(__xludf.DUMMYFUNCTION("""COMPUTED_VALUE"""),"TLPG TJ PERAK")</f>
        <v>TLPG TJ PERAK</v>
      </c>
      <c r="V32" s="17" t="str">
        <f>IFERROR(__xludf.DUMMYFUNCTION("""COMPUTED_VALUE"""),"PT MODERNA TEHNIK PERKASA")</f>
        <v>PT MODERNA TEHNIK PERKASA</v>
      </c>
      <c r="W32" s="17">
        <f>IFERROR(__xludf.DUMMYFUNCTION("""COMPUTED_VALUE"""),175.0)</f>
        <v>175</v>
      </c>
      <c r="X32" s="17" t="str">
        <f>IFERROR(__xludf.DUMMYFUNCTION("""COMPUTED_VALUE"""),"JAUH")</f>
        <v>JAUH</v>
      </c>
      <c r="Y32" s="17">
        <f>IFERROR(__xludf.DUMMYFUNCTION("""COMPUTED_VALUE"""),3.0)</f>
        <v>3</v>
      </c>
      <c r="Z32" s="17">
        <f>IFERROR(__xludf.DUMMYFUNCTION("""COMPUTED_VALUE"""),4.0)</f>
        <v>4</v>
      </c>
      <c r="AB32" s="48" t="str">
        <f>IFERROR(__xludf.DUMMYFUNCTION("""COMPUTED_VALUE"""),"PT BHUMI PERMATA INDAH")</f>
        <v>PT BHUMI PERMATA INDAH</v>
      </c>
      <c r="AC32" s="48" t="str">
        <f>IFERROR(__xludf.DUMMYFUNCTION("""COMPUTED_VALUE"""),"N 8299 UR")</f>
        <v>N 8299 UR</v>
      </c>
      <c r="AD32" s="48" t="str">
        <f>IFERROR(__xludf.DUMMYFUNCTION("""COMPUTED_VALUE"""),"TLPG TJ PERAK")</f>
        <v>TLPG TJ PERAK</v>
      </c>
      <c r="AE32" s="17">
        <f>IFERROR(__xludf.DUMMYFUNCTION("""COMPUTED_VALUE"""),8.0)</f>
        <v>8</v>
      </c>
    </row>
    <row r="33">
      <c r="A33" s="12">
        <v>31.0</v>
      </c>
      <c r="B33" s="9" t="s">
        <v>47</v>
      </c>
      <c r="C33" s="9" t="s">
        <v>7</v>
      </c>
      <c r="D33" s="9" t="s">
        <v>215</v>
      </c>
      <c r="E33" s="49">
        <v>201.0</v>
      </c>
      <c r="F33" s="23" t="s">
        <v>454</v>
      </c>
      <c r="G33" s="9" t="str">
        <f>IFERROR(VLOOKUP(C33,'MASTER TLPG'!A:B,2,FALSE),"")</f>
        <v>-7.203807110524606, 112.71950675497641</v>
      </c>
      <c r="H33" s="9" t="str">
        <f>IFERROR(VLOOKUP(D33,'MASTER PERUSAHAAN'!A:B,2,FALSE),"")</f>
        <v>-7.879247280950652, 111.48568793157652</v>
      </c>
      <c r="J33" s="9" t="str">
        <f t="shared" si="1"/>
        <v>JAUH</v>
      </c>
      <c r="K33" s="11">
        <f t="shared" si="2"/>
        <v>3</v>
      </c>
      <c r="M33" s="17">
        <v>2.0</v>
      </c>
      <c r="N33" s="17"/>
      <c r="O33" s="17"/>
      <c r="P33" s="17"/>
      <c r="Q33" s="17"/>
      <c r="R33" s="17"/>
      <c r="S33" s="17"/>
      <c r="T33" s="17" t="str">
        <f>IFERROR(__xludf.DUMMYFUNCTION("""COMPUTED_VALUE"""),"AG 8717 UO")</f>
        <v>AG 8717 UO</v>
      </c>
      <c r="U33" s="17" t="str">
        <f>IFERROR(__xludf.DUMMYFUNCTION("""COMPUTED_VALUE"""),"TLPG TJ PERAK")</f>
        <v>TLPG TJ PERAK</v>
      </c>
      <c r="V33" s="17" t="str">
        <f>IFERROR(__xludf.DUMMYFUNCTION("""COMPUTED_VALUE"""),"PT MODERNA TEHNIK PERKASA")</f>
        <v>PT MODERNA TEHNIK PERKASA</v>
      </c>
      <c r="W33" s="17">
        <f>IFERROR(__xludf.DUMMYFUNCTION("""COMPUTED_VALUE"""),175.0)</f>
        <v>175</v>
      </c>
      <c r="X33" s="17" t="str">
        <f>IFERROR(__xludf.DUMMYFUNCTION("""COMPUTED_VALUE"""),"JAUH")</f>
        <v>JAUH</v>
      </c>
      <c r="Y33" s="17">
        <f>IFERROR(__xludf.DUMMYFUNCTION("""COMPUTED_VALUE"""),3.0)</f>
        <v>3</v>
      </c>
      <c r="Z33" s="17">
        <f>IFERROR(__xludf.DUMMYFUNCTION("""COMPUTED_VALUE"""),4.0)</f>
        <v>4</v>
      </c>
      <c r="AB33" s="48" t="str">
        <f>IFERROR(__xludf.DUMMYFUNCTION("""COMPUTED_VALUE"""),"PT BINA ANUGERAH INTI KIMIA")</f>
        <v>PT BINA ANUGERAH INTI KIMIA</v>
      </c>
      <c r="AC33" s="48" t="str">
        <f>IFERROR(__xludf.DUMMYFUNCTION("""COMPUTED_VALUE"""),"N 9579 US")</f>
        <v>N 9579 US</v>
      </c>
      <c r="AD33" s="48" t="str">
        <f>IFERROR(__xludf.DUMMYFUNCTION("""COMPUTED_VALUE"""),"TLPG TJ PERAK")</f>
        <v>TLPG TJ PERAK</v>
      </c>
      <c r="AE33" s="17">
        <f>IFERROR(__xludf.DUMMYFUNCTION("""COMPUTED_VALUE"""),4.0)</f>
        <v>4</v>
      </c>
    </row>
    <row r="34">
      <c r="A34" s="12">
        <v>32.0</v>
      </c>
      <c r="B34" s="9" t="s">
        <v>49</v>
      </c>
      <c r="C34" s="9" t="s">
        <v>7</v>
      </c>
      <c r="D34" s="9" t="s">
        <v>215</v>
      </c>
      <c r="E34" s="49">
        <v>201.0</v>
      </c>
      <c r="F34" s="23" t="s">
        <v>454</v>
      </c>
      <c r="G34" s="9" t="str">
        <f>IFERROR(VLOOKUP(C34,'MASTER TLPG'!A:B,2,FALSE),"")</f>
        <v>-7.203807110524606, 112.71950675497641</v>
      </c>
      <c r="H34" s="9" t="str">
        <f>IFERROR(VLOOKUP(D34,'MASTER PERUSAHAAN'!A:B,2,FALSE),"")</f>
        <v>-7.879247280950652, 111.48568793157652</v>
      </c>
      <c r="J34" s="9" t="str">
        <f t="shared" si="1"/>
        <v>JAUH</v>
      </c>
      <c r="K34" s="11">
        <f t="shared" si="2"/>
        <v>3</v>
      </c>
      <c r="M34" s="17">
        <v>2.0</v>
      </c>
      <c r="N34" s="17"/>
      <c r="O34" s="17"/>
      <c r="P34" s="17"/>
      <c r="Q34" s="17"/>
      <c r="R34" s="17"/>
      <c r="S34" s="17"/>
      <c r="T34" s="17" t="str">
        <f>IFERROR(__xludf.DUMMYFUNCTION("""COMPUTED_VALUE"""),"L 9718 UD")</f>
        <v>L 9718 UD</v>
      </c>
      <c r="U34" s="17" t="str">
        <f>IFERROR(__xludf.DUMMYFUNCTION("""COMPUTED_VALUE"""),"TLPG TJ PERAK")</f>
        <v>TLPG TJ PERAK</v>
      </c>
      <c r="V34" s="17" t="str">
        <f>IFERROR(__xludf.DUMMYFUNCTION("""COMPUTED_VALUE"""),"PT GEHA INTI CITRA")</f>
        <v>PT GEHA INTI CITRA</v>
      </c>
      <c r="W34" s="17">
        <f>IFERROR(__xludf.DUMMYFUNCTION("""COMPUTED_VALUE"""),173.6)</f>
        <v>173.6</v>
      </c>
      <c r="X34" s="17" t="str">
        <f>IFERROR(__xludf.DUMMYFUNCTION("""COMPUTED_VALUE"""),"JAUH")</f>
        <v>JAUH</v>
      </c>
      <c r="Y34" s="17">
        <f>IFERROR(__xludf.DUMMYFUNCTION("""COMPUTED_VALUE"""),3.0)</f>
        <v>3</v>
      </c>
      <c r="Z34" s="17">
        <f>IFERROR(__xludf.DUMMYFUNCTION("""COMPUTED_VALUE"""),2.0)</f>
        <v>2</v>
      </c>
      <c r="AB34" s="48" t="str">
        <f>IFERROR(__xludf.DUMMYFUNCTION("""COMPUTED_VALUE"""),"PT BINA ANUGERAH INTI KIMIA")</f>
        <v>PT BINA ANUGERAH INTI KIMIA</v>
      </c>
      <c r="AC34" s="48" t="str">
        <f>IFERROR(__xludf.DUMMYFUNCTION("""COMPUTED_VALUE"""),"N 9478 UG")</f>
        <v>N 9478 UG</v>
      </c>
      <c r="AD34" s="48" t="str">
        <f>IFERROR(__xludf.DUMMYFUNCTION("""COMPUTED_VALUE"""),"TLPG TJ PERAK")</f>
        <v>TLPG TJ PERAK</v>
      </c>
      <c r="AE34" s="17">
        <f>IFERROR(__xludf.DUMMYFUNCTION("""COMPUTED_VALUE"""),10.0)</f>
        <v>10</v>
      </c>
    </row>
    <row r="35">
      <c r="A35" s="12">
        <v>33.0</v>
      </c>
      <c r="B35" s="9" t="s">
        <v>50</v>
      </c>
      <c r="C35" s="9" t="s">
        <v>7</v>
      </c>
      <c r="D35" s="9" t="s">
        <v>215</v>
      </c>
      <c r="E35" s="49">
        <v>201.0</v>
      </c>
      <c r="F35" s="23" t="s">
        <v>454</v>
      </c>
      <c r="G35" s="9" t="str">
        <f>IFERROR(VLOOKUP(C35,'MASTER TLPG'!A:B,2,FALSE),"")</f>
        <v>-7.203807110524606, 112.71950675497641</v>
      </c>
      <c r="H35" s="9" t="str">
        <f>IFERROR(VLOOKUP(D35,'MASTER PERUSAHAAN'!A:B,2,FALSE),"")</f>
        <v>-7.879247280950652, 111.48568793157652</v>
      </c>
      <c r="J35" s="9" t="str">
        <f t="shared" si="1"/>
        <v>JAUH</v>
      </c>
      <c r="K35" s="11">
        <f t="shared" si="2"/>
        <v>3</v>
      </c>
      <c r="M35" s="17">
        <v>2.0</v>
      </c>
      <c r="N35" s="17"/>
      <c r="O35" s="17"/>
      <c r="P35" s="17"/>
      <c r="Q35" s="17"/>
      <c r="R35" s="17"/>
      <c r="S35" s="17"/>
      <c r="T35" s="17" t="str">
        <f>IFERROR(__xludf.DUMMYFUNCTION("""COMPUTED_VALUE"""),"AG 8079 UZ")</f>
        <v>AG 8079 UZ</v>
      </c>
      <c r="U35" s="17" t="str">
        <f>IFERROR(__xludf.DUMMYFUNCTION("""COMPUTED_VALUE"""),"TLPG TJ PERAK")</f>
        <v>TLPG TJ PERAK</v>
      </c>
      <c r="V35" s="17" t="str">
        <f>IFERROR(__xludf.DUMMYFUNCTION("""COMPUTED_VALUE"""),"PT DIAN EL HADA")</f>
        <v>PT DIAN EL HADA</v>
      </c>
      <c r="W35" s="17">
        <f>IFERROR(__xludf.DUMMYFUNCTION("""COMPUTED_VALUE"""),173.6)</f>
        <v>173.6</v>
      </c>
      <c r="X35" s="17" t="str">
        <f>IFERROR(__xludf.DUMMYFUNCTION("""COMPUTED_VALUE"""),"JAUH")</f>
        <v>JAUH</v>
      </c>
      <c r="Y35" s="17">
        <f>IFERROR(__xludf.DUMMYFUNCTION("""COMPUTED_VALUE"""),3.0)</f>
        <v>3</v>
      </c>
      <c r="Z35" s="17">
        <f>IFERROR(__xludf.DUMMYFUNCTION("""COMPUTED_VALUE"""),3.0)</f>
        <v>3</v>
      </c>
      <c r="AB35" s="48" t="str">
        <f>IFERROR(__xludf.DUMMYFUNCTION("""COMPUTED_VALUE"""),"PT BINA ANUGERAH INTI KIMIA")</f>
        <v>PT BINA ANUGERAH INTI KIMIA</v>
      </c>
      <c r="AC35" s="48" t="str">
        <f>IFERROR(__xludf.DUMMYFUNCTION("""COMPUTED_VALUE"""),"N 9578 US")</f>
        <v>N 9578 US</v>
      </c>
      <c r="AD35" s="48" t="str">
        <f>IFERROR(__xludf.DUMMYFUNCTION("""COMPUTED_VALUE"""),"TLPG TJ PERAK")</f>
        <v>TLPG TJ PERAK</v>
      </c>
      <c r="AE35" s="17">
        <f>IFERROR(__xludf.DUMMYFUNCTION("""COMPUTED_VALUE"""),10.0)</f>
        <v>10</v>
      </c>
    </row>
    <row r="36">
      <c r="A36" s="12">
        <v>34.0</v>
      </c>
      <c r="B36" s="9" t="s">
        <v>51</v>
      </c>
      <c r="C36" s="9" t="s">
        <v>7</v>
      </c>
      <c r="D36" s="9" t="s">
        <v>266</v>
      </c>
      <c r="E36" s="49">
        <v>189.0</v>
      </c>
      <c r="F36" s="23" t="s">
        <v>454</v>
      </c>
      <c r="G36" s="9" t="str">
        <f>IFERROR(VLOOKUP(C36,'MASTER TLPG'!A:B,2,FALSE),"")</f>
        <v>-7.203807110524606, 112.71950675497641</v>
      </c>
      <c r="H36" s="9" t="str">
        <f>IFERROR(VLOOKUP(D36,'MASTER PERUSAHAAN'!A:B,2,FALSE),"")</f>
        <v>-7.402448574562276, 111.39967992037458</v>
      </c>
      <c r="J36" s="9" t="str">
        <f t="shared" si="1"/>
        <v>JAUH</v>
      </c>
      <c r="K36" s="11">
        <f t="shared" si="2"/>
        <v>3</v>
      </c>
      <c r="M36" s="17">
        <v>2.0</v>
      </c>
      <c r="N36" s="17"/>
      <c r="O36" s="17"/>
      <c r="P36" s="17"/>
      <c r="Q36" s="17"/>
      <c r="R36" s="17"/>
      <c r="S36" s="17"/>
      <c r="T36" s="17" t="str">
        <f>IFERROR(__xludf.DUMMYFUNCTION("""COMPUTED_VALUE"""),"AG 8654 UZ")</f>
        <v>AG 8654 UZ</v>
      </c>
      <c r="U36" s="17" t="str">
        <f>IFERROR(__xludf.DUMMYFUNCTION("""COMPUTED_VALUE"""),"TLPG TJ PERAK")</f>
        <v>TLPG TJ PERAK</v>
      </c>
      <c r="V36" s="17" t="str">
        <f>IFERROR(__xludf.DUMMYFUNCTION("""COMPUTED_VALUE"""),"PT DIAN EL HADA")</f>
        <v>PT DIAN EL HADA</v>
      </c>
      <c r="W36" s="17">
        <f>IFERROR(__xludf.DUMMYFUNCTION("""COMPUTED_VALUE"""),173.6)</f>
        <v>173.6</v>
      </c>
      <c r="X36" s="17" t="str">
        <f>IFERROR(__xludf.DUMMYFUNCTION("""COMPUTED_VALUE"""),"JAUH")</f>
        <v>JAUH</v>
      </c>
      <c r="Y36" s="17">
        <f>IFERROR(__xludf.DUMMYFUNCTION("""COMPUTED_VALUE"""),3.0)</f>
        <v>3</v>
      </c>
      <c r="Z36" s="17">
        <f>IFERROR(__xludf.DUMMYFUNCTION("""COMPUTED_VALUE"""),4.0)</f>
        <v>4</v>
      </c>
      <c r="AB36" s="48" t="str">
        <f>IFERROR(__xludf.DUMMYFUNCTION("""COMPUTED_VALUE"""),"PT BINA MAKMUR SENTOSA LESTARI")</f>
        <v>PT BINA MAKMUR SENTOSA LESTARI</v>
      </c>
      <c r="AC36" s="48" t="str">
        <f>IFERROR(__xludf.DUMMYFUNCTION("""COMPUTED_VALUE"""),"L 8440 UD")</f>
        <v>L 8440 UD</v>
      </c>
      <c r="AD36" s="48" t="str">
        <f>IFERROR(__xludf.DUMMYFUNCTION("""COMPUTED_VALUE"""),"TLPG MEM GRESIK")</f>
        <v>TLPG MEM GRESIK</v>
      </c>
      <c r="AE36" s="17">
        <f>IFERROR(__xludf.DUMMYFUNCTION("""COMPUTED_VALUE"""),4.0)</f>
        <v>4</v>
      </c>
    </row>
    <row r="37">
      <c r="A37" s="12">
        <v>35.0</v>
      </c>
      <c r="B37" s="9" t="s">
        <v>52</v>
      </c>
      <c r="C37" s="9" t="s">
        <v>7</v>
      </c>
      <c r="D37" s="9" t="s">
        <v>152</v>
      </c>
      <c r="E37" s="49">
        <v>188.4</v>
      </c>
      <c r="F37" s="23" t="s">
        <v>454</v>
      </c>
      <c r="G37" s="9" t="str">
        <f>IFERROR(VLOOKUP(C37,'MASTER TLPG'!A:B,2,FALSE),"")</f>
        <v>-7.203807110524606, 112.71950675497641</v>
      </c>
      <c r="H37" s="9" t="str">
        <f>IFERROR(VLOOKUP(D37,'MASTER PERUSAHAAN'!A:B,2,FALSE),"")</f>
        <v>-7.672244588757425, 111.399318463261</v>
      </c>
      <c r="J37" s="9" t="str">
        <f t="shared" si="1"/>
        <v>JAUH</v>
      </c>
      <c r="K37" s="11">
        <f t="shared" si="2"/>
        <v>3</v>
      </c>
      <c r="M37" s="17">
        <v>2.0</v>
      </c>
      <c r="N37" s="17"/>
      <c r="O37" s="17"/>
      <c r="P37" s="17"/>
      <c r="Q37" s="17"/>
      <c r="R37" s="17"/>
      <c r="S37" s="17"/>
      <c r="T37" s="17" t="str">
        <f>IFERROR(__xludf.DUMMYFUNCTION("""COMPUTED_VALUE"""),"N 8041 UZ")</f>
        <v>N 8041 UZ</v>
      </c>
      <c r="U37" s="17" t="str">
        <f>IFERROR(__xludf.DUMMYFUNCTION("""COMPUTED_VALUE"""),"TLPG MEM GRESIK")</f>
        <v>TLPG MEM GRESIK</v>
      </c>
      <c r="V37" s="17" t="str">
        <f>IFERROR(__xludf.DUMMYFUNCTION("""COMPUTED_VALUE"""),"PT SINAR AGUNG PUTRA ABADI")</f>
        <v>PT SINAR AGUNG PUTRA ABADI</v>
      </c>
      <c r="W37" s="17">
        <f>IFERROR(__xludf.DUMMYFUNCTION("""COMPUTED_VALUE"""),173.6)</f>
        <v>173.6</v>
      </c>
      <c r="X37" s="17" t="str">
        <f>IFERROR(__xludf.DUMMYFUNCTION("""COMPUTED_VALUE"""),"JAUH")</f>
        <v>JAUH</v>
      </c>
      <c r="Y37" s="17">
        <f>IFERROR(__xludf.DUMMYFUNCTION("""COMPUTED_VALUE"""),3.0)</f>
        <v>3</v>
      </c>
      <c r="Z37" s="17">
        <f>IFERROR(__xludf.DUMMYFUNCTION("""COMPUTED_VALUE"""),8.0)</f>
        <v>8</v>
      </c>
      <c r="AB37" s="48" t="str">
        <f>IFERROR(__xludf.DUMMYFUNCTION("""COMPUTED_VALUE"""),"PT BINTANG CIPTA PERSADA")</f>
        <v>PT BINTANG CIPTA PERSADA</v>
      </c>
      <c r="AC37" s="48" t="str">
        <f>IFERROR(__xludf.DUMMYFUNCTION("""COMPUTED_VALUE"""),"AG 9876 RK")</f>
        <v>AG 9876 RK</v>
      </c>
      <c r="AD37" s="48" t="str">
        <f>IFERROR(__xludf.DUMMYFUNCTION("""COMPUTED_VALUE"""),"TLPG MEM GRESIK")</f>
        <v>TLPG MEM GRESIK</v>
      </c>
      <c r="AE37" s="17">
        <f>IFERROR(__xludf.DUMMYFUNCTION("""COMPUTED_VALUE"""),1.0)</f>
        <v>1</v>
      </c>
    </row>
    <row r="38">
      <c r="A38" s="12">
        <v>36.0</v>
      </c>
      <c r="B38" s="9" t="s">
        <v>53</v>
      </c>
      <c r="C38" s="9" t="s">
        <v>7</v>
      </c>
      <c r="D38" s="9" t="s">
        <v>302</v>
      </c>
      <c r="E38" s="49">
        <v>180.4</v>
      </c>
      <c r="F38" s="23" t="s">
        <v>454</v>
      </c>
      <c r="G38" s="9" t="str">
        <f>IFERROR(VLOOKUP(C38,'MASTER TLPG'!A:B,2,FALSE),"")</f>
        <v>-7.203807110524606, 112.71950675497641</v>
      </c>
      <c r="H38" s="9" t="str">
        <f>IFERROR(VLOOKUP(D38,'MASTER PERUSAHAAN'!A:B,2,FALSE),"")</f>
        <v>-7.471780193608859, 111.42981968941199</v>
      </c>
      <c r="J38" s="9" t="str">
        <f t="shared" si="1"/>
        <v>JAUH</v>
      </c>
      <c r="K38" s="11">
        <f t="shared" si="2"/>
        <v>3</v>
      </c>
      <c r="M38" s="17">
        <v>2.0</v>
      </c>
      <c r="N38" s="17"/>
      <c r="O38" s="17"/>
      <c r="P38" s="17"/>
      <c r="Q38" s="17"/>
      <c r="R38" s="17"/>
      <c r="S38" s="17"/>
      <c r="T38" s="17" t="str">
        <f>IFERROR(__xludf.DUMMYFUNCTION("""COMPUTED_VALUE"""),"N 8025 UZ")</f>
        <v>N 8025 UZ</v>
      </c>
      <c r="U38" s="17" t="str">
        <f>IFERROR(__xludf.DUMMYFUNCTION("""COMPUTED_VALUE"""),"TLPG MEM GRESIK")</f>
        <v>TLPG MEM GRESIK</v>
      </c>
      <c r="V38" s="17" t="str">
        <f>IFERROR(__xludf.DUMMYFUNCTION("""COMPUTED_VALUE"""),"PT SINAR AGUNG PUTRA ABADI")</f>
        <v>PT SINAR AGUNG PUTRA ABADI</v>
      </c>
      <c r="W38" s="17">
        <f>IFERROR(__xludf.DUMMYFUNCTION("""COMPUTED_VALUE"""),173.6)</f>
        <v>173.6</v>
      </c>
      <c r="X38" s="17" t="str">
        <f>IFERROR(__xludf.DUMMYFUNCTION("""COMPUTED_VALUE"""),"JAUH")</f>
        <v>JAUH</v>
      </c>
      <c r="Y38" s="17">
        <f>IFERROR(__xludf.DUMMYFUNCTION("""COMPUTED_VALUE"""),3.0)</f>
        <v>3</v>
      </c>
      <c r="Z38" s="17">
        <f>IFERROR(__xludf.DUMMYFUNCTION("""COMPUTED_VALUE"""),12.0)</f>
        <v>12</v>
      </c>
      <c r="AB38" s="48" t="str">
        <f>IFERROR(__xludf.DUMMYFUNCTION("""COMPUTED_VALUE"""),"PT BINTANG CIPTA PERSADA")</f>
        <v>PT BINTANG CIPTA PERSADA</v>
      </c>
      <c r="AC38" s="48" t="str">
        <f>IFERROR(__xludf.DUMMYFUNCTION("""COMPUTED_VALUE"""),"AG 8032 YQ")</f>
        <v>AG 8032 YQ</v>
      </c>
      <c r="AD38" s="48" t="str">
        <f>IFERROR(__xludf.DUMMYFUNCTION("""COMPUTED_VALUE"""),"TLPG TJ PERAK")</f>
        <v>TLPG TJ PERAK</v>
      </c>
      <c r="AE38" s="17">
        <f>IFERROR(__xludf.DUMMYFUNCTION("""COMPUTED_VALUE"""),2.0)</f>
        <v>2</v>
      </c>
    </row>
    <row r="39">
      <c r="A39" s="12">
        <v>37.0</v>
      </c>
      <c r="B39" s="9" t="s">
        <v>54</v>
      </c>
      <c r="C39" s="9" t="s">
        <v>7</v>
      </c>
      <c r="D39" s="9" t="s">
        <v>118</v>
      </c>
      <c r="E39" s="49">
        <v>129.7</v>
      </c>
      <c r="F39" s="23" t="s">
        <v>454</v>
      </c>
      <c r="G39" s="9" t="str">
        <f>IFERROR(VLOOKUP(C39,'MASTER TLPG'!A:B,2,FALSE),"")</f>
        <v>-7.203807110524606, 112.71950675497641</v>
      </c>
      <c r="H39" s="9" t="str">
        <f>IFERROR(VLOOKUP(D39,'MASTER PERUSAHAAN'!A:B,2,FALSE),"")</f>
        <v>-7.861774259672683, 112.03267990817523</v>
      </c>
      <c r="J39" s="9" t="str">
        <f t="shared" si="1"/>
        <v>SEDANG</v>
      </c>
      <c r="K39" s="11">
        <f t="shared" si="2"/>
        <v>2</v>
      </c>
      <c r="M39" s="17">
        <v>2.0</v>
      </c>
      <c r="N39" s="17"/>
      <c r="O39" s="17"/>
      <c r="P39" s="17"/>
      <c r="Q39" s="17"/>
      <c r="R39" s="17"/>
      <c r="S39" s="17"/>
      <c r="T39" s="17" t="str">
        <f>IFERROR(__xludf.DUMMYFUNCTION("""COMPUTED_VALUE"""),"N 9287 UN")</f>
        <v>N 9287 UN</v>
      </c>
      <c r="U39" s="17" t="str">
        <f>IFERROR(__xludf.DUMMYFUNCTION("""COMPUTED_VALUE"""),"TLPG TJ WANGI")</f>
        <v>TLPG TJ WANGI</v>
      </c>
      <c r="V39" s="17" t="str">
        <f>IFERROR(__xludf.DUMMYFUNCTION("""COMPUTED_VALUE"""),"PT HAKAMINDO PETROCHEM")</f>
        <v>PT HAKAMINDO PETROCHEM</v>
      </c>
      <c r="W39" s="17">
        <f>IFERROR(__xludf.DUMMYFUNCTION("""COMPUTED_VALUE"""),171.9)</f>
        <v>171.9</v>
      </c>
      <c r="X39" s="17" t="str">
        <f>IFERROR(__xludf.DUMMYFUNCTION("""COMPUTED_VALUE"""),"JAUH")</f>
        <v>JAUH</v>
      </c>
      <c r="Y39" s="17">
        <f>IFERROR(__xludf.DUMMYFUNCTION("""COMPUTED_VALUE"""),3.0)</f>
        <v>3</v>
      </c>
      <c r="Z39" s="17">
        <f>IFERROR(__xludf.DUMMYFUNCTION("""COMPUTED_VALUE"""),4.0)</f>
        <v>4</v>
      </c>
      <c r="AB39" s="48" t="str">
        <f>IFERROR(__xludf.DUMMYFUNCTION("""COMPUTED_VALUE"""),"PT BINTANG CIPTA PERSADA")</f>
        <v>PT BINTANG CIPTA PERSADA</v>
      </c>
      <c r="AC39" s="48" t="str">
        <f>IFERROR(__xludf.DUMMYFUNCTION("""COMPUTED_VALUE"""),"AG 8893 YK")</f>
        <v>AG 8893 YK</v>
      </c>
      <c r="AD39" s="48" t="str">
        <f>IFERROR(__xludf.DUMMYFUNCTION("""COMPUTED_VALUE"""),"TLPG TJ PERAK")</f>
        <v>TLPG TJ PERAK</v>
      </c>
      <c r="AE39" s="17">
        <f>IFERROR(__xludf.DUMMYFUNCTION("""COMPUTED_VALUE"""),5.0)</f>
        <v>5</v>
      </c>
    </row>
    <row r="40">
      <c r="A40" s="12">
        <v>38.0</v>
      </c>
      <c r="B40" s="9" t="s">
        <v>55</v>
      </c>
      <c r="C40" s="9" t="s">
        <v>7</v>
      </c>
      <c r="D40" s="9" t="s">
        <v>168</v>
      </c>
      <c r="E40" s="49">
        <v>181.0</v>
      </c>
      <c r="F40" s="23" t="s">
        <v>454</v>
      </c>
      <c r="G40" s="9" t="str">
        <f>IFERROR(VLOOKUP(C40,'MASTER TLPG'!A:B,2,FALSE),"")</f>
        <v>-7.203807110524606, 112.71950675497641</v>
      </c>
      <c r="H40" s="9" t="str">
        <f>IFERROR(VLOOKUP(D40,'MASTER PERUSAHAAN'!A:B,2,FALSE),"")</f>
        <v>-8.084902676848168, 111.71029249586367</v>
      </c>
      <c r="J40" s="9" t="str">
        <f t="shared" si="1"/>
        <v>JAUH</v>
      </c>
      <c r="K40" s="11">
        <f t="shared" si="2"/>
        <v>3</v>
      </c>
      <c r="M40" s="17">
        <v>2.0</v>
      </c>
      <c r="N40" s="17"/>
      <c r="O40" s="17"/>
      <c r="P40" s="17"/>
      <c r="Q40" s="17"/>
      <c r="R40" s="17"/>
      <c r="S40" s="17"/>
      <c r="T40" s="17" t="str">
        <f>IFERROR(__xludf.DUMMYFUNCTION("""COMPUTED_VALUE"""),"N 8435 UZ")</f>
        <v>N 8435 UZ</v>
      </c>
      <c r="U40" s="17" t="str">
        <f>IFERROR(__xludf.DUMMYFUNCTION("""COMPUTED_VALUE"""),"TLPG MEM GRESIK")</f>
        <v>TLPG MEM GRESIK</v>
      </c>
      <c r="V40" s="17" t="str">
        <f>IFERROR(__xludf.DUMMYFUNCTION("""COMPUTED_VALUE"""),"PT SENTOSA GASINDO RAYA")</f>
        <v>PT SENTOSA GASINDO RAYA</v>
      </c>
      <c r="W40" s="17">
        <f>IFERROR(__xludf.DUMMYFUNCTION("""COMPUTED_VALUE"""),169.5)</f>
        <v>169.5</v>
      </c>
      <c r="X40" s="17" t="str">
        <f>IFERROR(__xludf.DUMMYFUNCTION("""COMPUTED_VALUE"""),"JAUH")</f>
        <v>JAUH</v>
      </c>
      <c r="Y40" s="17">
        <f>IFERROR(__xludf.DUMMYFUNCTION("""COMPUTED_VALUE"""),3.0)</f>
        <v>3</v>
      </c>
      <c r="Z40" s="17">
        <f>IFERROR(__xludf.DUMMYFUNCTION("""COMPUTED_VALUE"""),1.0)</f>
        <v>1</v>
      </c>
      <c r="AB40" s="48" t="str">
        <f>IFERROR(__xludf.DUMMYFUNCTION("""COMPUTED_VALUE"""),"PT BONGKARAN ENERGI")</f>
        <v>PT BONGKARAN ENERGI</v>
      </c>
      <c r="AC40" s="48" t="str">
        <f>IFERROR(__xludf.DUMMYFUNCTION("""COMPUTED_VALUE"""),"W 8193 PF")</f>
        <v>W 8193 PF</v>
      </c>
      <c r="AD40" s="48" t="str">
        <f>IFERROR(__xludf.DUMMYFUNCTION("""COMPUTED_VALUE"""),"TLPG TJ PERAK")</f>
        <v>TLPG TJ PERAK</v>
      </c>
      <c r="AE40" s="17">
        <f>IFERROR(__xludf.DUMMYFUNCTION("""COMPUTED_VALUE"""),12.0)</f>
        <v>12</v>
      </c>
    </row>
    <row r="41">
      <c r="A41" s="12">
        <v>39.0</v>
      </c>
      <c r="B41" s="9" t="s">
        <v>56</v>
      </c>
      <c r="C41" s="9" t="s">
        <v>7</v>
      </c>
      <c r="D41" s="9" t="s">
        <v>341</v>
      </c>
      <c r="E41" s="49">
        <v>126.9</v>
      </c>
      <c r="F41" s="23" t="s">
        <v>454</v>
      </c>
      <c r="G41" s="9" t="str">
        <f>IFERROR(VLOOKUP(C41,'MASTER TLPG'!A:B,2,FALSE),"")</f>
        <v>-7.203807110524606, 112.71950675497641</v>
      </c>
      <c r="H41" s="9" t="str">
        <f>IFERROR(VLOOKUP(D41,'MASTER PERUSAHAAN'!A:B,2,FALSE),"")</f>
        <v>-7.63067321932769, 111.90547004884161</v>
      </c>
      <c r="J41" s="9" t="str">
        <f t="shared" si="1"/>
        <v>SEDANG</v>
      </c>
      <c r="K41" s="11">
        <f t="shared" si="2"/>
        <v>2</v>
      </c>
      <c r="M41" s="17">
        <v>2.0</v>
      </c>
      <c r="N41" s="17"/>
      <c r="O41" s="17"/>
      <c r="P41" s="17"/>
      <c r="Q41" s="17"/>
      <c r="R41" s="17"/>
      <c r="S41" s="17"/>
      <c r="T41" s="17" t="str">
        <f>IFERROR(__xludf.DUMMYFUNCTION("""COMPUTED_VALUE"""),"L 9155 UB")</f>
        <v>L 9155 UB</v>
      </c>
      <c r="U41" s="17" t="str">
        <f>IFERROR(__xludf.DUMMYFUNCTION("""COMPUTED_VALUE"""),"TLPG TJ PERAK")</f>
        <v>TLPG TJ PERAK</v>
      </c>
      <c r="V41" s="17" t="str">
        <f>IFERROR(__xludf.DUMMYFUNCTION("""COMPUTED_VALUE"""),"PT AGUNG CATUR UTAMA GROUP")</f>
        <v>PT AGUNG CATUR UTAMA GROUP</v>
      </c>
      <c r="W41" s="17">
        <f>IFERROR(__xludf.DUMMYFUNCTION("""COMPUTED_VALUE"""),168.5)</f>
        <v>168.5</v>
      </c>
      <c r="X41" s="17" t="str">
        <f>IFERROR(__xludf.DUMMYFUNCTION("""COMPUTED_VALUE"""),"JAUH")</f>
        <v>JAUH</v>
      </c>
      <c r="Y41" s="17">
        <f>IFERROR(__xludf.DUMMYFUNCTION("""COMPUTED_VALUE"""),3.0)</f>
        <v>3</v>
      </c>
      <c r="Z41" s="17">
        <f>IFERROR(__xludf.DUMMYFUNCTION("""COMPUTED_VALUE"""),2.0)</f>
        <v>2</v>
      </c>
      <c r="AB41" s="48" t="str">
        <f>IFERROR(__xludf.DUMMYFUNCTION("""COMPUTED_VALUE"""),"PT BUANA KARYA SURYA PRATAMA")</f>
        <v>PT BUANA KARYA SURYA PRATAMA</v>
      </c>
      <c r="AC41" s="48" t="str">
        <f>IFERROR(__xludf.DUMMYFUNCTION("""COMPUTED_VALUE"""),"AE 8845 UT")</f>
        <v>AE 8845 UT</v>
      </c>
      <c r="AD41" s="48" t="str">
        <f>IFERROR(__xludf.DUMMYFUNCTION("""COMPUTED_VALUE"""),"TLPG TJ PERAK")</f>
        <v>TLPG TJ PERAK</v>
      </c>
      <c r="AE41" s="17">
        <f>IFERROR(__xludf.DUMMYFUNCTION("""COMPUTED_VALUE"""),2.0)</f>
        <v>2</v>
      </c>
    </row>
    <row r="42">
      <c r="A42" s="12">
        <v>40.0</v>
      </c>
      <c r="B42" s="9" t="s">
        <v>57</v>
      </c>
      <c r="C42" s="9" t="s">
        <v>7</v>
      </c>
      <c r="D42" s="9" t="s">
        <v>341</v>
      </c>
      <c r="E42" s="49">
        <v>181.0</v>
      </c>
      <c r="F42" s="23" t="s">
        <v>454</v>
      </c>
      <c r="G42" s="9" t="str">
        <f>IFERROR(VLOOKUP(C42,'MASTER TLPG'!A:B,2,FALSE),"")</f>
        <v>-7.203807110524606, 112.71950675497641</v>
      </c>
      <c r="H42" s="9" t="str">
        <f>IFERROR(VLOOKUP(D42,'MASTER PERUSAHAAN'!A:B,2,FALSE),"")</f>
        <v>-7.63067321932769, 111.90547004884161</v>
      </c>
      <c r="J42" s="9" t="str">
        <f t="shared" si="1"/>
        <v>JAUH</v>
      </c>
      <c r="K42" s="11">
        <f t="shared" si="2"/>
        <v>3</v>
      </c>
      <c r="M42" s="17">
        <v>2.0</v>
      </c>
      <c r="N42" s="17"/>
      <c r="O42" s="17"/>
      <c r="P42" s="17"/>
      <c r="Q42" s="17"/>
      <c r="R42" s="17"/>
      <c r="S42" s="17"/>
      <c r="T42" s="17" t="str">
        <f>IFERROR(__xludf.DUMMYFUNCTION("""COMPUTED_VALUE"""),"AG 8380 KL")</f>
        <v>AG 8380 KL</v>
      </c>
      <c r="U42" s="17" t="str">
        <f>IFERROR(__xludf.DUMMYFUNCTION("""COMPUTED_VALUE"""),"TLPG TJ PERAK")</f>
        <v>TLPG TJ PERAK</v>
      </c>
      <c r="V42" s="17" t="str">
        <f>IFERROR(__xludf.DUMMYFUNCTION("""COMPUTED_VALUE"""),"PT AGUNG CATUR UTAMA GROUP")</f>
        <v>PT AGUNG CATUR UTAMA GROUP</v>
      </c>
      <c r="W42" s="17">
        <f>IFERROR(__xludf.DUMMYFUNCTION("""COMPUTED_VALUE"""),168.5)</f>
        <v>168.5</v>
      </c>
      <c r="X42" s="17" t="str">
        <f>IFERROR(__xludf.DUMMYFUNCTION("""COMPUTED_VALUE"""),"JAUH")</f>
        <v>JAUH</v>
      </c>
      <c r="Y42" s="17">
        <f>IFERROR(__xludf.DUMMYFUNCTION("""COMPUTED_VALUE"""),3.0)</f>
        <v>3</v>
      </c>
      <c r="Z42" s="17">
        <f>IFERROR(__xludf.DUMMYFUNCTION("""COMPUTED_VALUE"""),3.0)</f>
        <v>3</v>
      </c>
      <c r="AB42" s="48" t="str">
        <f>IFERROR(__xludf.DUMMYFUNCTION("""COMPUTED_VALUE"""),"PT BUANA KARYA SURYA PRATAMA")</f>
        <v>PT BUANA KARYA SURYA PRATAMA</v>
      </c>
      <c r="AC42" s="48" t="str">
        <f>IFERROR(__xludf.DUMMYFUNCTION("""COMPUTED_VALUE"""),"AE 8846 UT")</f>
        <v>AE 8846 UT</v>
      </c>
      <c r="AD42" s="48" t="str">
        <f>IFERROR(__xludf.DUMMYFUNCTION("""COMPUTED_VALUE"""),"TLPG TJ PERAK")</f>
        <v>TLPG TJ PERAK</v>
      </c>
      <c r="AE42" s="17">
        <f>IFERROR(__xludf.DUMMYFUNCTION("""COMPUTED_VALUE"""),2.0)</f>
        <v>2</v>
      </c>
    </row>
    <row r="43">
      <c r="A43" s="12">
        <v>41.0</v>
      </c>
      <c r="B43" s="9" t="s">
        <v>58</v>
      </c>
      <c r="C43" s="9" t="s">
        <v>25</v>
      </c>
      <c r="D43" s="9" t="s">
        <v>83</v>
      </c>
      <c r="E43" s="9"/>
      <c r="G43" s="9" t="str">
        <f>IFERROR(VLOOKUP(C43,'MASTER TLPG'!A:B,2,FALSE),"")</f>
        <v>-7.109201954744449, 112.62272164861744</v>
      </c>
      <c r="H43" s="9" t="str">
        <f>IFERROR(VLOOKUP(D43,'MASTER PERUSAHAAN'!A:B,2,FALSE),"")</f>
        <v/>
      </c>
      <c r="J43" s="9" t="str">
        <f t="shared" si="1"/>
        <v/>
      </c>
      <c r="K43" s="11" t="str">
        <f t="shared" si="2"/>
        <v/>
      </c>
      <c r="M43" s="17">
        <v>2.0</v>
      </c>
      <c r="N43" s="17"/>
      <c r="O43" s="17"/>
      <c r="P43" s="17"/>
      <c r="Q43" s="17"/>
      <c r="R43" s="17"/>
      <c r="S43" s="17"/>
      <c r="T43" s="17" t="str">
        <f>IFERROR(__xludf.DUMMYFUNCTION("""COMPUTED_VALUE"""),"AG 8152 UL")</f>
        <v>AG 8152 UL</v>
      </c>
      <c r="U43" s="17" t="str">
        <f>IFERROR(__xludf.DUMMYFUNCTION("""COMPUTED_VALUE"""),"TLPG TJ PERAK")</f>
        <v>TLPG TJ PERAK</v>
      </c>
      <c r="V43" s="17" t="str">
        <f>IFERROR(__xludf.DUMMYFUNCTION("""COMPUTED_VALUE"""),"PT RAMA MANGGALA GAS")</f>
        <v>PT RAMA MANGGALA GAS</v>
      </c>
      <c r="W43" s="17">
        <f>IFERROR(__xludf.DUMMYFUNCTION("""COMPUTED_VALUE"""),167.6)</f>
        <v>167.6</v>
      </c>
      <c r="X43" s="17" t="str">
        <f>IFERROR(__xludf.DUMMYFUNCTION("""COMPUTED_VALUE"""),"JAUH")</f>
        <v>JAUH</v>
      </c>
      <c r="Y43" s="17">
        <f>IFERROR(__xludf.DUMMYFUNCTION("""COMPUTED_VALUE"""),3.0)</f>
        <v>3</v>
      </c>
      <c r="Z43" s="17">
        <f>IFERROR(__xludf.DUMMYFUNCTION("""COMPUTED_VALUE"""),3.0)</f>
        <v>3</v>
      </c>
      <c r="AB43" s="48" t="str">
        <f>IFERROR(__xludf.DUMMYFUNCTION("""COMPUTED_VALUE"""),"PT BUANA KARYA SURYA PRATAMA")</f>
        <v>PT BUANA KARYA SURYA PRATAMA</v>
      </c>
      <c r="AC43" s="48" t="str">
        <f>IFERROR(__xludf.DUMMYFUNCTION("""COMPUTED_VALUE"""),"AE 8857 UT")</f>
        <v>AE 8857 UT</v>
      </c>
      <c r="AD43" s="48" t="str">
        <f>IFERROR(__xludf.DUMMYFUNCTION("""COMPUTED_VALUE"""),"TLPG TJ PERAK")</f>
        <v>TLPG TJ PERAK</v>
      </c>
      <c r="AE43" s="17">
        <f>IFERROR(__xludf.DUMMYFUNCTION("""COMPUTED_VALUE"""),2.0)</f>
        <v>2</v>
      </c>
    </row>
    <row r="44">
      <c r="A44" s="12">
        <v>42.0</v>
      </c>
      <c r="B44" s="9" t="s">
        <v>59</v>
      </c>
      <c r="C44" s="9" t="s">
        <v>25</v>
      </c>
      <c r="D44" s="9" t="s">
        <v>83</v>
      </c>
      <c r="E44" s="9"/>
      <c r="G44" s="9" t="str">
        <f>IFERROR(VLOOKUP(C44,'MASTER TLPG'!A:B,2,FALSE),"")</f>
        <v>-7.109201954744449, 112.62272164861744</v>
      </c>
      <c r="H44" s="9" t="str">
        <f>IFERROR(VLOOKUP(D44,'MASTER PERUSAHAAN'!A:B,2,FALSE),"")</f>
        <v/>
      </c>
      <c r="J44" s="9" t="str">
        <f t="shared" si="1"/>
        <v/>
      </c>
      <c r="K44" s="11" t="str">
        <f t="shared" si="2"/>
        <v/>
      </c>
      <c r="M44" s="17">
        <v>2.0</v>
      </c>
      <c r="N44" s="17"/>
      <c r="O44" s="17"/>
      <c r="P44" s="17"/>
      <c r="Q44" s="17"/>
      <c r="R44" s="17"/>
      <c r="S44" s="17"/>
      <c r="T44" s="17" t="str">
        <f>IFERROR(__xludf.DUMMYFUNCTION("""COMPUTED_VALUE"""),"AG 8223 LB")</f>
        <v>AG 8223 LB</v>
      </c>
      <c r="U44" s="17" t="str">
        <f>IFERROR(__xludf.DUMMYFUNCTION("""COMPUTED_VALUE"""),"TLPG TJ PERAK")</f>
        <v>TLPG TJ PERAK</v>
      </c>
      <c r="V44" s="17" t="str">
        <f>IFERROR(__xludf.DUMMYFUNCTION("""COMPUTED_VALUE"""),"PT RAMA MANGGALA GAS")</f>
        <v>PT RAMA MANGGALA GAS</v>
      </c>
      <c r="W44" s="17">
        <f>IFERROR(__xludf.DUMMYFUNCTION("""COMPUTED_VALUE"""),167.6)</f>
        <v>167.6</v>
      </c>
      <c r="X44" s="17" t="str">
        <f>IFERROR(__xludf.DUMMYFUNCTION("""COMPUTED_VALUE"""),"JAUH")</f>
        <v>JAUH</v>
      </c>
      <c r="Y44" s="17">
        <f>IFERROR(__xludf.DUMMYFUNCTION("""COMPUTED_VALUE"""),3.0)</f>
        <v>3</v>
      </c>
      <c r="Z44" s="17">
        <f>IFERROR(__xludf.DUMMYFUNCTION("""COMPUTED_VALUE"""),4.0)</f>
        <v>4</v>
      </c>
      <c r="AB44" s="48" t="str">
        <f>IFERROR(__xludf.DUMMYFUNCTION("""COMPUTED_VALUE"""),"PT BUANA KARYA SURYA PRATAMA")</f>
        <v>PT BUANA KARYA SURYA PRATAMA</v>
      </c>
      <c r="AC44" s="48" t="str">
        <f>IFERROR(__xludf.DUMMYFUNCTION("""COMPUTED_VALUE"""),"AE 8086 UT")</f>
        <v>AE 8086 UT</v>
      </c>
      <c r="AD44" s="48" t="str">
        <f>IFERROR(__xludf.DUMMYFUNCTION("""COMPUTED_VALUE"""),"TLPG TJ PERAK")</f>
        <v>TLPG TJ PERAK</v>
      </c>
      <c r="AE44" s="17">
        <f>IFERROR(__xludf.DUMMYFUNCTION("""COMPUTED_VALUE"""),7.0)</f>
        <v>7</v>
      </c>
    </row>
    <row r="45">
      <c r="A45" s="12">
        <v>43.0</v>
      </c>
      <c r="B45" s="9" t="s">
        <v>60</v>
      </c>
      <c r="C45" s="9" t="s">
        <v>25</v>
      </c>
      <c r="D45" s="9" t="s">
        <v>83</v>
      </c>
      <c r="E45" s="9"/>
      <c r="G45" s="9" t="str">
        <f>IFERROR(VLOOKUP(C45,'MASTER TLPG'!A:B,2,FALSE),"")</f>
        <v>-7.109201954744449, 112.62272164861744</v>
      </c>
      <c r="H45" s="9" t="str">
        <f>IFERROR(VLOOKUP(D45,'MASTER PERUSAHAAN'!A:B,2,FALSE),"")</f>
        <v/>
      </c>
      <c r="J45" s="9" t="str">
        <f t="shared" si="1"/>
        <v/>
      </c>
      <c r="K45" s="11" t="str">
        <f t="shared" si="2"/>
        <v/>
      </c>
      <c r="M45" s="17">
        <v>2.0</v>
      </c>
      <c r="N45" s="17"/>
      <c r="O45" s="17"/>
      <c r="P45" s="17"/>
      <c r="Q45" s="17"/>
      <c r="R45" s="17"/>
      <c r="S45" s="17"/>
      <c r="T45" s="17" t="str">
        <f>IFERROR(__xludf.DUMMYFUNCTION("""COMPUTED_VALUE"""),"AG 8817 UK")</f>
        <v>AG 8817 UK</v>
      </c>
      <c r="U45" s="17" t="str">
        <f>IFERROR(__xludf.DUMMYFUNCTION("""COMPUTED_VALUE"""),"TLPG TJ PERAK")</f>
        <v>TLPG TJ PERAK</v>
      </c>
      <c r="V45" s="17" t="str">
        <f>IFERROR(__xludf.DUMMYFUNCTION("""COMPUTED_VALUE"""),"PT RAMA MANGGALA GAS")</f>
        <v>PT RAMA MANGGALA GAS</v>
      </c>
      <c r="W45" s="17">
        <f>IFERROR(__xludf.DUMMYFUNCTION("""COMPUTED_VALUE"""),167.6)</f>
        <v>167.6</v>
      </c>
      <c r="X45" s="17" t="str">
        <f>IFERROR(__xludf.DUMMYFUNCTION("""COMPUTED_VALUE"""),"JAUH")</f>
        <v>JAUH</v>
      </c>
      <c r="Y45" s="17">
        <f>IFERROR(__xludf.DUMMYFUNCTION("""COMPUTED_VALUE"""),3.0)</f>
        <v>3</v>
      </c>
      <c r="Z45" s="17">
        <f>IFERROR(__xludf.DUMMYFUNCTION("""COMPUTED_VALUE"""),4.0)</f>
        <v>4</v>
      </c>
      <c r="AB45" s="48" t="str">
        <f>IFERROR(__xludf.DUMMYFUNCTION("""COMPUTED_VALUE"""),"PT BUANATAMA CAHAYA LESTARI")</f>
        <v>PT BUANATAMA CAHAYA LESTARI</v>
      </c>
      <c r="AC45" s="48" t="str">
        <f>IFERROR(__xludf.DUMMYFUNCTION("""COMPUTED_VALUE"""),"N 8673 UV")</f>
        <v>N 8673 UV</v>
      </c>
      <c r="AD45" s="48" t="str">
        <f>IFERROR(__xludf.DUMMYFUNCTION("""COMPUTED_VALUE"""),"TLPG TJ PERAK")</f>
        <v>TLPG TJ PERAK</v>
      </c>
      <c r="AE45" s="17">
        <f>IFERROR(__xludf.DUMMYFUNCTION("""COMPUTED_VALUE"""),8.0)</f>
        <v>8</v>
      </c>
    </row>
    <row r="46">
      <c r="A46" s="12">
        <v>44.0</v>
      </c>
      <c r="B46" s="9" t="s">
        <v>61</v>
      </c>
      <c r="C46" s="9" t="s">
        <v>28</v>
      </c>
      <c r="D46" s="9" t="s">
        <v>48</v>
      </c>
      <c r="E46" s="9"/>
      <c r="G46" s="9" t="str">
        <f>IFERROR(VLOOKUP(C46,'MASTER TLPG'!A:B,2,FALSE),"")</f>
        <v>-8.16862812274526, 114.38753900822569</v>
      </c>
      <c r="H46" s="9" t="str">
        <f>IFERROR(VLOOKUP(D46,'MASTER PERUSAHAAN'!A:B,2,FALSE),"")</f>
        <v/>
      </c>
      <c r="J46" s="9" t="str">
        <f t="shared" si="1"/>
        <v/>
      </c>
      <c r="K46" s="11" t="str">
        <f t="shared" si="2"/>
        <v/>
      </c>
      <c r="M46" s="17">
        <v>2.0</v>
      </c>
      <c r="N46" s="17"/>
      <c r="O46" s="17"/>
      <c r="P46" s="17"/>
      <c r="Q46" s="17"/>
      <c r="R46" s="17"/>
      <c r="S46" s="17"/>
      <c r="T46" s="17" t="str">
        <f>IFERROR(__xludf.DUMMYFUNCTION("""COMPUTED_VALUE"""),"AG 8818 UK")</f>
        <v>AG 8818 UK</v>
      </c>
      <c r="U46" s="17" t="str">
        <f>IFERROR(__xludf.DUMMYFUNCTION("""COMPUTED_VALUE"""),"TLPG TJ PERAK")</f>
        <v>TLPG TJ PERAK</v>
      </c>
      <c r="V46" s="17" t="str">
        <f>IFERROR(__xludf.DUMMYFUNCTION("""COMPUTED_VALUE"""),"PT RAMA MANGGALA GAS")</f>
        <v>PT RAMA MANGGALA GAS</v>
      </c>
      <c r="W46" s="17">
        <f>IFERROR(__xludf.DUMMYFUNCTION("""COMPUTED_VALUE"""),167.6)</f>
        <v>167.6</v>
      </c>
      <c r="X46" s="17" t="str">
        <f>IFERROR(__xludf.DUMMYFUNCTION("""COMPUTED_VALUE"""),"JAUH")</f>
        <v>JAUH</v>
      </c>
      <c r="Y46" s="17">
        <f>IFERROR(__xludf.DUMMYFUNCTION("""COMPUTED_VALUE"""),3.0)</f>
        <v>3</v>
      </c>
      <c r="Z46" s="17">
        <f>IFERROR(__xludf.DUMMYFUNCTION("""COMPUTED_VALUE"""),4.0)</f>
        <v>4</v>
      </c>
      <c r="AB46" s="48" t="str">
        <f>IFERROR(__xludf.DUMMYFUNCTION("""COMPUTED_VALUE"""),"PT BUANATAMA CAHAYA LESTARI")</f>
        <v>PT BUANATAMA CAHAYA LESTARI</v>
      </c>
      <c r="AC46" s="48" t="str">
        <f>IFERROR(__xludf.DUMMYFUNCTION("""COMPUTED_VALUE"""),"N 8674 UV")</f>
        <v>N 8674 UV</v>
      </c>
      <c r="AD46" s="48" t="str">
        <f>IFERROR(__xludf.DUMMYFUNCTION("""COMPUTED_VALUE"""),"TLPG TJ PERAK")</f>
        <v>TLPG TJ PERAK</v>
      </c>
      <c r="AE46" s="17">
        <f>IFERROR(__xludf.DUMMYFUNCTION("""COMPUTED_VALUE"""),8.0)</f>
        <v>8</v>
      </c>
    </row>
    <row r="47">
      <c r="A47" s="12">
        <v>45.0</v>
      </c>
      <c r="B47" s="9" t="s">
        <v>62</v>
      </c>
      <c r="C47" s="9" t="s">
        <v>25</v>
      </c>
      <c r="D47" s="9" t="s">
        <v>121</v>
      </c>
      <c r="E47" s="9"/>
      <c r="G47" s="9" t="str">
        <f>IFERROR(VLOOKUP(C47,'MASTER TLPG'!A:B,2,FALSE),"")</f>
        <v>-7.109201954744449, 112.62272164861744</v>
      </c>
      <c r="H47" s="9" t="str">
        <f>IFERROR(VLOOKUP(D47,'MASTER PERUSAHAAN'!A:B,2,FALSE),"")</f>
        <v/>
      </c>
      <c r="J47" s="9" t="str">
        <f t="shared" si="1"/>
        <v/>
      </c>
      <c r="K47" s="11" t="str">
        <f t="shared" si="2"/>
        <v/>
      </c>
      <c r="M47" s="17">
        <v>2.0</v>
      </c>
      <c r="N47" s="17"/>
      <c r="O47" s="17"/>
      <c r="P47" s="17"/>
      <c r="Q47" s="17"/>
      <c r="R47" s="17"/>
      <c r="S47" s="17"/>
      <c r="T47" s="17" t="str">
        <f>IFERROR(__xludf.DUMMYFUNCTION("""COMPUTED_VALUE"""),"N 9307 WD")</f>
        <v>N 9307 WD</v>
      </c>
      <c r="U47" s="17" t="str">
        <f>IFERROR(__xludf.DUMMYFUNCTION("""COMPUTED_VALUE"""),"TLPG TJ PERAK")</f>
        <v>TLPG TJ PERAK</v>
      </c>
      <c r="V47" s="17" t="str">
        <f>IFERROR(__xludf.DUMMYFUNCTION("""COMPUTED_VALUE"""),"PT TATA BERSAMA")</f>
        <v>PT TATA BERSAMA</v>
      </c>
      <c r="W47" s="17">
        <f>IFERROR(__xludf.DUMMYFUNCTION("""COMPUTED_VALUE"""),167.6)</f>
        <v>167.6</v>
      </c>
      <c r="X47" s="17" t="str">
        <f>IFERROR(__xludf.DUMMYFUNCTION("""COMPUTED_VALUE"""),"JAUH")</f>
        <v>JAUH</v>
      </c>
      <c r="Y47" s="17">
        <f>IFERROR(__xludf.DUMMYFUNCTION("""COMPUTED_VALUE"""),3.0)</f>
        <v>3</v>
      </c>
      <c r="Z47" s="17">
        <f>IFERROR(__xludf.DUMMYFUNCTION("""COMPUTED_VALUE"""),4.0)</f>
        <v>4</v>
      </c>
      <c r="AB47" s="48" t="str">
        <f>IFERROR(__xludf.DUMMYFUNCTION("""COMPUTED_VALUE"""),"PT BUMI GASINDO RAYA")</f>
        <v>PT BUMI GASINDO RAYA</v>
      </c>
      <c r="AC47" s="48" t="str">
        <f>IFERROR(__xludf.DUMMYFUNCTION("""COMPUTED_VALUE"""),"P 8087 GG")</f>
        <v>P 8087 GG</v>
      </c>
      <c r="AD47" s="48" t="str">
        <f>IFERROR(__xludf.DUMMYFUNCTION("""COMPUTED_VALUE"""),"TLPG TJ WANGI")</f>
        <v>TLPG TJ WANGI</v>
      </c>
      <c r="AE47" s="17">
        <f>IFERROR(__xludf.DUMMYFUNCTION("""COMPUTED_VALUE"""),7.0)</f>
        <v>7</v>
      </c>
    </row>
    <row r="48">
      <c r="A48" s="12">
        <v>46.0</v>
      </c>
      <c r="B48" s="9" t="s">
        <v>63</v>
      </c>
      <c r="C48" s="9" t="s">
        <v>25</v>
      </c>
      <c r="D48" s="9" t="s">
        <v>83</v>
      </c>
      <c r="E48" s="9"/>
      <c r="G48" s="9" t="str">
        <f>IFERROR(VLOOKUP(C48,'MASTER TLPG'!A:B,2,FALSE),"")</f>
        <v>-7.109201954744449, 112.62272164861744</v>
      </c>
      <c r="H48" s="9" t="str">
        <f>IFERROR(VLOOKUP(D48,'MASTER PERUSAHAAN'!A:B,2,FALSE),"")</f>
        <v/>
      </c>
      <c r="J48" s="9" t="str">
        <f t="shared" si="1"/>
        <v/>
      </c>
      <c r="K48" s="11" t="str">
        <f t="shared" si="2"/>
        <v/>
      </c>
      <c r="M48" s="17">
        <v>2.0</v>
      </c>
      <c r="N48" s="17"/>
      <c r="O48" s="17"/>
      <c r="P48" s="17"/>
      <c r="Q48" s="17"/>
      <c r="R48" s="17"/>
      <c r="S48" s="17"/>
      <c r="T48" s="17" t="str">
        <f>IFERROR(__xludf.DUMMYFUNCTION("""COMPUTED_VALUE"""),"AE 8527 UJ")</f>
        <v>AE 8527 UJ</v>
      </c>
      <c r="U48" s="17" t="str">
        <f>IFERROR(__xludf.DUMMYFUNCTION("""COMPUTED_VALUE"""),"TLPG TJ PERAK")</f>
        <v>TLPG TJ PERAK</v>
      </c>
      <c r="V48" s="17" t="str">
        <f>IFERROR(__xludf.DUMMYFUNCTION("""COMPUTED_VALUE"""),"PT RAMA MANGGALA GAS")</f>
        <v>PT RAMA MANGGALA GAS</v>
      </c>
      <c r="W48" s="17">
        <f>IFERROR(__xludf.DUMMYFUNCTION("""COMPUTED_VALUE"""),167.6)</f>
        <v>167.6</v>
      </c>
      <c r="X48" s="17" t="str">
        <f>IFERROR(__xludf.DUMMYFUNCTION("""COMPUTED_VALUE"""),"JAUH")</f>
        <v>JAUH</v>
      </c>
      <c r="Y48" s="17">
        <f>IFERROR(__xludf.DUMMYFUNCTION("""COMPUTED_VALUE"""),3.0)</f>
        <v>3</v>
      </c>
      <c r="Z48" s="17">
        <f>IFERROR(__xludf.DUMMYFUNCTION("""COMPUTED_VALUE"""),5.0)</f>
        <v>5</v>
      </c>
      <c r="AB48" s="48" t="str">
        <f>IFERROR(__xludf.DUMMYFUNCTION("""COMPUTED_VALUE"""),"PT BUMI GASINDO RAYA")</f>
        <v>PT BUMI GASINDO RAYA</v>
      </c>
      <c r="AC48" s="48" t="str">
        <f>IFERROR(__xludf.DUMMYFUNCTION("""COMPUTED_VALUE"""),"P 8427 UG")</f>
        <v>P 8427 UG</v>
      </c>
      <c r="AD48" s="48" t="str">
        <f>IFERROR(__xludf.DUMMYFUNCTION("""COMPUTED_VALUE"""),"TLPG TJ WANGI")</f>
        <v>TLPG TJ WANGI</v>
      </c>
      <c r="AE48" s="17">
        <f>IFERROR(__xludf.DUMMYFUNCTION("""COMPUTED_VALUE"""),9.0)</f>
        <v>9</v>
      </c>
    </row>
    <row r="49">
      <c r="A49" s="12">
        <v>47.0</v>
      </c>
      <c r="B49" s="9" t="s">
        <v>64</v>
      </c>
      <c r="C49" s="9" t="s">
        <v>32</v>
      </c>
      <c r="D49" s="9" t="s">
        <v>339</v>
      </c>
      <c r="E49" s="49">
        <v>102.0</v>
      </c>
      <c r="F49" s="23" t="s">
        <v>454</v>
      </c>
      <c r="G49" s="9" t="str">
        <f>IFERROR(VLOOKUP(C49,'MASTER TLPG'!A:B,2,FALSE),"")</f>
        <v>-8.509457097470957, 115.50344705076587</v>
      </c>
      <c r="H49" s="9" t="str">
        <f>IFERROR(VLOOKUP(D49,'MASTER PERUSAHAAN'!A:B,2,FALSE),"")</f>
        <v>-8.09053607810492, 115.17681684154483</v>
      </c>
      <c r="J49" s="9" t="str">
        <f t="shared" si="1"/>
        <v>SEDANG</v>
      </c>
      <c r="K49" s="11">
        <f t="shared" si="2"/>
        <v>2</v>
      </c>
      <c r="M49" s="17">
        <v>2.0</v>
      </c>
      <c r="N49" s="17"/>
      <c r="O49" s="17"/>
      <c r="P49" s="17"/>
      <c r="Q49" s="17"/>
      <c r="R49" s="17"/>
      <c r="S49" s="17"/>
      <c r="T49" s="17" t="str">
        <f>IFERROR(__xludf.DUMMYFUNCTION("""COMPUTED_VALUE"""),"AG 8913 UK")</f>
        <v>AG 8913 UK</v>
      </c>
      <c r="U49" s="17" t="str">
        <f>IFERROR(__xludf.DUMMYFUNCTION("""COMPUTED_VALUE"""),"TLPG TJ PERAK")</f>
        <v>TLPG TJ PERAK</v>
      </c>
      <c r="V49" s="17" t="str">
        <f>IFERROR(__xludf.DUMMYFUNCTION("""COMPUTED_VALUE"""),"PT RACHMASARI BRASS INDONESIA")</f>
        <v>PT RACHMASARI BRASS INDONESIA</v>
      </c>
      <c r="W49" s="17">
        <f>IFERROR(__xludf.DUMMYFUNCTION("""COMPUTED_VALUE"""),167.6)</f>
        <v>167.6</v>
      </c>
      <c r="X49" s="17" t="str">
        <f>IFERROR(__xludf.DUMMYFUNCTION("""COMPUTED_VALUE"""),"JAUH")</f>
        <v>JAUH</v>
      </c>
      <c r="Y49" s="17">
        <f>IFERROR(__xludf.DUMMYFUNCTION("""COMPUTED_VALUE"""),3.0)</f>
        <v>3</v>
      </c>
      <c r="Z49" s="17">
        <f>IFERROR(__xludf.DUMMYFUNCTION("""COMPUTED_VALUE"""),9.0)</f>
        <v>9</v>
      </c>
      <c r="AB49" s="48" t="str">
        <f>IFERROR(__xludf.DUMMYFUNCTION("""COMPUTED_VALUE"""),"PT CAHAYA ANUGERAH GASINDO")</f>
        <v>PT CAHAYA ANUGERAH GASINDO</v>
      </c>
      <c r="AC49" s="48" t="str">
        <f>IFERROR(__xludf.DUMMYFUNCTION("""COMPUTED_VALUE"""),"L 8035 BL")</f>
        <v>L 8035 BL</v>
      </c>
      <c r="AD49" s="48" t="str">
        <f>IFERROR(__xludf.DUMMYFUNCTION("""COMPUTED_VALUE"""),"TLPG TJ PERAK")</f>
        <v>TLPG TJ PERAK</v>
      </c>
      <c r="AE49" s="17">
        <f>IFERROR(__xludf.DUMMYFUNCTION("""COMPUTED_VALUE"""),5.0)</f>
        <v>5</v>
      </c>
    </row>
    <row r="50">
      <c r="A50" s="12">
        <v>48.0</v>
      </c>
      <c r="B50" s="9" t="s">
        <v>65</v>
      </c>
      <c r="C50" s="9" t="s">
        <v>32</v>
      </c>
      <c r="D50" s="9" t="s">
        <v>321</v>
      </c>
      <c r="E50" s="49">
        <v>110.1</v>
      </c>
      <c r="F50" s="23" t="s">
        <v>454</v>
      </c>
      <c r="G50" s="9" t="str">
        <f>IFERROR(VLOOKUP(C50,'MASTER TLPG'!A:B,2,FALSE),"")</f>
        <v>-8.509457097470957, 115.50344705076587</v>
      </c>
      <c r="H50" s="9" t="str">
        <f>IFERROR(VLOOKUP(D50,'MASTER PERUSAHAAN'!A:B,2,FALSE),"")</f>
        <v>-8.176693652789284, 115.00358837055657</v>
      </c>
      <c r="J50" s="9" t="str">
        <f t="shared" si="1"/>
        <v>SEDANG</v>
      </c>
      <c r="K50" s="11">
        <f t="shared" si="2"/>
        <v>2</v>
      </c>
      <c r="M50" s="17">
        <v>2.0</v>
      </c>
      <c r="N50" s="17"/>
      <c r="O50" s="17"/>
      <c r="P50" s="17"/>
      <c r="Q50" s="17"/>
      <c r="R50" s="17"/>
      <c r="S50" s="17"/>
      <c r="T50" s="17" t="str">
        <f>IFERROR(__xludf.DUMMYFUNCTION("""COMPUTED_VALUE"""),"AG 8817 UT")</f>
        <v>AG 8817 UT</v>
      </c>
      <c r="U50" s="17" t="str">
        <f>IFERROR(__xludf.DUMMYFUNCTION("""COMPUTED_VALUE"""),"TLPG TJ PERAK")</f>
        <v>TLPG TJ PERAK</v>
      </c>
      <c r="V50" s="17" t="str">
        <f>IFERROR(__xludf.DUMMYFUNCTION("""COMPUTED_VALUE"""),"PT GANGSAR SENTOSA PETROLIUM")</f>
        <v>PT GANGSAR SENTOSA PETROLIUM</v>
      </c>
      <c r="W50" s="17">
        <f>IFERROR(__xludf.DUMMYFUNCTION("""COMPUTED_VALUE"""),167.1)</f>
        <v>167.1</v>
      </c>
      <c r="X50" s="17" t="str">
        <f>IFERROR(__xludf.DUMMYFUNCTION("""COMPUTED_VALUE"""),"JAUH")</f>
        <v>JAUH</v>
      </c>
      <c r="Y50" s="17">
        <f>IFERROR(__xludf.DUMMYFUNCTION("""COMPUTED_VALUE"""),3.0)</f>
        <v>3</v>
      </c>
      <c r="Z50" s="17">
        <f>IFERROR(__xludf.DUMMYFUNCTION("""COMPUTED_VALUE"""),4.0)</f>
        <v>4</v>
      </c>
      <c r="AB50" s="48" t="str">
        <f>IFERROR(__xludf.DUMMYFUNCTION("""COMPUTED_VALUE"""),"PT CAHAYA ASTIKA DHARMA")</f>
        <v>PT CAHAYA ASTIKA DHARMA</v>
      </c>
      <c r="AC50" s="48" t="str">
        <f>IFERROR(__xludf.DUMMYFUNCTION("""COMPUTED_VALUE"""),"DK 8636 BE")</f>
        <v>DK 8636 BE</v>
      </c>
      <c r="AD50" s="48" t="str">
        <f>IFERROR(__xludf.DUMMYFUNCTION("""COMPUTED_VALUE"""),"TLPG MANGGIS")</f>
        <v>TLPG MANGGIS</v>
      </c>
      <c r="AE50" s="17">
        <f>IFERROR(__xludf.DUMMYFUNCTION("""COMPUTED_VALUE"""),12.0)</f>
        <v>12</v>
      </c>
    </row>
    <row r="51">
      <c r="A51" s="12">
        <v>49.0</v>
      </c>
      <c r="B51" s="9" t="s">
        <v>66</v>
      </c>
      <c r="C51" s="9" t="s">
        <v>32</v>
      </c>
      <c r="D51" s="9" t="s">
        <v>339</v>
      </c>
      <c r="E51" s="49">
        <v>102.0</v>
      </c>
      <c r="F51" s="23" t="s">
        <v>454</v>
      </c>
      <c r="G51" s="9" t="str">
        <f>IFERROR(VLOOKUP(C51,'MASTER TLPG'!A:B,2,FALSE),"")</f>
        <v>-8.509457097470957, 115.50344705076587</v>
      </c>
      <c r="H51" s="9" t="str">
        <f>IFERROR(VLOOKUP(D51,'MASTER PERUSAHAAN'!A:B,2,FALSE),"")</f>
        <v>-8.09053607810492, 115.17681684154483</v>
      </c>
      <c r="J51" s="9" t="str">
        <f t="shared" si="1"/>
        <v>SEDANG</v>
      </c>
      <c r="K51" s="11">
        <f t="shared" si="2"/>
        <v>2</v>
      </c>
      <c r="M51" s="17">
        <v>2.0</v>
      </c>
      <c r="N51" s="17"/>
      <c r="O51" s="17"/>
      <c r="P51" s="17"/>
      <c r="Q51" s="17"/>
      <c r="R51" s="17"/>
      <c r="S51" s="17"/>
      <c r="T51" s="17" t="str">
        <f>IFERROR(__xludf.DUMMYFUNCTION("""COMPUTED_VALUE"""),"AG 8818 UT")</f>
        <v>AG 8818 UT</v>
      </c>
      <c r="U51" s="17" t="str">
        <f>IFERROR(__xludf.DUMMYFUNCTION("""COMPUTED_VALUE"""),"TLPG TJ PERAK")</f>
        <v>TLPG TJ PERAK</v>
      </c>
      <c r="V51" s="17" t="str">
        <f>IFERROR(__xludf.DUMMYFUNCTION("""COMPUTED_VALUE"""),"PT GANGSAR SENTOSA PETROLIUM")</f>
        <v>PT GANGSAR SENTOSA PETROLIUM</v>
      </c>
      <c r="W51" s="17">
        <f>IFERROR(__xludf.DUMMYFUNCTION("""COMPUTED_VALUE"""),167.1)</f>
        <v>167.1</v>
      </c>
      <c r="X51" s="17" t="str">
        <f>IFERROR(__xludf.DUMMYFUNCTION("""COMPUTED_VALUE"""),"JAUH")</f>
        <v>JAUH</v>
      </c>
      <c r="Y51" s="17">
        <f>IFERROR(__xludf.DUMMYFUNCTION("""COMPUTED_VALUE"""),3.0)</f>
        <v>3</v>
      </c>
      <c r="Z51" s="17">
        <f>IFERROR(__xludf.DUMMYFUNCTION("""COMPUTED_VALUE"""),4.0)</f>
        <v>4</v>
      </c>
      <c r="AB51" s="48" t="str">
        <f>IFERROR(__xludf.DUMMYFUNCTION("""COMPUTED_VALUE"""),"PT CAHAYA NEGERI")</f>
        <v>PT CAHAYA NEGERI</v>
      </c>
      <c r="AC51" s="48" t="str">
        <f>IFERROR(__xludf.DUMMYFUNCTION("""COMPUTED_VALUE"""),"S 8672 UC")</f>
        <v>S 8672 UC</v>
      </c>
      <c r="AD51" s="48" t="str">
        <f>IFERROR(__xludf.DUMMYFUNCTION("""COMPUTED_VALUE"""),"TLPG TJ PERAK")</f>
        <v>TLPG TJ PERAK</v>
      </c>
      <c r="AE51" s="17">
        <f>IFERROR(__xludf.DUMMYFUNCTION("""COMPUTED_VALUE"""),11.0)</f>
        <v>11</v>
      </c>
    </row>
    <row r="52">
      <c r="A52" s="12">
        <v>50.0</v>
      </c>
      <c r="B52" s="9" t="s">
        <v>67</v>
      </c>
      <c r="C52" s="9" t="s">
        <v>32</v>
      </c>
      <c r="D52" s="9" t="s">
        <v>313</v>
      </c>
      <c r="E52" s="49">
        <v>3.0</v>
      </c>
      <c r="F52" s="23" t="s">
        <v>454</v>
      </c>
      <c r="G52" s="9" t="str">
        <f>IFERROR(VLOOKUP(C52,'MASTER TLPG'!A:B,2,FALSE),"")</f>
        <v>-8.509457097470957, 115.50344705076587</v>
      </c>
      <c r="H52" s="9" t="str">
        <f>IFERROR(VLOOKUP(D52,'MASTER PERUSAHAAN'!A:B,2,FALSE),"")</f>
        <v>-8.084457637552449, 111.96056645007089</v>
      </c>
      <c r="J52" s="9" t="str">
        <f t="shared" si="1"/>
        <v>DEKAT</v>
      </c>
      <c r="K52" s="11">
        <f t="shared" si="2"/>
        <v>1</v>
      </c>
      <c r="M52" s="17">
        <v>2.0</v>
      </c>
      <c r="N52" s="17"/>
      <c r="O52" s="17"/>
      <c r="P52" s="17"/>
      <c r="Q52" s="17"/>
      <c r="R52" s="17"/>
      <c r="S52" s="17"/>
      <c r="T52" s="17" t="str">
        <f>IFERROR(__xludf.DUMMYFUNCTION("""COMPUTED_VALUE"""),"AE 8858 UT")</f>
        <v>AE 8858 UT</v>
      </c>
      <c r="U52" s="17" t="str">
        <f>IFERROR(__xludf.DUMMYFUNCTION("""COMPUTED_VALUE"""),"TLPG TJ PERAK")</f>
        <v>TLPG TJ PERAK</v>
      </c>
      <c r="V52" s="17" t="str">
        <f>IFERROR(__xludf.DUMMYFUNCTION("""COMPUTED_VALUE"""),"PT GANGSAR SENTOSA PETROLIUM")</f>
        <v>PT GANGSAR SENTOSA PETROLIUM</v>
      </c>
      <c r="W52" s="17">
        <f>IFERROR(__xludf.DUMMYFUNCTION("""COMPUTED_VALUE"""),167.1)</f>
        <v>167.1</v>
      </c>
      <c r="X52" s="17" t="str">
        <f>IFERROR(__xludf.DUMMYFUNCTION("""COMPUTED_VALUE"""),"JAUH")</f>
        <v>JAUH</v>
      </c>
      <c r="Y52" s="17">
        <f>IFERROR(__xludf.DUMMYFUNCTION("""COMPUTED_VALUE"""),3.0)</f>
        <v>3</v>
      </c>
      <c r="Z52" s="17">
        <f>IFERROR(__xludf.DUMMYFUNCTION("""COMPUTED_VALUE"""),5.0)</f>
        <v>5</v>
      </c>
      <c r="AB52" s="48" t="str">
        <f>IFERROR(__xludf.DUMMYFUNCTION("""COMPUTED_VALUE"""),"PT CATUR MITRA LAMONGAN PRIMA GAS")</f>
        <v>PT CATUR MITRA LAMONGAN PRIMA GAS</v>
      </c>
      <c r="AC52" s="48" t="str">
        <f>IFERROR(__xludf.DUMMYFUNCTION("""COMPUTED_VALUE"""),"S 9611 UJ")</f>
        <v>S 9611 UJ</v>
      </c>
      <c r="AD52" s="48" t="str">
        <f>IFERROR(__xludf.DUMMYFUNCTION("""COMPUTED_VALUE"""),"TLPG TJ PERAK")</f>
        <v>TLPG TJ PERAK</v>
      </c>
      <c r="AE52" s="17">
        <f>IFERROR(__xludf.DUMMYFUNCTION("""COMPUTED_VALUE"""),12.0)</f>
        <v>12</v>
      </c>
    </row>
    <row r="53">
      <c r="A53" s="12">
        <v>51.0</v>
      </c>
      <c r="B53" s="9" t="s">
        <v>68</v>
      </c>
      <c r="C53" s="9" t="s">
        <v>7</v>
      </c>
      <c r="D53" s="9" t="s">
        <v>327</v>
      </c>
      <c r="E53" s="49">
        <v>168.5</v>
      </c>
      <c r="F53" s="23" t="s">
        <v>454</v>
      </c>
      <c r="G53" s="9" t="str">
        <f>IFERROR(VLOOKUP(C53,'MASTER TLPG'!A:B,2,FALSE),"")</f>
        <v>-7.203807110524606, 112.71950675497641</v>
      </c>
      <c r="H53" s="9" t="str">
        <f>IFERROR(VLOOKUP(D53,'MASTER PERUSAHAAN'!A:B,2,FALSE),"")</f>
        <v>-8.076189393787326, 112.23016212268685</v>
      </c>
      <c r="J53" s="9" t="str">
        <f t="shared" si="1"/>
        <v>JAUH</v>
      </c>
      <c r="K53" s="11">
        <f t="shared" si="2"/>
        <v>3</v>
      </c>
      <c r="M53" s="17">
        <v>2.0</v>
      </c>
      <c r="N53" s="17"/>
      <c r="O53" s="17"/>
      <c r="P53" s="17"/>
      <c r="Q53" s="17"/>
      <c r="R53" s="17"/>
      <c r="S53" s="17"/>
      <c r="T53" s="17" t="str">
        <f>IFERROR(__xludf.DUMMYFUNCTION("""COMPUTED_VALUE"""),"AG 9153 UR")</f>
        <v>AG 9153 UR</v>
      </c>
      <c r="U53" s="17" t="str">
        <f>IFERROR(__xludf.DUMMYFUNCTION("""COMPUTED_VALUE"""),"TLPG TJ PERAK")</f>
        <v>TLPG TJ PERAK</v>
      </c>
      <c r="V53" s="17" t="str">
        <f>IFERROR(__xludf.DUMMYFUNCTION("""COMPUTED_VALUE"""),"PT GANGSAR SENTOSA PETROLIUM")</f>
        <v>PT GANGSAR SENTOSA PETROLIUM</v>
      </c>
      <c r="W53" s="17">
        <f>IFERROR(__xludf.DUMMYFUNCTION("""COMPUTED_VALUE"""),167.1)</f>
        <v>167.1</v>
      </c>
      <c r="X53" s="17" t="str">
        <f>IFERROR(__xludf.DUMMYFUNCTION("""COMPUTED_VALUE"""),"JAUH")</f>
        <v>JAUH</v>
      </c>
      <c r="Y53" s="17">
        <f>IFERROR(__xludf.DUMMYFUNCTION("""COMPUTED_VALUE"""),3.0)</f>
        <v>3</v>
      </c>
      <c r="Z53" s="17">
        <f>IFERROR(__xludf.DUMMYFUNCTION("""COMPUTED_VALUE"""),5.0)</f>
        <v>5</v>
      </c>
      <c r="AB53" s="48" t="str">
        <f>IFERROR(__xludf.DUMMYFUNCTION("""COMPUTED_VALUE"""),"PT CATUR MITRA LAMONGAN PRIMA GAS")</f>
        <v>PT CATUR MITRA LAMONGAN PRIMA GAS</v>
      </c>
      <c r="AC53" s="48" t="str">
        <f>IFERROR(__xludf.DUMMYFUNCTION("""COMPUTED_VALUE"""),"S 9614 UJ")</f>
        <v>S 9614 UJ</v>
      </c>
      <c r="AD53" s="48" t="str">
        <f>IFERROR(__xludf.DUMMYFUNCTION("""COMPUTED_VALUE"""),"TLPG TJ PERAK")</f>
        <v>TLPG TJ PERAK</v>
      </c>
      <c r="AE53" s="17">
        <f>IFERROR(__xludf.DUMMYFUNCTION("""COMPUTED_VALUE"""),12.0)</f>
        <v>12</v>
      </c>
    </row>
    <row r="54">
      <c r="A54" s="12">
        <v>52.0</v>
      </c>
      <c r="B54" s="9" t="s">
        <v>69</v>
      </c>
      <c r="C54" s="9" t="s">
        <v>28</v>
      </c>
      <c r="D54" s="9" t="s">
        <v>184</v>
      </c>
      <c r="E54" s="9"/>
      <c r="G54" s="9" t="str">
        <f>IFERROR(VLOOKUP(C54,'MASTER TLPG'!A:B,2,FALSE),"")</f>
        <v>-8.16862812274526, 114.38753900822569</v>
      </c>
      <c r="H54" s="9" t="str">
        <f>IFERROR(VLOOKUP(D54,'MASTER PERUSAHAAN'!A:B,2,FALSE),"")</f>
        <v/>
      </c>
      <c r="J54" s="9" t="str">
        <f t="shared" si="1"/>
        <v/>
      </c>
      <c r="K54" s="11" t="str">
        <f t="shared" si="2"/>
        <v/>
      </c>
      <c r="M54" s="17">
        <v>2.0</v>
      </c>
      <c r="N54" s="17"/>
      <c r="O54" s="17"/>
      <c r="P54" s="17"/>
      <c r="Q54" s="17"/>
      <c r="R54" s="17"/>
      <c r="S54" s="17"/>
      <c r="T54" s="17" t="str">
        <f>IFERROR(__xludf.DUMMYFUNCTION("""COMPUTED_VALUE"""),"AE 8018 UG")</f>
        <v>AE 8018 UG</v>
      </c>
      <c r="U54" s="17" t="str">
        <f>IFERROR(__xludf.DUMMYFUNCTION("""COMPUTED_VALUE"""),"TLPG TJ PERAK")</f>
        <v>TLPG TJ PERAK</v>
      </c>
      <c r="V54" s="17" t="str">
        <f>IFERROR(__xludf.DUMMYFUNCTION("""COMPUTED_VALUE"""),"PT MADIUNI ELPIJI")</f>
        <v>PT MADIUNI ELPIJI</v>
      </c>
      <c r="W54" s="17">
        <f>IFERROR(__xludf.DUMMYFUNCTION("""COMPUTED_VALUE"""),163.5)</f>
        <v>163.5</v>
      </c>
      <c r="X54" s="17" t="str">
        <f>IFERROR(__xludf.DUMMYFUNCTION("""COMPUTED_VALUE"""),"JAUH")</f>
        <v>JAUH</v>
      </c>
      <c r="Y54" s="17">
        <f>IFERROR(__xludf.DUMMYFUNCTION("""COMPUTED_VALUE"""),3.0)</f>
        <v>3</v>
      </c>
      <c r="Z54" s="17">
        <f>IFERROR(__xludf.DUMMYFUNCTION("""COMPUTED_VALUE"""),1.0)</f>
        <v>1</v>
      </c>
      <c r="AB54" s="48" t="str">
        <f>IFERROR(__xludf.DUMMYFUNCTION("""COMPUTED_VALUE"""),"PT DHARMA TECH INFOMEDIA")</f>
        <v>PT DHARMA TECH INFOMEDIA</v>
      </c>
      <c r="AC54" s="48" t="str">
        <f>IFERROR(__xludf.DUMMYFUNCTION("""COMPUTED_VALUE"""),"L 8063 BL")</f>
        <v>L 8063 BL</v>
      </c>
      <c r="AD54" s="48" t="str">
        <f>IFERROR(__xludf.DUMMYFUNCTION("""COMPUTED_VALUE"""),"TLPG TJ PERAK")</f>
        <v>TLPG TJ PERAK</v>
      </c>
      <c r="AE54" s="17">
        <f>IFERROR(__xludf.DUMMYFUNCTION("""COMPUTED_VALUE"""),5.0)</f>
        <v>5</v>
      </c>
    </row>
    <row r="55">
      <c r="A55" s="12">
        <v>53.0</v>
      </c>
      <c r="B55" s="9" t="s">
        <v>71</v>
      </c>
      <c r="C55" s="9" t="s">
        <v>7</v>
      </c>
      <c r="D55" s="9" t="s">
        <v>273</v>
      </c>
      <c r="E55" s="49">
        <v>173.6</v>
      </c>
      <c r="F55" s="23" t="s">
        <v>454</v>
      </c>
      <c r="G55" s="9" t="str">
        <f>IFERROR(VLOOKUP(C55,'MASTER TLPG'!A:B,2,FALSE),"")</f>
        <v>-7.203807110524606, 112.71950675497641</v>
      </c>
      <c r="H55" s="9" t="str">
        <f>IFERROR(VLOOKUP(D55,'MASTER PERUSAHAAN'!A:B,2,FALSE),"")</f>
        <v>-7.910804213977124, 112.6211504585962</v>
      </c>
      <c r="J55" s="9" t="str">
        <f t="shared" si="1"/>
        <v>JAUH</v>
      </c>
      <c r="K55" s="11">
        <f t="shared" si="2"/>
        <v>3</v>
      </c>
      <c r="M55" s="17">
        <v>2.0</v>
      </c>
      <c r="N55" s="17"/>
      <c r="O55" s="17"/>
      <c r="P55" s="17"/>
      <c r="Q55" s="17"/>
      <c r="R55" s="17"/>
      <c r="S55" s="17"/>
      <c r="T55" s="17" t="str">
        <f>IFERROR(__xludf.DUMMYFUNCTION("""COMPUTED_VALUE"""),"AE 8175 UC")</f>
        <v>AE 8175 UC</v>
      </c>
      <c r="U55" s="17" t="str">
        <f>IFERROR(__xludf.DUMMYFUNCTION("""COMPUTED_VALUE"""),"TLPG TJ PERAK")</f>
        <v>TLPG TJ PERAK</v>
      </c>
      <c r="V55" s="17" t="str">
        <f>IFERROR(__xludf.DUMMYFUNCTION("""COMPUTED_VALUE"""),"PT MADIUNI ELPIJI")</f>
        <v>PT MADIUNI ELPIJI</v>
      </c>
      <c r="W55" s="17">
        <f>IFERROR(__xludf.DUMMYFUNCTION("""COMPUTED_VALUE"""),163.5)</f>
        <v>163.5</v>
      </c>
      <c r="X55" s="17" t="str">
        <f>IFERROR(__xludf.DUMMYFUNCTION("""COMPUTED_VALUE"""),"JAUH")</f>
        <v>JAUH</v>
      </c>
      <c r="Y55" s="17">
        <f>IFERROR(__xludf.DUMMYFUNCTION("""COMPUTED_VALUE"""),3.0)</f>
        <v>3</v>
      </c>
      <c r="Z55" s="17">
        <f>IFERROR(__xludf.DUMMYFUNCTION("""COMPUTED_VALUE"""),1.0)</f>
        <v>1</v>
      </c>
      <c r="AB55" s="48" t="str">
        <f>IFERROR(__xludf.DUMMYFUNCTION("""COMPUTED_VALUE"""),"PT DHARMA TECH INFOMEDIA")</f>
        <v>PT DHARMA TECH INFOMEDIA</v>
      </c>
      <c r="AC55" s="48" t="str">
        <f>IFERROR(__xludf.DUMMYFUNCTION("""COMPUTED_VALUE"""),"L 9822 UE")</f>
        <v>L 9822 UE</v>
      </c>
      <c r="AD55" s="48" t="str">
        <f>IFERROR(__xludf.DUMMYFUNCTION("""COMPUTED_VALUE"""),"TLPG TJ PERAK")</f>
        <v>TLPG TJ PERAK</v>
      </c>
      <c r="AE55" s="17">
        <f>IFERROR(__xludf.DUMMYFUNCTION("""COMPUTED_VALUE"""),6.0)</f>
        <v>6</v>
      </c>
    </row>
    <row r="56">
      <c r="A56" s="12">
        <v>54.0</v>
      </c>
      <c r="B56" s="9" t="s">
        <v>72</v>
      </c>
      <c r="C56" s="9" t="s">
        <v>7</v>
      </c>
      <c r="D56" s="9" t="s">
        <v>475</v>
      </c>
      <c r="E56" s="49">
        <v>112.0</v>
      </c>
      <c r="F56" s="23" t="s">
        <v>454</v>
      </c>
      <c r="G56" s="9" t="str">
        <f>IFERROR(VLOOKUP(C56,'MASTER TLPG'!A:B,2,FALSE),"")</f>
        <v>-7.203807110524606, 112.71950675497641</v>
      </c>
      <c r="H56" s="9" t="str">
        <f>IFERROR(VLOOKUP(D56,'MASTER PERUSAHAAN'!A:B,2,FALSE),"")</f>
        <v>-7.759043461569343, 113.19244280481355</v>
      </c>
      <c r="J56" s="9" t="str">
        <f t="shared" si="1"/>
        <v>SEDANG</v>
      </c>
      <c r="K56" s="11">
        <f t="shared" si="2"/>
        <v>2</v>
      </c>
      <c r="M56" s="17">
        <v>2.0</v>
      </c>
      <c r="N56" s="17"/>
      <c r="O56" s="17"/>
      <c r="P56" s="17"/>
      <c r="Q56" s="17"/>
      <c r="R56" s="17"/>
      <c r="S56" s="17"/>
      <c r="T56" s="17" t="str">
        <f>IFERROR(__xludf.DUMMYFUNCTION("""COMPUTED_VALUE"""),"AE 8458 UF")</f>
        <v>AE 8458 UF</v>
      </c>
      <c r="U56" s="17" t="str">
        <f>IFERROR(__xludf.DUMMYFUNCTION("""COMPUTED_VALUE"""),"TLPG TJ PERAK")</f>
        <v>TLPG TJ PERAK</v>
      </c>
      <c r="V56" s="17" t="str">
        <f>IFERROR(__xludf.DUMMYFUNCTION("""COMPUTED_VALUE"""),"PT MADIUNI ELPIJI")</f>
        <v>PT MADIUNI ELPIJI</v>
      </c>
      <c r="W56" s="17">
        <f>IFERROR(__xludf.DUMMYFUNCTION("""COMPUTED_VALUE"""),163.5)</f>
        <v>163.5</v>
      </c>
      <c r="X56" s="17" t="str">
        <f>IFERROR(__xludf.DUMMYFUNCTION("""COMPUTED_VALUE"""),"JAUH")</f>
        <v>JAUH</v>
      </c>
      <c r="Y56" s="17">
        <f>IFERROR(__xludf.DUMMYFUNCTION("""COMPUTED_VALUE"""),3.0)</f>
        <v>3</v>
      </c>
      <c r="Z56" s="17">
        <f>IFERROR(__xludf.DUMMYFUNCTION("""COMPUTED_VALUE"""),1.0)</f>
        <v>1</v>
      </c>
      <c r="AB56" s="48" t="str">
        <f>IFERROR(__xludf.DUMMYFUNCTION("""COMPUTED_VALUE"""),"PT DIAN EL HADA")</f>
        <v>PT DIAN EL HADA</v>
      </c>
      <c r="AC56" s="48" t="str">
        <f>IFERROR(__xludf.DUMMYFUNCTION("""COMPUTED_VALUE"""),"AG 8079 UZ")</f>
        <v>AG 8079 UZ</v>
      </c>
      <c r="AD56" s="48" t="str">
        <f>IFERROR(__xludf.DUMMYFUNCTION("""COMPUTED_VALUE"""),"TLPG TJ PERAK")</f>
        <v>TLPG TJ PERAK</v>
      </c>
      <c r="AE56" s="17">
        <f>IFERROR(__xludf.DUMMYFUNCTION("""COMPUTED_VALUE"""),3.0)</f>
        <v>3</v>
      </c>
    </row>
    <row r="57">
      <c r="A57" s="12">
        <v>55.0</v>
      </c>
      <c r="B57" s="9" t="s">
        <v>73</v>
      </c>
      <c r="C57" s="9" t="s">
        <v>7</v>
      </c>
      <c r="D57" s="9" t="s">
        <v>341</v>
      </c>
      <c r="E57" s="49">
        <v>126.9</v>
      </c>
      <c r="F57" s="23" t="s">
        <v>454</v>
      </c>
      <c r="G57" s="9" t="str">
        <f>IFERROR(VLOOKUP(C57,'MASTER TLPG'!A:B,2,FALSE),"")</f>
        <v>-7.203807110524606, 112.71950675497641</v>
      </c>
      <c r="H57" s="9" t="str">
        <f>IFERROR(VLOOKUP(D57,'MASTER PERUSAHAAN'!A:B,2,FALSE),"")</f>
        <v>-7.63067321932769, 111.90547004884161</v>
      </c>
      <c r="J57" s="9" t="str">
        <f t="shared" si="1"/>
        <v>SEDANG</v>
      </c>
      <c r="K57" s="11">
        <f t="shared" si="2"/>
        <v>2</v>
      </c>
      <c r="M57" s="17">
        <v>2.0</v>
      </c>
      <c r="N57" s="17"/>
      <c r="O57" s="17"/>
      <c r="P57" s="17"/>
      <c r="Q57" s="17"/>
      <c r="R57" s="17"/>
      <c r="S57" s="17"/>
      <c r="T57" s="17" t="str">
        <f>IFERROR(__xludf.DUMMYFUNCTION("""COMPUTED_VALUE"""),"AE 8459 UF")</f>
        <v>AE 8459 UF</v>
      </c>
      <c r="U57" s="17" t="str">
        <f>IFERROR(__xludf.DUMMYFUNCTION("""COMPUTED_VALUE"""),"TLPG TJ PERAK")</f>
        <v>TLPG TJ PERAK</v>
      </c>
      <c r="V57" s="17" t="str">
        <f>IFERROR(__xludf.DUMMYFUNCTION("""COMPUTED_VALUE"""),"PT MADIUNI ELPIJI")</f>
        <v>PT MADIUNI ELPIJI</v>
      </c>
      <c r="W57" s="17">
        <f>IFERROR(__xludf.DUMMYFUNCTION("""COMPUTED_VALUE"""),163.5)</f>
        <v>163.5</v>
      </c>
      <c r="X57" s="17" t="str">
        <f>IFERROR(__xludf.DUMMYFUNCTION("""COMPUTED_VALUE"""),"JAUH")</f>
        <v>JAUH</v>
      </c>
      <c r="Y57" s="17">
        <f>IFERROR(__xludf.DUMMYFUNCTION("""COMPUTED_VALUE"""),3.0)</f>
        <v>3</v>
      </c>
      <c r="Z57" s="17">
        <f>IFERROR(__xludf.DUMMYFUNCTION("""COMPUTED_VALUE"""),1.0)</f>
        <v>1</v>
      </c>
      <c r="AB57" s="48" t="str">
        <f>IFERROR(__xludf.DUMMYFUNCTION("""COMPUTED_VALUE"""),"PT DIAN EL HADA")</f>
        <v>PT DIAN EL HADA</v>
      </c>
      <c r="AC57" s="48" t="str">
        <f>IFERROR(__xludf.DUMMYFUNCTION("""COMPUTED_VALUE"""),"AG 8654 UZ")</f>
        <v>AG 8654 UZ</v>
      </c>
      <c r="AD57" s="48" t="str">
        <f>IFERROR(__xludf.DUMMYFUNCTION("""COMPUTED_VALUE"""),"TLPG TJ PERAK")</f>
        <v>TLPG TJ PERAK</v>
      </c>
      <c r="AE57" s="17">
        <f>IFERROR(__xludf.DUMMYFUNCTION("""COMPUTED_VALUE"""),4.0)</f>
        <v>4</v>
      </c>
    </row>
    <row r="58">
      <c r="A58" s="12">
        <v>56.0</v>
      </c>
      <c r="B58" s="9" t="s">
        <v>74</v>
      </c>
      <c r="C58" s="9" t="s">
        <v>28</v>
      </c>
      <c r="D58" s="9" t="s">
        <v>184</v>
      </c>
      <c r="E58" s="9"/>
      <c r="G58" s="9" t="str">
        <f>IFERROR(VLOOKUP(C58,'MASTER TLPG'!A:B,2,FALSE),"")</f>
        <v>-8.16862812274526, 114.38753900822569</v>
      </c>
      <c r="H58" s="9" t="str">
        <f>IFERROR(VLOOKUP(D58,'MASTER PERUSAHAAN'!A:B,2,FALSE),"")</f>
        <v/>
      </c>
      <c r="J58" s="9" t="str">
        <f t="shared" si="1"/>
        <v/>
      </c>
      <c r="K58" s="11" t="str">
        <f t="shared" si="2"/>
        <v/>
      </c>
      <c r="M58" s="17">
        <v>2.0</v>
      </c>
      <c r="N58" s="17"/>
      <c r="O58" s="17"/>
      <c r="P58" s="17"/>
      <c r="Q58" s="17"/>
      <c r="R58" s="17"/>
      <c r="S58" s="17"/>
      <c r="T58" s="17" t="str">
        <f>IFERROR(__xludf.DUMMYFUNCTION("""COMPUTED_VALUE"""),"M 8016 UV")</f>
        <v>M 8016 UV</v>
      </c>
      <c r="U58" s="17" t="str">
        <f>IFERROR(__xludf.DUMMYFUNCTION("""COMPUTED_VALUE"""),"TLPG TJ PERAK")</f>
        <v>TLPG TJ PERAK</v>
      </c>
      <c r="V58" s="17" t="str">
        <f>IFERROR(__xludf.DUMMYFUNCTION("""COMPUTED_VALUE"""),"PT MITRA MADURA DHARMA ABADI")</f>
        <v>PT MITRA MADURA DHARMA ABADI</v>
      </c>
      <c r="W58" s="17">
        <f>IFERROR(__xludf.DUMMYFUNCTION("""COMPUTED_VALUE"""),161.8)</f>
        <v>161.8</v>
      </c>
      <c r="X58" s="17" t="str">
        <f>IFERROR(__xludf.DUMMYFUNCTION("""COMPUTED_VALUE"""),"JAUH")</f>
        <v>JAUH</v>
      </c>
      <c r="Y58" s="17">
        <f>IFERROR(__xludf.DUMMYFUNCTION("""COMPUTED_VALUE"""),3.0)</f>
        <v>3</v>
      </c>
      <c r="Z58" s="17">
        <f>IFERROR(__xludf.DUMMYFUNCTION("""COMPUTED_VALUE"""),7.0)</f>
        <v>7</v>
      </c>
      <c r="AB58" s="48" t="str">
        <f>IFERROR(__xludf.DUMMYFUNCTION("""COMPUTED_VALUE"""),"PT DIAN RAMA GAS")</f>
        <v>PT DIAN RAMA GAS</v>
      </c>
      <c r="AC58" s="48" t="str">
        <f>IFERROR(__xludf.DUMMYFUNCTION("""COMPUTED_VALUE"""),"AG 8086 UF")</f>
        <v>AG 8086 UF</v>
      </c>
      <c r="AD58" s="48" t="str">
        <f>IFERROR(__xludf.DUMMYFUNCTION("""COMPUTED_VALUE"""),"TLPG TJ PERAK")</f>
        <v>TLPG TJ PERAK</v>
      </c>
      <c r="AE58" s="17">
        <f>IFERROR(__xludf.DUMMYFUNCTION("""COMPUTED_VALUE"""),3.0)</f>
        <v>3</v>
      </c>
    </row>
    <row r="59">
      <c r="A59" s="12">
        <v>57.0</v>
      </c>
      <c r="B59" s="9" t="s">
        <v>75</v>
      </c>
      <c r="C59" s="9" t="s">
        <v>7</v>
      </c>
      <c r="D59" s="9" t="s">
        <v>135</v>
      </c>
      <c r="E59" s="49">
        <v>173.6</v>
      </c>
      <c r="F59" s="23" t="s">
        <v>454</v>
      </c>
      <c r="G59" s="9" t="str">
        <f>IFERROR(VLOOKUP(C59,'MASTER TLPG'!A:B,2,FALSE),"")</f>
        <v>-7.203807110524606, 112.71950675497641</v>
      </c>
      <c r="H59" s="9" t="str">
        <f>IFERROR(VLOOKUP(D59,'MASTER PERUSAHAAN'!A:B,2,FALSE),"")</f>
        <v>-8.109602080825715, 111.76869364949222</v>
      </c>
      <c r="J59" s="9" t="str">
        <f t="shared" si="1"/>
        <v>JAUH</v>
      </c>
      <c r="K59" s="11">
        <f t="shared" si="2"/>
        <v>3</v>
      </c>
      <c r="M59" s="17">
        <v>3.0</v>
      </c>
      <c r="N59" s="17"/>
      <c r="O59" s="17"/>
      <c r="P59" s="17"/>
      <c r="Q59" s="17"/>
      <c r="R59" s="17"/>
      <c r="S59" s="17"/>
      <c r="T59" s="17" t="str">
        <f>IFERROR(__xludf.DUMMYFUNCTION("""COMPUTED_VALUE"""),"M 9026 UV")</f>
        <v>M 9026 UV</v>
      </c>
      <c r="U59" s="17" t="str">
        <f>IFERROR(__xludf.DUMMYFUNCTION("""COMPUTED_VALUE"""),"TLPG TJ PERAK")</f>
        <v>TLPG TJ PERAK</v>
      </c>
      <c r="V59" s="17" t="str">
        <f>IFERROR(__xludf.DUMMYFUNCTION("""COMPUTED_VALUE"""),"PT MITRA MADURA DHARMA ABADI")</f>
        <v>PT MITRA MADURA DHARMA ABADI</v>
      </c>
      <c r="W59" s="17">
        <f>IFERROR(__xludf.DUMMYFUNCTION("""COMPUTED_VALUE"""),161.8)</f>
        <v>161.8</v>
      </c>
      <c r="X59" s="17" t="str">
        <f>IFERROR(__xludf.DUMMYFUNCTION("""COMPUTED_VALUE"""),"JAUH")</f>
        <v>JAUH</v>
      </c>
      <c r="Y59" s="17">
        <f>IFERROR(__xludf.DUMMYFUNCTION("""COMPUTED_VALUE"""),3.0)</f>
        <v>3</v>
      </c>
      <c r="Z59" s="17">
        <f>IFERROR(__xludf.DUMMYFUNCTION("""COMPUTED_VALUE"""),7.0)</f>
        <v>7</v>
      </c>
      <c r="AB59" s="48" t="str">
        <f>IFERROR(__xludf.DUMMYFUNCTION("""COMPUTED_VALUE"""),"PT DIAN RAMA GAS")</f>
        <v>PT DIAN RAMA GAS</v>
      </c>
      <c r="AC59" s="48" t="str">
        <f>IFERROR(__xludf.DUMMYFUNCTION("""COMPUTED_VALUE"""),"AG 8087 UF")</f>
        <v>AG 8087 UF</v>
      </c>
      <c r="AD59" s="48" t="str">
        <f>IFERROR(__xludf.DUMMYFUNCTION("""COMPUTED_VALUE"""),"TLPG TJ PERAK")</f>
        <v>TLPG TJ PERAK</v>
      </c>
      <c r="AE59" s="17">
        <f>IFERROR(__xludf.DUMMYFUNCTION("""COMPUTED_VALUE"""),3.0)</f>
        <v>3</v>
      </c>
    </row>
    <row r="60">
      <c r="A60" s="12">
        <v>58.0</v>
      </c>
      <c r="B60" s="9" t="s">
        <v>76</v>
      </c>
      <c r="C60" s="9" t="s">
        <v>7</v>
      </c>
      <c r="D60" s="9" t="s">
        <v>155</v>
      </c>
      <c r="E60" s="49">
        <v>125.6</v>
      </c>
      <c r="F60" s="23" t="s">
        <v>454</v>
      </c>
      <c r="G60" s="9" t="str">
        <f>IFERROR(VLOOKUP(C60,'MASTER TLPG'!A:B,2,FALSE),"")</f>
        <v>-7.203807110524606, 112.71950675497641</v>
      </c>
      <c r="H60" s="9" t="str">
        <f>IFERROR(VLOOKUP(D60,'MASTER PERUSAHAAN'!A:B,2,FALSE),"")</f>
        <v>-7.814636249471128, 112.08245883540913</v>
      </c>
      <c r="J60" s="9" t="str">
        <f t="shared" si="1"/>
        <v>SEDANG</v>
      </c>
      <c r="K60" s="11">
        <f t="shared" si="2"/>
        <v>2</v>
      </c>
      <c r="M60" s="17">
        <v>3.0</v>
      </c>
      <c r="N60" s="17"/>
      <c r="O60" s="17"/>
      <c r="P60" s="17"/>
      <c r="Q60" s="17"/>
      <c r="R60" s="17"/>
      <c r="S60" s="17"/>
      <c r="T60" s="17" t="str">
        <f>IFERROR(__xludf.DUMMYFUNCTION("""COMPUTED_VALUE"""),"M 9028 UV")</f>
        <v>M 9028 UV</v>
      </c>
      <c r="U60" s="17" t="str">
        <f>IFERROR(__xludf.DUMMYFUNCTION("""COMPUTED_VALUE"""),"TLPG TJ PERAK")</f>
        <v>TLPG TJ PERAK</v>
      </c>
      <c r="V60" s="17" t="str">
        <f>IFERROR(__xludf.DUMMYFUNCTION("""COMPUTED_VALUE"""),"PT MITRA MADURA DHARMA ABADI")</f>
        <v>PT MITRA MADURA DHARMA ABADI</v>
      </c>
      <c r="W60" s="17">
        <f>IFERROR(__xludf.DUMMYFUNCTION("""COMPUTED_VALUE"""),161.8)</f>
        <v>161.8</v>
      </c>
      <c r="X60" s="17" t="str">
        <f>IFERROR(__xludf.DUMMYFUNCTION("""COMPUTED_VALUE"""),"JAUH")</f>
        <v>JAUH</v>
      </c>
      <c r="Y60" s="17">
        <f>IFERROR(__xludf.DUMMYFUNCTION("""COMPUTED_VALUE"""),3.0)</f>
        <v>3</v>
      </c>
      <c r="Z60" s="17">
        <f>IFERROR(__xludf.DUMMYFUNCTION("""COMPUTED_VALUE"""),7.0)</f>
        <v>7</v>
      </c>
      <c r="AB60" s="48" t="str">
        <f>IFERROR(__xludf.DUMMYFUNCTION("""COMPUTED_VALUE"""),"PT DIAN RAMA GAS")</f>
        <v>PT DIAN RAMA GAS</v>
      </c>
      <c r="AC60" s="48" t="str">
        <f>IFERROR(__xludf.DUMMYFUNCTION("""COMPUTED_VALUE"""),"AG 8088 UF")</f>
        <v>AG 8088 UF</v>
      </c>
      <c r="AD60" s="48" t="str">
        <f>IFERROR(__xludf.DUMMYFUNCTION("""COMPUTED_VALUE"""),"TLPG TJ PERAK")</f>
        <v>TLPG TJ PERAK</v>
      </c>
      <c r="AE60" s="17">
        <f>IFERROR(__xludf.DUMMYFUNCTION("""COMPUTED_VALUE"""),3.0)</f>
        <v>3</v>
      </c>
    </row>
    <row r="61">
      <c r="A61" s="12">
        <v>59.0</v>
      </c>
      <c r="B61" s="9" t="s">
        <v>77</v>
      </c>
      <c r="C61" s="9" t="s">
        <v>7</v>
      </c>
      <c r="D61" s="9" t="s">
        <v>155</v>
      </c>
      <c r="E61" s="49">
        <v>125.6</v>
      </c>
      <c r="F61" s="23" t="s">
        <v>454</v>
      </c>
      <c r="G61" s="9" t="str">
        <f>IFERROR(VLOOKUP(C61,'MASTER TLPG'!A:B,2,FALSE),"")</f>
        <v>-7.203807110524606, 112.71950675497641</v>
      </c>
      <c r="H61" s="9" t="str">
        <f>IFERROR(VLOOKUP(D61,'MASTER PERUSAHAAN'!A:B,2,FALSE),"")</f>
        <v>-7.814636249471128, 112.08245883540913</v>
      </c>
      <c r="J61" s="9" t="str">
        <f t="shared" si="1"/>
        <v>SEDANG</v>
      </c>
      <c r="K61" s="11">
        <f t="shared" si="2"/>
        <v>2</v>
      </c>
      <c r="M61" s="17">
        <v>3.0</v>
      </c>
      <c r="N61" s="17"/>
      <c r="O61" s="17"/>
      <c r="P61" s="17"/>
      <c r="Q61" s="17"/>
      <c r="R61" s="17"/>
      <c r="S61" s="17"/>
      <c r="T61" s="17" t="str">
        <f>IFERROR(__xludf.DUMMYFUNCTION("""COMPUTED_VALUE"""),"M 9352 UV")</f>
        <v>M 9352 UV</v>
      </c>
      <c r="U61" s="17" t="str">
        <f>IFERROR(__xludf.DUMMYFUNCTION("""COMPUTED_VALUE"""),"TLPG TJ PERAK")</f>
        <v>TLPG TJ PERAK</v>
      </c>
      <c r="V61" s="17" t="str">
        <f>IFERROR(__xludf.DUMMYFUNCTION("""COMPUTED_VALUE"""),"PT MITRA MADURA DHARMA ABADI")</f>
        <v>PT MITRA MADURA DHARMA ABADI</v>
      </c>
      <c r="W61" s="17">
        <f>IFERROR(__xludf.DUMMYFUNCTION("""COMPUTED_VALUE"""),161.8)</f>
        <v>161.8</v>
      </c>
      <c r="X61" s="17" t="str">
        <f>IFERROR(__xludf.DUMMYFUNCTION("""COMPUTED_VALUE"""),"JAUH")</f>
        <v>JAUH</v>
      </c>
      <c r="Y61" s="17">
        <f>IFERROR(__xludf.DUMMYFUNCTION("""COMPUTED_VALUE"""),3.0)</f>
        <v>3</v>
      </c>
      <c r="Z61" s="17">
        <f>IFERROR(__xludf.DUMMYFUNCTION("""COMPUTED_VALUE"""),7.0)</f>
        <v>7</v>
      </c>
      <c r="AB61" s="48" t="str">
        <f>IFERROR(__xludf.DUMMYFUNCTION("""COMPUTED_VALUE"""),"PT DIVA GAS")</f>
        <v>PT DIVA GAS</v>
      </c>
      <c r="AC61" s="48" t="str">
        <f>IFERROR(__xludf.DUMMYFUNCTION("""COMPUTED_VALUE"""),"S 9343 UZ")</f>
        <v>S 9343 UZ</v>
      </c>
      <c r="AD61" s="48" t="str">
        <f>IFERROR(__xludf.DUMMYFUNCTION("""COMPUTED_VALUE"""),"TLPG TJ PERAK")</f>
        <v>TLPG TJ PERAK</v>
      </c>
      <c r="AE61" s="17">
        <f>IFERROR(__xludf.DUMMYFUNCTION("""COMPUTED_VALUE"""),12.0)</f>
        <v>12</v>
      </c>
    </row>
    <row r="62">
      <c r="A62" s="12">
        <v>60.0</v>
      </c>
      <c r="B62" s="9" t="s">
        <v>78</v>
      </c>
      <c r="C62" s="9" t="s">
        <v>7</v>
      </c>
      <c r="D62" s="9" t="s">
        <v>155</v>
      </c>
      <c r="E62" s="49">
        <v>125.6</v>
      </c>
      <c r="F62" s="23" t="s">
        <v>454</v>
      </c>
      <c r="G62" s="9" t="str">
        <f>IFERROR(VLOOKUP(C62,'MASTER TLPG'!A:B,2,FALSE),"")</f>
        <v>-7.203807110524606, 112.71950675497641</v>
      </c>
      <c r="H62" s="9" t="str">
        <f>IFERROR(VLOOKUP(D62,'MASTER PERUSAHAAN'!A:B,2,FALSE),"")</f>
        <v>-7.814636249471128, 112.08245883540913</v>
      </c>
      <c r="J62" s="9" t="str">
        <f t="shared" si="1"/>
        <v>SEDANG</v>
      </c>
      <c r="K62" s="11">
        <f t="shared" si="2"/>
        <v>2</v>
      </c>
      <c r="M62" s="17">
        <v>3.0</v>
      </c>
      <c r="N62" s="17"/>
      <c r="O62" s="17"/>
      <c r="P62" s="17"/>
      <c r="Q62" s="17"/>
      <c r="R62" s="17"/>
      <c r="S62" s="17"/>
      <c r="T62" s="17" t="str">
        <f>IFERROR(__xludf.DUMMYFUNCTION("""COMPUTED_VALUE"""),"L 8892 UU")</f>
        <v>L 8892 UU</v>
      </c>
      <c r="U62" s="17" t="str">
        <f>IFERROR(__xludf.DUMMYFUNCTION("""COMPUTED_VALUE"""),"TLPG TJ PERAK")</f>
        <v>TLPG TJ PERAK</v>
      </c>
      <c r="V62" s="17" t="str">
        <f>IFERROR(__xludf.DUMMYFUNCTION("""COMPUTED_VALUE"""),"PT MUTUAL MAXEL")</f>
        <v>PT MUTUAL MAXEL</v>
      </c>
      <c r="W62" s="17">
        <f>IFERROR(__xludf.DUMMYFUNCTION("""COMPUTED_VALUE"""),161.5)</f>
        <v>161.5</v>
      </c>
      <c r="X62" s="17" t="str">
        <f>IFERROR(__xludf.DUMMYFUNCTION("""COMPUTED_VALUE"""),"JAUH")</f>
        <v>JAUH</v>
      </c>
      <c r="Y62" s="17">
        <f>IFERROR(__xludf.DUMMYFUNCTION("""COMPUTED_VALUE"""),3.0)</f>
        <v>3</v>
      </c>
      <c r="Z62" s="17">
        <f>IFERROR(__xludf.DUMMYFUNCTION("""COMPUTED_VALUE"""),6.0)</f>
        <v>6</v>
      </c>
      <c r="AB62" s="48" t="str">
        <f>IFERROR(__xludf.DUMMYFUNCTION("""COMPUTED_VALUE"""),"PT GANGSAR SENTOSA PETROLIUM")</f>
        <v>PT GANGSAR SENTOSA PETROLIUM</v>
      </c>
      <c r="AC62" s="48" t="str">
        <f>IFERROR(__xludf.DUMMYFUNCTION("""COMPUTED_VALUE"""),"AG 8817 UT")</f>
        <v>AG 8817 UT</v>
      </c>
      <c r="AD62" s="48" t="str">
        <f>IFERROR(__xludf.DUMMYFUNCTION("""COMPUTED_VALUE"""),"TLPG TJ PERAK")</f>
        <v>TLPG TJ PERAK</v>
      </c>
      <c r="AE62" s="17">
        <f>IFERROR(__xludf.DUMMYFUNCTION("""COMPUTED_VALUE"""),4.0)</f>
        <v>4</v>
      </c>
    </row>
    <row r="63">
      <c r="A63" s="12">
        <v>61.0</v>
      </c>
      <c r="B63" s="9" t="s">
        <v>79</v>
      </c>
      <c r="C63" s="9" t="s">
        <v>7</v>
      </c>
      <c r="D63" s="9" t="s">
        <v>118</v>
      </c>
      <c r="E63" s="49">
        <v>129.7</v>
      </c>
      <c r="F63" s="23" t="s">
        <v>454</v>
      </c>
      <c r="G63" s="9" t="str">
        <f>IFERROR(VLOOKUP(C63,'MASTER TLPG'!A:B,2,FALSE),"")</f>
        <v>-7.203807110524606, 112.71950675497641</v>
      </c>
      <c r="H63" s="9" t="str">
        <f>IFERROR(VLOOKUP(D63,'MASTER PERUSAHAAN'!A:B,2,FALSE),"")</f>
        <v>-7.861774259672683, 112.03267990817523</v>
      </c>
      <c r="J63" s="9" t="str">
        <f t="shared" si="1"/>
        <v>SEDANG</v>
      </c>
      <c r="K63" s="11">
        <f t="shared" si="2"/>
        <v>2</v>
      </c>
      <c r="M63" s="17">
        <v>3.0</v>
      </c>
      <c r="N63" s="17"/>
      <c r="O63" s="17"/>
      <c r="P63" s="17"/>
      <c r="Q63" s="17"/>
      <c r="R63" s="17"/>
      <c r="S63" s="17"/>
      <c r="T63" s="17" t="str">
        <f>IFERROR(__xludf.DUMMYFUNCTION("""COMPUTED_VALUE"""),"L 9476 UL")</f>
        <v>L 9476 UL</v>
      </c>
      <c r="U63" s="17" t="str">
        <f>IFERROR(__xludf.DUMMYFUNCTION("""COMPUTED_VALUE"""),"TLPG TJ PERAK")</f>
        <v>TLPG TJ PERAK</v>
      </c>
      <c r="V63" s="17" t="str">
        <f>IFERROR(__xludf.DUMMYFUNCTION("""COMPUTED_VALUE"""),"PT HELA CITRA AGUNG")</f>
        <v>PT HELA CITRA AGUNG</v>
      </c>
      <c r="W63" s="17">
        <f>IFERROR(__xludf.DUMMYFUNCTION("""COMPUTED_VALUE"""),161.5)</f>
        <v>161.5</v>
      </c>
      <c r="X63" s="17" t="str">
        <f>IFERROR(__xludf.DUMMYFUNCTION("""COMPUTED_VALUE"""),"JAUH")</f>
        <v>JAUH</v>
      </c>
      <c r="Y63" s="17">
        <f>IFERROR(__xludf.DUMMYFUNCTION("""COMPUTED_VALUE"""),3.0)</f>
        <v>3</v>
      </c>
      <c r="Z63" s="17">
        <f>IFERROR(__xludf.DUMMYFUNCTION("""COMPUTED_VALUE"""),6.0)</f>
        <v>6</v>
      </c>
      <c r="AB63" s="48" t="str">
        <f>IFERROR(__xludf.DUMMYFUNCTION("""COMPUTED_VALUE"""),"PT GANGSAR SENTOSA PETROLIUM")</f>
        <v>PT GANGSAR SENTOSA PETROLIUM</v>
      </c>
      <c r="AC63" s="48" t="str">
        <f>IFERROR(__xludf.DUMMYFUNCTION("""COMPUTED_VALUE"""),"AG 8818 UT")</f>
        <v>AG 8818 UT</v>
      </c>
      <c r="AD63" s="48" t="str">
        <f>IFERROR(__xludf.DUMMYFUNCTION("""COMPUTED_VALUE"""),"TLPG TJ PERAK")</f>
        <v>TLPG TJ PERAK</v>
      </c>
      <c r="AE63" s="17">
        <f>IFERROR(__xludf.DUMMYFUNCTION("""COMPUTED_VALUE"""),4.0)</f>
        <v>4</v>
      </c>
    </row>
    <row r="64">
      <c r="A64" s="12">
        <v>62.0</v>
      </c>
      <c r="B64" s="9" t="s">
        <v>80</v>
      </c>
      <c r="C64" s="9" t="s">
        <v>7</v>
      </c>
      <c r="D64" s="9" t="s">
        <v>219</v>
      </c>
      <c r="E64" s="49">
        <v>137.8</v>
      </c>
      <c r="F64" s="23" t="s">
        <v>454</v>
      </c>
      <c r="G64" s="9" t="str">
        <f>IFERROR(VLOOKUP(C64,'MASTER TLPG'!A:B,2,FALSE),"")</f>
        <v>-7.203807110524606, 112.71950675497641</v>
      </c>
      <c r="H64" s="9" t="str">
        <f>IFERROR(VLOOKUP(D64,'MASTER PERUSAHAAN'!A:B,2,FALSE),"")</f>
        <v>-7.901804933186881, 112.02668190362729</v>
      </c>
      <c r="J64" s="9" t="str">
        <f t="shared" si="1"/>
        <v>SEDANG</v>
      </c>
      <c r="K64" s="11">
        <f t="shared" si="2"/>
        <v>2</v>
      </c>
      <c r="M64" s="17">
        <v>3.0</v>
      </c>
      <c r="N64" s="17"/>
      <c r="O64" s="17"/>
      <c r="P64" s="17"/>
      <c r="Q64" s="17"/>
      <c r="R64" s="17"/>
      <c r="S64" s="17"/>
      <c r="T64" s="17" t="str">
        <f>IFERROR(__xludf.DUMMYFUNCTION("""COMPUTED_VALUE"""),"L 9489 UL")</f>
        <v>L 9489 UL</v>
      </c>
      <c r="U64" s="17" t="str">
        <f>IFERROR(__xludf.DUMMYFUNCTION("""COMPUTED_VALUE"""),"TLPG TJ PERAK")</f>
        <v>TLPG TJ PERAK</v>
      </c>
      <c r="V64" s="17" t="str">
        <f>IFERROR(__xludf.DUMMYFUNCTION("""COMPUTED_VALUE"""),"PT HELA CITRA AGUNG")</f>
        <v>PT HELA CITRA AGUNG</v>
      </c>
      <c r="W64" s="17">
        <f>IFERROR(__xludf.DUMMYFUNCTION("""COMPUTED_VALUE"""),161.5)</f>
        <v>161.5</v>
      </c>
      <c r="X64" s="17" t="str">
        <f>IFERROR(__xludf.DUMMYFUNCTION("""COMPUTED_VALUE"""),"JAUH")</f>
        <v>JAUH</v>
      </c>
      <c r="Y64" s="17">
        <f>IFERROR(__xludf.DUMMYFUNCTION("""COMPUTED_VALUE"""),3.0)</f>
        <v>3</v>
      </c>
      <c r="Z64" s="17">
        <f>IFERROR(__xludf.DUMMYFUNCTION("""COMPUTED_VALUE"""),6.0)</f>
        <v>6</v>
      </c>
      <c r="AB64" s="48" t="str">
        <f>IFERROR(__xludf.DUMMYFUNCTION("""COMPUTED_VALUE"""),"PT GANGSAR SENTOSA PETROLIUM")</f>
        <v>PT GANGSAR SENTOSA PETROLIUM</v>
      </c>
      <c r="AC64" s="48" t="str">
        <f>IFERROR(__xludf.DUMMYFUNCTION("""COMPUTED_VALUE"""),"AE 8858 UT")</f>
        <v>AE 8858 UT</v>
      </c>
      <c r="AD64" s="48" t="str">
        <f>IFERROR(__xludf.DUMMYFUNCTION("""COMPUTED_VALUE"""),"TLPG TJ PERAK")</f>
        <v>TLPG TJ PERAK</v>
      </c>
      <c r="AE64" s="17">
        <f>IFERROR(__xludf.DUMMYFUNCTION("""COMPUTED_VALUE"""),5.0)</f>
        <v>5</v>
      </c>
    </row>
    <row r="65">
      <c r="A65" s="12">
        <v>63.0</v>
      </c>
      <c r="B65" s="9" t="s">
        <v>81</v>
      </c>
      <c r="C65" s="9" t="s">
        <v>7</v>
      </c>
      <c r="D65" s="9" t="s">
        <v>219</v>
      </c>
      <c r="E65" s="49">
        <v>137.8</v>
      </c>
      <c r="F65" s="23" t="s">
        <v>454</v>
      </c>
      <c r="G65" s="9" t="str">
        <f>IFERROR(VLOOKUP(C65,'MASTER TLPG'!A:B,2,FALSE),"")</f>
        <v>-7.203807110524606, 112.71950675497641</v>
      </c>
      <c r="H65" s="9" t="str">
        <f>IFERROR(VLOOKUP(D65,'MASTER PERUSAHAAN'!A:B,2,FALSE),"")</f>
        <v>-7.901804933186881, 112.02668190362729</v>
      </c>
      <c r="J65" s="9" t="str">
        <f t="shared" si="1"/>
        <v>SEDANG</v>
      </c>
      <c r="K65" s="11">
        <f t="shared" si="2"/>
        <v>2</v>
      </c>
      <c r="M65" s="17">
        <v>3.0</v>
      </c>
      <c r="N65" s="17"/>
      <c r="O65" s="17"/>
      <c r="P65" s="17"/>
      <c r="Q65" s="17"/>
      <c r="R65" s="17"/>
      <c r="S65" s="17"/>
      <c r="T65" s="17" t="str">
        <f>IFERROR(__xludf.DUMMYFUNCTION("""COMPUTED_VALUE"""),"L 9507 UL")</f>
        <v>L 9507 UL</v>
      </c>
      <c r="U65" s="17" t="str">
        <f>IFERROR(__xludf.DUMMYFUNCTION("""COMPUTED_VALUE"""),"TLPG TJ PERAK")</f>
        <v>TLPG TJ PERAK</v>
      </c>
      <c r="V65" s="17" t="str">
        <f>IFERROR(__xludf.DUMMYFUNCTION("""COMPUTED_VALUE"""),"PT HELA CITRA AGUNG")</f>
        <v>PT HELA CITRA AGUNG</v>
      </c>
      <c r="W65" s="17">
        <f>IFERROR(__xludf.DUMMYFUNCTION("""COMPUTED_VALUE"""),161.5)</f>
        <v>161.5</v>
      </c>
      <c r="X65" s="17" t="str">
        <f>IFERROR(__xludf.DUMMYFUNCTION("""COMPUTED_VALUE"""),"JAUH")</f>
        <v>JAUH</v>
      </c>
      <c r="Y65" s="17">
        <f>IFERROR(__xludf.DUMMYFUNCTION("""COMPUTED_VALUE"""),3.0)</f>
        <v>3</v>
      </c>
      <c r="Z65" s="17">
        <f>IFERROR(__xludf.DUMMYFUNCTION("""COMPUTED_VALUE"""),6.0)</f>
        <v>6</v>
      </c>
      <c r="AB65" s="48" t="str">
        <f>IFERROR(__xludf.DUMMYFUNCTION("""COMPUTED_VALUE"""),"PT GANGSAR SENTOSA PETROLIUM")</f>
        <v>PT GANGSAR SENTOSA PETROLIUM</v>
      </c>
      <c r="AC65" s="48" t="str">
        <f>IFERROR(__xludf.DUMMYFUNCTION("""COMPUTED_VALUE"""),"AG 9153 UR")</f>
        <v>AG 9153 UR</v>
      </c>
      <c r="AD65" s="48" t="str">
        <f>IFERROR(__xludf.DUMMYFUNCTION("""COMPUTED_VALUE"""),"TLPG TJ PERAK")</f>
        <v>TLPG TJ PERAK</v>
      </c>
      <c r="AE65" s="17">
        <f>IFERROR(__xludf.DUMMYFUNCTION("""COMPUTED_VALUE"""),5.0)</f>
        <v>5</v>
      </c>
    </row>
    <row r="66">
      <c r="A66" s="12">
        <v>64.0</v>
      </c>
      <c r="B66" s="9" t="s">
        <v>82</v>
      </c>
      <c r="C66" s="9" t="s">
        <v>7</v>
      </c>
      <c r="D66" s="9" t="s">
        <v>219</v>
      </c>
      <c r="E66" s="49">
        <v>137.8</v>
      </c>
      <c r="F66" s="23" t="s">
        <v>454</v>
      </c>
      <c r="G66" s="9" t="str">
        <f>IFERROR(VLOOKUP(C66,'MASTER TLPG'!A:B,2,FALSE),"")</f>
        <v>-7.203807110524606, 112.71950675497641</v>
      </c>
      <c r="H66" s="9" t="str">
        <f>IFERROR(VLOOKUP(D66,'MASTER PERUSAHAAN'!A:B,2,FALSE),"")</f>
        <v>-7.901804933186881, 112.02668190362729</v>
      </c>
      <c r="J66" s="9" t="str">
        <f t="shared" si="1"/>
        <v>SEDANG</v>
      </c>
      <c r="K66" s="11">
        <f t="shared" si="2"/>
        <v>2</v>
      </c>
      <c r="M66" s="17">
        <v>3.0</v>
      </c>
      <c r="N66" s="17"/>
      <c r="O66" s="17"/>
      <c r="P66" s="17"/>
      <c r="Q66" s="17"/>
      <c r="R66" s="17"/>
      <c r="S66" s="17"/>
      <c r="T66" s="17" t="str">
        <f>IFERROR(__xludf.DUMMYFUNCTION("""COMPUTED_VALUE"""),"L 9521 UL")</f>
        <v>L 9521 UL</v>
      </c>
      <c r="U66" s="17" t="str">
        <f>IFERROR(__xludf.DUMMYFUNCTION("""COMPUTED_VALUE"""),"TLPG TJ PERAK")</f>
        <v>TLPG TJ PERAK</v>
      </c>
      <c r="V66" s="17" t="str">
        <f>IFERROR(__xludf.DUMMYFUNCTION("""COMPUTED_VALUE"""),"PT HELA CITRA AGUNG")</f>
        <v>PT HELA CITRA AGUNG</v>
      </c>
      <c r="W66" s="17">
        <f>IFERROR(__xludf.DUMMYFUNCTION("""COMPUTED_VALUE"""),161.5)</f>
        <v>161.5</v>
      </c>
      <c r="X66" s="17" t="str">
        <f>IFERROR(__xludf.DUMMYFUNCTION("""COMPUTED_VALUE"""),"JAUH")</f>
        <v>JAUH</v>
      </c>
      <c r="Y66" s="17">
        <f>IFERROR(__xludf.DUMMYFUNCTION("""COMPUTED_VALUE"""),3.0)</f>
        <v>3</v>
      </c>
      <c r="Z66" s="17">
        <f>IFERROR(__xludf.DUMMYFUNCTION("""COMPUTED_VALUE"""),6.0)</f>
        <v>6</v>
      </c>
      <c r="AB66" s="48" t="str">
        <f>IFERROR(__xludf.DUMMYFUNCTION("""COMPUTED_VALUE"""),"PT GAS ALAM BUMI REOG")</f>
        <v>PT GAS ALAM BUMI REOG</v>
      </c>
      <c r="AC66" s="48" t="str">
        <f>IFERROR(__xludf.DUMMYFUNCTION("""COMPUTED_VALUE"""),"AE 8099 UT")</f>
        <v>AE 8099 UT</v>
      </c>
      <c r="AD66" s="48" t="str">
        <f>IFERROR(__xludf.DUMMYFUNCTION("""COMPUTED_VALUE"""),"TLPG TJ PERAK")</f>
        <v>TLPG TJ PERAK</v>
      </c>
      <c r="AE66" s="17">
        <f>IFERROR(__xludf.DUMMYFUNCTION("""COMPUTED_VALUE"""),1.0)</f>
        <v>1</v>
      </c>
    </row>
    <row r="67">
      <c r="A67" s="12">
        <v>65.0</v>
      </c>
      <c r="B67" s="9" t="s">
        <v>84</v>
      </c>
      <c r="C67" s="9" t="s">
        <v>7</v>
      </c>
      <c r="D67" s="9" t="s">
        <v>204</v>
      </c>
      <c r="E67" s="49">
        <v>167.6</v>
      </c>
      <c r="F67" s="23" t="s">
        <v>454</v>
      </c>
      <c r="G67" s="9" t="str">
        <f>IFERROR(VLOOKUP(C67,'MASTER TLPG'!A:B,2,FALSE),"")</f>
        <v>-7.203807110524606, 112.71950675497641</v>
      </c>
      <c r="H67" s="9" t="str">
        <f>IFERROR(VLOOKUP(D67,'MASTER PERUSAHAAN'!A:B,2,FALSE),"")</f>
        <v>-8.096801604357731, 112.18220246923711</v>
      </c>
      <c r="J67" s="9" t="str">
        <f t="shared" si="1"/>
        <v>JAUH</v>
      </c>
      <c r="K67" s="11">
        <f t="shared" si="2"/>
        <v>3</v>
      </c>
      <c r="M67" s="17">
        <v>3.0</v>
      </c>
      <c r="N67" s="17"/>
      <c r="O67" s="17"/>
      <c r="P67" s="17"/>
      <c r="Q67" s="17"/>
      <c r="R67" s="17"/>
      <c r="S67" s="17"/>
      <c r="T67" s="17" t="str">
        <f>IFERROR(__xludf.DUMMYFUNCTION("""COMPUTED_VALUE"""),"L 9532 UL")</f>
        <v>L 9532 UL</v>
      </c>
      <c r="U67" s="17" t="str">
        <f>IFERROR(__xludf.DUMMYFUNCTION("""COMPUTED_VALUE"""),"TLPG TJ PERAK")</f>
        <v>TLPG TJ PERAK</v>
      </c>
      <c r="V67" s="17" t="str">
        <f>IFERROR(__xludf.DUMMYFUNCTION("""COMPUTED_VALUE"""),"PT HELA CITRA AGUNG")</f>
        <v>PT HELA CITRA AGUNG</v>
      </c>
      <c r="W67" s="17">
        <f>IFERROR(__xludf.DUMMYFUNCTION("""COMPUTED_VALUE"""),161.5)</f>
        <v>161.5</v>
      </c>
      <c r="X67" s="17" t="str">
        <f>IFERROR(__xludf.DUMMYFUNCTION("""COMPUTED_VALUE"""),"JAUH")</f>
        <v>JAUH</v>
      </c>
      <c r="Y67" s="17">
        <f>IFERROR(__xludf.DUMMYFUNCTION("""COMPUTED_VALUE"""),3.0)</f>
        <v>3</v>
      </c>
      <c r="Z67" s="17">
        <f>IFERROR(__xludf.DUMMYFUNCTION("""COMPUTED_VALUE"""),6.0)</f>
        <v>6</v>
      </c>
      <c r="AB67" s="48" t="str">
        <f>IFERROR(__xludf.DUMMYFUNCTION("""COMPUTED_VALUE"""),"PT GAS BUMI NUSANTARA JAYA")</f>
        <v>PT GAS BUMI NUSANTARA JAYA</v>
      </c>
      <c r="AC67" s="48" t="str">
        <f>IFERROR(__xludf.DUMMYFUNCTION("""COMPUTED_VALUE"""),"S 8236 UZ")</f>
        <v>S 8236 UZ</v>
      </c>
      <c r="AD67" s="48" t="str">
        <f>IFERROR(__xludf.DUMMYFUNCTION("""COMPUTED_VALUE"""),"TLPG TJ PERAK")</f>
        <v>TLPG TJ PERAK</v>
      </c>
      <c r="AE67" s="17">
        <f>IFERROR(__xludf.DUMMYFUNCTION("""COMPUTED_VALUE"""),10.0)</f>
        <v>10</v>
      </c>
    </row>
    <row r="68">
      <c r="A68" s="12">
        <v>66.0</v>
      </c>
      <c r="B68" s="9" t="s">
        <v>85</v>
      </c>
      <c r="C68" s="9" t="s">
        <v>7</v>
      </c>
      <c r="D68" s="9" t="s">
        <v>285</v>
      </c>
      <c r="E68" s="49">
        <v>116.1</v>
      </c>
      <c r="F68" s="23" t="s">
        <v>454</v>
      </c>
      <c r="G68" s="9" t="str">
        <f>IFERROR(VLOOKUP(C68,'MASTER TLPG'!A:B,2,FALSE),"")</f>
        <v>-7.203807110524606, 112.71950675497641</v>
      </c>
      <c r="H68" s="9" t="str">
        <f>IFERROR(VLOOKUP(D68,'MASTER PERUSAHAAN'!A:B,2,FALSE),"")</f>
        <v>-7.7492741291312, 112.03352159834525</v>
      </c>
      <c r="J68" s="9" t="str">
        <f t="shared" si="1"/>
        <v>SEDANG</v>
      </c>
      <c r="K68" s="11">
        <f t="shared" si="2"/>
        <v>2</v>
      </c>
      <c r="M68" s="17">
        <v>3.0</v>
      </c>
      <c r="N68" s="17"/>
      <c r="O68" s="17"/>
      <c r="P68" s="17"/>
      <c r="Q68" s="17"/>
      <c r="R68" s="17"/>
      <c r="S68" s="17"/>
      <c r="T68" s="17" t="str">
        <f>IFERROR(__xludf.DUMMYFUNCTION("""COMPUTED_VALUE"""),"M 8978 UV")</f>
        <v>M 8978 UV</v>
      </c>
      <c r="U68" s="17" t="str">
        <f>IFERROR(__xludf.DUMMYFUNCTION("""COMPUTED_VALUE"""),"TLPG TJ PERAK")</f>
        <v>TLPG TJ PERAK</v>
      </c>
      <c r="V68" s="17" t="str">
        <f>IFERROR(__xludf.DUMMYFUNCTION("""COMPUTED_VALUE"""),"PT PERAK POLANA ALOMAMPA")</f>
        <v>PT PERAK POLANA ALOMAMPA</v>
      </c>
      <c r="W68" s="17">
        <f>IFERROR(__xludf.DUMMYFUNCTION("""COMPUTED_VALUE"""),155.6)</f>
        <v>155.6</v>
      </c>
      <c r="X68" s="17" t="str">
        <f>IFERROR(__xludf.DUMMYFUNCTION("""COMPUTED_VALUE"""),"JAUH")</f>
        <v>JAUH</v>
      </c>
      <c r="Y68" s="17">
        <f>IFERROR(__xludf.DUMMYFUNCTION("""COMPUTED_VALUE"""),3.0)</f>
        <v>3</v>
      </c>
      <c r="Z68" s="17">
        <f>IFERROR(__xludf.DUMMYFUNCTION("""COMPUTED_VALUE"""),7.0)</f>
        <v>7</v>
      </c>
      <c r="AB68" s="48" t="str">
        <f>IFERROR(__xludf.DUMMYFUNCTION("""COMPUTED_VALUE"""),"PT GAS BUMI NUSANTARA JAYA")</f>
        <v>PT GAS BUMI NUSANTARA JAYA</v>
      </c>
      <c r="AC68" s="48" t="str">
        <f>IFERROR(__xludf.DUMMYFUNCTION("""COMPUTED_VALUE"""),"S 8237 UZ")</f>
        <v>S 8237 UZ</v>
      </c>
      <c r="AD68" s="48" t="str">
        <f>IFERROR(__xludf.DUMMYFUNCTION("""COMPUTED_VALUE"""),"TLPG TJ PERAK")</f>
        <v>TLPG TJ PERAK</v>
      </c>
      <c r="AE68" s="17">
        <f>IFERROR(__xludf.DUMMYFUNCTION("""COMPUTED_VALUE"""),11.0)</f>
        <v>11</v>
      </c>
    </row>
    <row r="69">
      <c r="A69" s="12">
        <v>67.0</v>
      </c>
      <c r="B69" s="9" t="s">
        <v>86</v>
      </c>
      <c r="C69" s="9" t="s">
        <v>7</v>
      </c>
      <c r="D69" s="9" t="s">
        <v>424</v>
      </c>
      <c r="E69" s="49">
        <v>101.5</v>
      </c>
      <c r="F69" s="23" t="s">
        <v>454</v>
      </c>
      <c r="G69" s="9" t="str">
        <f>IFERROR(VLOOKUP(C69,'MASTER TLPG'!A:B,2,FALSE),"")</f>
        <v>-7.203807110524606, 112.71950675497641</v>
      </c>
      <c r="H69" s="9" t="str">
        <f>IFERROR(VLOOKUP(D69,'MASTER PERUSAHAAN'!A:B,2,FALSE),"")</f>
        <v>-7.6058779294936, 112.06978060856616</v>
      </c>
      <c r="J69" s="9" t="str">
        <f t="shared" si="1"/>
        <v>SEDANG</v>
      </c>
      <c r="K69" s="11">
        <f t="shared" si="2"/>
        <v>2</v>
      </c>
      <c r="M69" s="17">
        <v>3.0</v>
      </c>
      <c r="N69" s="17"/>
      <c r="O69" s="17"/>
      <c r="P69" s="17"/>
      <c r="Q69" s="17"/>
      <c r="R69" s="17"/>
      <c r="S69" s="17"/>
      <c r="T69" s="17" t="str">
        <f>IFERROR(__xludf.DUMMYFUNCTION("""COMPUTED_VALUE"""),"M 9006 UV")</f>
        <v>M 9006 UV</v>
      </c>
      <c r="U69" s="17" t="str">
        <f>IFERROR(__xludf.DUMMYFUNCTION("""COMPUTED_VALUE"""),"TLPG TJ PERAK")</f>
        <v>TLPG TJ PERAK</v>
      </c>
      <c r="V69" s="17" t="str">
        <f>IFERROR(__xludf.DUMMYFUNCTION("""COMPUTED_VALUE"""),"PT PERAK POLANA ALOMAMPA")</f>
        <v>PT PERAK POLANA ALOMAMPA</v>
      </c>
      <c r="W69" s="17">
        <f>IFERROR(__xludf.DUMMYFUNCTION("""COMPUTED_VALUE"""),155.6)</f>
        <v>155.6</v>
      </c>
      <c r="X69" s="17" t="str">
        <f>IFERROR(__xludf.DUMMYFUNCTION("""COMPUTED_VALUE"""),"JAUH")</f>
        <v>JAUH</v>
      </c>
      <c r="Y69" s="17">
        <f>IFERROR(__xludf.DUMMYFUNCTION("""COMPUTED_VALUE"""),3.0)</f>
        <v>3</v>
      </c>
      <c r="Z69" s="17">
        <f>IFERROR(__xludf.DUMMYFUNCTION("""COMPUTED_VALUE"""),7.0)</f>
        <v>7</v>
      </c>
      <c r="AB69" s="48" t="str">
        <f>IFERROR(__xludf.DUMMYFUNCTION("""COMPUTED_VALUE"""),"PT GAS MADURA PRATAMA")</f>
        <v>PT GAS MADURA PRATAMA</v>
      </c>
      <c r="AC69" s="48" t="str">
        <f>IFERROR(__xludf.DUMMYFUNCTION("""COMPUTED_VALUE"""),"M 8010 UB")</f>
        <v>M 8010 UB</v>
      </c>
      <c r="AD69" s="48" t="str">
        <f>IFERROR(__xludf.DUMMYFUNCTION("""COMPUTED_VALUE"""),"TLPG TJ PERAK")</f>
        <v>TLPG TJ PERAK</v>
      </c>
      <c r="AE69" s="17">
        <f>IFERROR(__xludf.DUMMYFUNCTION("""COMPUTED_VALUE"""),7.0)</f>
        <v>7</v>
      </c>
    </row>
    <row r="70">
      <c r="A70" s="12">
        <v>68.0</v>
      </c>
      <c r="B70" s="9" t="s">
        <v>87</v>
      </c>
      <c r="C70" s="9" t="s">
        <v>7</v>
      </c>
      <c r="D70" s="9" t="s">
        <v>304</v>
      </c>
      <c r="E70" s="49">
        <v>116.1</v>
      </c>
      <c r="F70" s="23" t="s">
        <v>454</v>
      </c>
      <c r="G70" s="9" t="str">
        <f>IFERROR(VLOOKUP(C70,'MASTER TLPG'!A:B,2,FALSE),"")</f>
        <v>-7.203807110524606, 112.71950675497641</v>
      </c>
      <c r="H70" s="9" t="str">
        <f>IFERROR(VLOOKUP(D70,'MASTER PERUSAHAAN'!A:B,2,FALSE),"")</f>
        <v>-7.749217011747071, 112.03374963310648</v>
      </c>
      <c r="J70" s="9" t="str">
        <f t="shared" si="1"/>
        <v>SEDANG</v>
      </c>
      <c r="K70" s="11">
        <f t="shared" si="2"/>
        <v>2</v>
      </c>
      <c r="M70" s="17">
        <v>3.0</v>
      </c>
      <c r="N70" s="17"/>
      <c r="O70" s="17"/>
      <c r="P70" s="17"/>
      <c r="Q70" s="17"/>
      <c r="R70" s="17"/>
      <c r="S70" s="17"/>
      <c r="T70" s="17" t="str">
        <f>IFERROR(__xludf.DUMMYFUNCTION("""COMPUTED_VALUE"""),"M 9321 UV")</f>
        <v>M 9321 UV</v>
      </c>
      <c r="U70" s="17" t="str">
        <f>IFERROR(__xludf.DUMMYFUNCTION("""COMPUTED_VALUE"""),"TLPG TJ PERAK")</f>
        <v>TLPG TJ PERAK</v>
      </c>
      <c r="V70" s="17" t="str">
        <f>IFERROR(__xludf.DUMMYFUNCTION("""COMPUTED_VALUE"""),"PT PERAK POLANA ALOMAMPA")</f>
        <v>PT PERAK POLANA ALOMAMPA</v>
      </c>
      <c r="W70" s="17">
        <f>IFERROR(__xludf.DUMMYFUNCTION("""COMPUTED_VALUE"""),155.6)</f>
        <v>155.6</v>
      </c>
      <c r="X70" s="17" t="str">
        <f>IFERROR(__xludf.DUMMYFUNCTION("""COMPUTED_VALUE"""),"JAUH")</f>
        <v>JAUH</v>
      </c>
      <c r="Y70" s="17">
        <f>IFERROR(__xludf.DUMMYFUNCTION("""COMPUTED_VALUE"""),3.0)</f>
        <v>3</v>
      </c>
      <c r="Z70" s="17">
        <f>IFERROR(__xludf.DUMMYFUNCTION("""COMPUTED_VALUE"""),7.0)</f>
        <v>7</v>
      </c>
      <c r="AB70" s="48" t="str">
        <f>IFERROR(__xludf.DUMMYFUNCTION("""COMPUTED_VALUE"""),"PT GAS MADURA PRATAMA")</f>
        <v>PT GAS MADURA PRATAMA</v>
      </c>
      <c r="AC70" s="48" t="str">
        <f>IFERROR(__xludf.DUMMYFUNCTION("""COMPUTED_VALUE"""),"M 9715 UA")</f>
        <v>M 9715 UA</v>
      </c>
      <c r="AD70" s="48" t="str">
        <f>IFERROR(__xludf.DUMMYFUNCTION("""COMPUTED_VALUE"""),"TLPG TJ PERAK")</f>
        <v>TLPG TJ PERAK</v>
      </c>
      <c r="AE70" s="17">
        <f>IFERROR(__xludf.DUMMYFUNCTION("""COMPUTED_VALUE"""),7.0)</f>
        <v>7</v>
      </c>
    </row>
    <row r="71">
      <c r="A71" s="12">
        <v>69.0</v>
      </c>
      <c r="B71" s="9" t="s">
        <v>88</v>
      </c>
      <c r="C71" s="9" t="s">
        <v>7</v>
      </c>
      <c r="D71" s="9" t="s">
        <v>327</v>
      </c>
      <c r="E71" s="49">
        <v>168.5</v>
      </c>
      <c r="F71" s="23" t="s">
        <v>454</v>
      </c>
      <c r="G71" s="9" t="str">
        <f>IFERROR(VLOOKUP(C71,'MASTER TLPG'!A:B,2,FALSE),"")</f>
        <v>-7.203807110524606, 112.71950675497641</v>
      </c>
      <c r="H71" s="9" t="str">
        <f>IFERROR(VLOOKUP(D71,'MASTER PERUSAHAAN'!A:B,2,FALSE),"")</f>
        <v>-8.076189393787326, 112.23016212268685</v>
      </c>
      <c r="J71" s="9" t="str">
        <f t="shared" si="1"/>
        <v>JAUH</v>
      </c>
      <c r="K71" s="11">
        <f t="shared" si="2"/>
        <v>3</v>
      </c>
      <c r="M71" s="17">
        <v>3.0</v>
      </c>
      <c r="N71" s="17"/>
      <c r="O71" s="17"/>
      <c r="P71" s="17"/>
      <c r="Q71" s="17"/>
      <c r="R71" s="17"/>
      <c r="S71" s="17"/>
      <c r="T71" s="17" t="str">
        <f>IFERROR(__xludf.DUMMYFUNCTION("""COMPUTED_VALUE"""),"N 9162 UV")</f>
        <v>N 9162 UV</v>
      </c>
      <c r="U71" s="17" t="str">
        <f>IFERROR(__xludf.DUMMYFUNCTION("""COMPUTED_VALUE"""),"TLPG TJ PERAK")</f>
        <v>TLPG TJ PERAK</v>
      </c>
      <c r="V71" s="17" t="str">
        <f>IFERROR(__xludf.DUMMYFUNCTION("""COMPUTED_VALUE"""),"PT SINAR WAHANA SURYA")</f>
        <v>PT SINAR WAHANA SURYA</v>
      </c>
      <c r="W71" s="17">
        <f>IFERROR(__xludf.DUMMYFUNCTION("""COMPUTED_VALUE"""),146.9)</f>
        <v>146.9</v>
      </c>
      <c r="X71" s="17" t="str">
        <f>IFERROR(__xludf.DUMMYFUNCTION("""COMPUTED_VALUE"""),"SEDANG")</f>
        <v>SEDANG</v>
      </c>
      <c r="Y71" s="17">
        <f>IFERROR(__xludf.DUMMYFUNCTION("""COMPUTED_VALUE"""),2.0)</f>
        <v>2</v>
      </c>
      <c r="Z71" s="17">
        <f>IFERROR(__xludf.DUMMYFUNCTION("""COMPUTED_VALUE"""),9.0)</f>
        <v>9</v>
      </c>
      <c r="AB71" s="48" t="str">
        <f>IFERROR(__xludf.DUMMYFUNCTION("""COMPUTED_VALUE"""),"PT GAS MADURA PRATAMA")</f>
        <v>PT GAS MADURA PRATAMA</v>
      </c>
      <c r="AC71" s="48" t="str">
        <f>IFERROR(__xludf.DUMMYFUNCTION("""COMPUTED_VALUE"""),"M 9728 UA")</f>
        <v>M 9728 UA</v>
      </c>
      <c r="AD71" s="48" t="str">
        <f>IFERROR(__xludf.DUMMYFUNCTION("""COMPUTED_VALUE"""),"TLPG TJ PERAK")</f>
        <v>TLPG TJ PERAK</v>
      </c>
      <c r="AE71" s="17">
        <f>IFERROR(__xludf.DUMMYFUNCTION("""COMPUTED_VALUE"""),8.0)</f>
        <v>8</v>
      </c>
    </row>
    <row r="72">
      <c r="A72" s="12">
        <v>70.0</v>
      </c>
      <c r="B72" s="9" t="s">
        <v>89</v>
      </c>
      <c r="C72" s="9" t="s">
        <v>7</v>
      </c>
      <c r="D72" s="9" t="s">
        <v>343</v>
      </c>
      <c r="E72" s="49">
        <v>128.4</v>
      </c>
      <c r="F72" s="23" t="s">
        <v>454</v>
      </c>
      <c r="G72" s="9" t="str">
        <f>IFERROR(VLOOKUP(C72,'MASTER TLPG'!A:B,2,FALSE),"")</f>
        <v>-7.203807110524606, 112.71950675497641</v>
      </c>
      <c r="H72" s="9" t="str">
        <f>IFERROR(VLOOKUP(D72,'MASTER PERUSAHAAN'!A:B,2,FALSE),"")</f>
        <v>-7.8367228841952175, 112.05802528595638</v>
      </c>
      <c r="J72" s="9" t="str">
        <f t="shared" si="1"/>
        <v>SEDANG</v>
      </c>
      <c r="K72" s="11">
        <f t="shared" si="2"/>
        <v>2</v>
      </c>
      <c r="M72" s="17">
        <v>3.0</v>
      </c>
      <c r="N72" s="17"/>
      <c r="O72" s="17"/>
      <c r="P72" s="17"/>
      <c r="Q72" s="17"/>
      <c r="R72" s="17"/>
      <c r="S72" s="17"/>
      <c r="T72" s="17" t="str">
        <f>IFERROR(__xludf.DUMMYFUNCTION("""COMPUTED_VALUE"""),"N 9425 UU")</f>
        <v>N 9425 UU</v>
      </c>
      <c r="U72" s="17" t="str">
        <f>IFERROR(__xludf.DUMMYFUNCTION("""COMPUTED_VALUE"""),"TLPG TJ PERAK")</f>
        <v>TLPG TJ PERAK</v>
      </c>
      <c r="V72" s="17" t="str">
        <f>IFERROR(__xludf.DUMMYFUNCTION("""COMPUTED_VALUE"""),"PT SINAR WAHANA SURYA")</f>
        <v>PT SINAR WAHANA SURYA</v>
      </c>
      <c r="W72" s="17">
        <f>IFERROR(__xludf.DUMMYFUNCTION("""COMPUTED_VALUE"""),146.9)</f>
        <v>146.9</v>
      </c>
      <c r="X72" s="17" t="str">
        <f>IFERROR(__xludf.DUMMYFUNCTION("""COMPUTED_VALUE"""),"SEDANG")</f>
        <v>SEDANG</v>
      </c>
      <c r="Y72" s="17">
        <f>IFERROR(__xludf.DUMMYFUNCTION("""COMPUTED_VALUE"""),2.0)</f>
        <v>2</v>
      </c>
      <c r="Z72" s="17">
        <f>IFERROR(__xludf.DUMMYFUNCTION("""COMPUTED_VALUE"""),10.0)</f>
        <v>10</v>
      </c>
      <c r="AB72" s="48" t="str">
        <f>IFERROR(__xludf.DUMMYFUNCTION("""COMPUTED_VALUE"""),"PT GAS MADURA PRATAMA")</f>
        <v>PT GAS MADURA PRATAMA</v>
      </c>
      <c r="AC72" s="48" t="str">
        <f>IFERROR(__xludf.DUMMYFUNCTION("""COMPUTED_VALUE"""),"M 9757 UA")</f>
        <v>M 9757 UA</v>
      </c>
      <c r="AD72" s="48" t="str">
        <f>IFERROR(__xludf.DUMMYFUNCTION("""COMPUTED_VALUE"""),"TLPG TJ PERAK")</f>
        <v>TLPG TJ PERAK</v>
      </c>
      <c r="AE72" s="17">
        <f>IFERROR(__xludf.DUMMYFUNCTION("""COMPUTED_VALUE"""),8.0)</f>
        <v>8</v>
      </c>
    </row>
    <row r="73">
      <c r="A73" s="12">
        <v>71.0</v>
      </c>
      <c r="B73" s="9" t="s">
        <v>90</v>
      </c>
      <c r="C73" s="9" t="s">
        <v>25</v>
      </c>
      <c r="D73" s="9" t="s">
        <v>83</v>
      </c>
      <c r="E73" s="9"/>
      <c r="G73" s="9" t="str">
        <f>IFERROR(VLOOKUP(C73,'MASTER TLPG'!A:B,2,FALSE),"")</f>
        <v>-7.109201954744449, 112.62272164861744</v>
      </c>
      <c r="H73" s="9" t="str">
        <f>IFERROR(VLOOKUP(D73,'MASTER PERUSAHAAN'!A:B,2,FALSE),"")</f>
        <v/>
      </c>
      <c r="J73" s="9" t="str">
        <f t="shared" si="1"/>
        <v/>
      </c>
      <c r="K73" s="11" t="str">
        <f t="shared" si="2"/>
        <v/>
      </c>
      <c r="M73" s="17">
        <v>3.0</v>
      </c>
      <c r="N73" s="17"/>
      <c r="O73" s="17"/>
      <c r="P73" s="17"/>
      <c r="Q73" s="17"/>
      <c r="R73" s="17"/>
      <c r="S73" s="17"/>
      <c r="T73" s="17" t="str">
        <f>IFERROR(__xludf.DUMMYFUNCTION("""COMPUTED_VALUE"""),"N 9262 UF")</f>
        <v>N 9262 UF</v>
      </c>
      <c r="U73" s="17" t="str">
        <f>IFERROR(__xludf.DUMMYFUNCTION("""COMPUTED_VALUE"""),"TLPG MEM GRESIK")</f>
        <v>TLPG MEM GRESIK</v>
      </c>
      <c r="V73" s="17" t="str">
        <f>IFERROR(__xludf.DUMMYFUNCTION("""COMPUTED_VALUE"""),"PT SINAR WAHANA SURYA")</f>
        <v>PT SINAR WAHANA SURYA</v>
      </c>
      <c r="W73" s="17">
        <f>IFERROR(__xludf.DUMMYFUNCTION("""COMPUTED_VALUE"""),142.0)</f>
        <v>142</v>
      </c>
      <c r="X73" s="17" t="str">
        <f>IFERROR(__xludf.DUMMYFUNCTION("""COMPUTED_VALUE"""),"SEDANG")</f>
        <v>SEDANG</v>
      </c>
      <c r="Y73" s="17">
        <f>IFERROR(__xludf.DUMMYFUNCTION("""COMPUTED_VALUE"""),2.0)</f>
        <v>2</v>
      </c>
      <c r="Z73" s="17">
        <f>IFERROR(__xludf.DUMMYFUNCTION("""COMPUTED_VALUE"""),9.0)</f>
        <v>9</v>
      </c>
      <c r="AB73" s="48" t="str">
        <f>IFERROR(__xludf.DUMMYFUNCTION("""COMPUTED_VALUE"""),"PT GEHA INTI CITRA")</f>
        <v>PT GEHA INTI CITRA</v>
      </c>
      <c r="AC73" s="48" t="str">
        <f>IFERROR(__xludf.DUMMYFUNCTION("""COMPUTED_VALUE"""),"L 9718 UD")</f>
        <v>L 9718 UD</v>
      </c>
      <c r="AD73" s="48" t="str">
        <f>IFERROR(__xludf.DUMMYFUNCTION("""COMPUTED_VALUE"""),"TLPG TJ PERAK")</f>
        <v>TLPG TJ PERAK</v>
      </c>
      <c r="AE73" s="17">
        <f>IFERROR(__xludf.DUMMYFUNCTION("""COMPUTED_VALUE"""),2.0)</f>
        <v>2</v>
      </c>
    </row>
    <row r="74">
      <c r="A74" s="12">
        <v>72.0</v>
      </c>
      <c r="B74" s="9" t="s">
        <v>91</v>
      </c>
      <c r="C74" s="9" t="s">
        <v>25</v>
      </c>
      <c r="D74" s="9" t="s">
        <v>371</v>
      </c>
      <c r="E74" s="9"/>
      <c r="G74" s="9" t="str">
        <f>IFERROR(VLOOKUP(C74,'MASTER TLPG'!A:B,2,FALSE),"")</f>
        <v>-7.109201954744449, 112.62272164861744</v>
      </c>
      <c r="H74" s="9" t="str">
        <f>IFERROR(VLOOKUP(D74,'MASTER PERUSAHAAN'!A:B,2,FALSE),"")</f>
        <v/>
      </c>
      <c r="J74" s="9" t="str">
        <f t="shared" si="1"/>
        <v/>
      </c>
      <c r="K74" s="11" t="str">
        <f t="shared" si="2"/>
        <v/>
      </c>
      <c r="M74" s="17">
        <v>3.0</v>
      </c>
      <c r="N74" s="17"/>
      <c r="O74" s="17"/>
      <c r="P74" s="17"/>
      <c r="Q74" s="17"/>
      <c r="R74" s="17"/>
      <c r="S74" s="17"/>
      <c r="T74" s="17" t="str">
        <f>IFERROR(__xludf.DUMMYFUNCTION("""COMPUTED_VALUE"""),"N 9509 UG")</f>
        <v>N 9509 UG</v>
      </c>
      <c r="U74" s="17" t="str">
        <f>IFERROR(__xludf.DUMMYFUNCTION("""COMPUTED_VALUE"""),"TLPG MEM GRESIK")</f>
        <v>TLPG MEM GRESIK</v>
      </c>
      <c r="V74" s="17" t="str">
        <f>IFERROR(__xludf.DUMMYFUNCTION("""COMPUTED_VALUE"""),"PT SINAR WAHANA SURYA")</f>
        <v>PT SINAR WAHANA SURYA</v>
      </c>
      <c r="W74" s="17">
        <f>IFERROR(__xludf.DUMMYFUNCTION("""COMPUTED_VALUE"""),142.0)</f>
        <v>142</v>
      </c>
      <c r="X74" s="17" t="str">
        <f>IFERROR(__xludf.DUMMYFUNCTION("""COMPUTED_VALUE"""),"SEDANG")</f>
        <v>SEDANG</v>
      </c>
      <c r="Y74" s="17">
        <f>IFERROR(__xludf.DUMMYFUNCTION("""COMPUTED_VALUE"""),2.0)</f>
        <v>2</v>
      </c>
      <c r="Z74" s="17">
        <f>IFERROR(__xludf.DUMMYFUNCTION("""COMPUTED_VALUE"""),9.0)</f>
        <v>9</v>
      </c>
      <c r="AB74" s="48" t="str">
        <f>IFERROR(__xludf.DUMMYFUNCTION("""COMPUTED_VALUE"""),"PT GEHA INTI CITRA")</f>
        <v>PT GEHA INTI CITRA</v>
      </c>
      <c r="AC74" s="48" t="str">
        <f>IFERROR(__xludf.DUMMYFUNCTION("""COMPUTED_VALUE"""),"L 9161 UB")</f>
        <v>L 9161 UB</v>
      </c>
      <c r="AD74" s="48" t="str">
        <f>IFERROR(__xludf.DUMMYFUNCTION("""COMPUTED_VALUE"""),"TLPG TJ PERAK")</f>
        <v>TLPG TJ PERAK</v>
      </c>
      <c r="AE74" s="17">
        <f>IFERROR(__xludf.DUMMYFUNCTION("""COMPUTED_VALUE"""),6.0)</f>
        <v>6</v>
      </c>
    </row>
    <row r="75">
      <c r="A75" s="12">
        <v>73.0</v>
      </c>
      <c r="B75" s="9" t="s">
        <v>92</v>
      </c>
      <c r="C75" s="9" t="s">
        <v>25</v>
      </c>
      <c r="D75" s="9" t="s">
        <v>83</v>
      </c>
      <c r="E75" s="9"/>
      <c r="G75" s="9" t="str">
        <f>IFERROR(VLOOKUP(C75,'MASTER TLPG'!A:B,2,FALSE),"")</f>
        <v>-7.109201954744449, 112.62272164861744</v>
      </c>
      <c r="H75" s="9" t="str">
        <f>IFERROR(VLOOKUP(D75,'MASTER PERUSAHAAN'!A:B,2,FALSE),"")</f>
        <v/>
      </c>
      <c r="J75" s="9" t="str">
        <f t="shared" si="1"/>
        <v/>
      </c>
      <c r="K75" s="11" t="str">
        <f t="shared" si="2"/>
        <v/>
      </c>
      <c r="M75" s="17">
        <v>3.0</v>
      </c>
      <c r="N75" s="17"/>
      <c r="O75" s="17"/>
      <c r="P75" s="17"/>
      <c r="Q75" s="17"/>
      <c r="R75" s="17"/>
      <c r="S75" s="17"/>
      <c r="T75" s="17" t="str">
        <f>IFERROR(__xludf.DUMMYFUNCTION("""COMPUTED_VALUE"""),"N 9659 UG")</f>
        <v>N 9659 UG</v>
      </c>
      <c r="U75" s="17" t="str">
        <f>IFERROR(__xludf.DUMMYFUNCTION("""COMPUTED_VALUE"""),"TLPG MEM GRESIK")</f>
        <v>TLPG MEM GRESIK</v>
      </c>
      <c r="V75" s="17" t="str">
        <f>IFERROR(__xludf.DUMMYFUNCTION("""COMPUTED_VALUE"""),"PT SINAR WAHANA SURYA")</f>
        <v>PT SINAR WAHANA SURYA</v>
      </c>
      <c r="W75" s="17">
        <f>IFERROR(__xludf.DUMMYFUNCTION("""COMPUTED_VALUE"""),142.0)</f>
        <v>142</v>
      </c>
      <c r="X75" s="17" t="str">
        <f>IFERROR(__xludf.DUMMYFUNCTION("""COMPUTED_VALUE"""),"SEDANG")</f>
        <v>SEDANG</v>
      </c>
      <c r="Y75" s="17">
        <f>IFERROR(__xludf.DUMMYFUNCTION("""COMPUTED_VALUE"""),2.0)</f>
        <v>2</v>
      </c>
      <c r="Z75" s="17">
        <f>IFERROR(__xludf.DUMMYFUNCTION("""COMPUTED_VALUE"""),9.0)</f>
        <v>9</v>
      </c>
      <c r="AB75" s="48" t="str">
        <f>IFERROR(__xludf.DUMMYFUNCTION("""COMPUTED_VALUE"""),"PT GEHA INTI CITRA")</f>
        <v>PT GEHA INTI CITRA</v>
      </c>
      <c r="AC75" s="48" t="str">
        <f>IFERROR(__xludf.DUMMYFUNCTION("""COMPUTED_VALUE"""),"L 9290 UQ")</f>
        <v>L 9290 UQ</v>
      </c>
      <c r="AD75" s="48" t="str">
        <f>IFERROR(__xludf.DUMMYFUNCTION("""COMPUTED_VALUE"""),"TLPG TJ PERAK")</f>
        <v>TLPG TJ PERAK</v>
      </c>
      <c r="AE75" s="17">
        <f>IFERROR(__xludf.DUMMYFUNCTION("""COMPUTED_VALUE"""),6.0)</f>
        <v>6</v>
      </c>
    </row>
    <row r="76">
      <c r="A76" s="12">
        <v>74.0</v>
      </c>
      <c r="B76" s="9" t="s">
        <v>93</v>
      </c>
      <c r="C76" s="9" t="s">
        <v>25</v>
      </c>
      <c r="D76" s="9" t="s">
        <v>83</v>
      </c>
      <c r="E76" s="9"/>
      <c r="G76" s="9" t="str">
        <f>IFERROR(VLOOKUP(C76,'MASTER TLPG'!A:B,2,FALSE),"")</f>
        <v>-7.109201954744449, 112.62272164861744</v>
      </c>
      <c r="H76" s="9" t="str">
        <f>IFERROR(VLOOKUP(D76,'MASTER PERUSAHAAN'!A:B,2,FALSE),"")</f>
        <v/>
      </c>
      <c r="J76" s="9" t="str">
        <f t="shared" si="1"/>
        <v/>
      </c>
      <c r="K76" s="11" t="str">
        <f t="shared" si="2"/>
        <v/>
      </c>
      <c r="M76" s="17">
        <v>3.0</v>
      </c>
      <c r="N76" s="17"/>
      <c r="O76" s="17"/>
      <c r="P76" s="17"/>
      <c r="Q76" s="17"/>
      <c r="R76" s="17"/>
      <c r="S76" s="17"/>
      <c r="T76" s="17" t="str">
        <f>IFERROR(__xludf.DUMMYFUNCTION("""COMPUTED_VALUE"""),"N 9661 UG")</f>
        <v>N 9661 UG</v>
      </c>
      <c r="U76" s="17" t="str">
        <f>IFERROR(__xludf.DUMMYFUNCTION("""COMPUTED_VALUE"""),"TLPG MEM GRESIK")</f>
        <v>TLPG MEM GRESIK</v>
      </c>
      <c r="V76" s="17" t="str">
        <f>IFERROR(__xludf.DUMMYFUNCTION("""COMPUTED_VALUE"""),"PT SINAR WAHANA SURYA")</f>
        <v>PT SINAR WAHANA SURYA</v>
      </c>
      <c r="W76" s="17">
        <f>IFERROR(__xludf.DUMMYFUNCTION("""COMPUTED_VALUE"""),142.0)</f>
        <v>142</v>
      </c>
      <c r="X76" s="17" t="str">
        <f>IFERROR(__xludf.DUMMYFUNCTION("""COMPUTED_VALUE"""),"SEDANG")</f>
        <v>SEDANG</v>
      </c>
      <c r="Y76" s="17">
        <f>IFERROR(__xludf.DUMMYFUNCTION("""COMPUTED_VALUE"""),2.0)</f>
        <v>2</v>
      </c>
      <c r="Z76" s="17">
        <f>IFERROR(__xludf.DUMMYFUNCTION("""COMPUTED_VALUE"""),10.0)</f>
        <v>10</v>
      </c>
      <c r="AB76" s="48" t="str">
        <f>IFERROR(__xludf.DUMMYFUNCTION("""COMPUTED_VALUE"""),"PT GEHA INTI CITRA")</f>
        <v>PT GEHA INTI CITRA</v>
      </c>
      <c r="AC76" s="48" t="str">
        <f>IFERROR(__xludf.DUMMYFUNCTION("""COMPUTED_VALUE"""),"L 8333 UCA")</f>
        <v>L 8333 UCA</v>
      </c>
      <c r="AD76" s="48" t="str">
        <f>IFERROR(__xludf.DUMMYFUNCTION("""COMPUTED_VALUE"""),"TLPG TJ PERAK")</f>
        <v>TLPG TJ PERAK</v>
      </c>
      <c r="AE76" s="17">
        <f>IFERROR(__xludf.DUMMYFUNCTION("""COMPUTED_VALUE"""),8.0)</f>
        <v>8</v>
      </c>
    </row>
    <row r="77">
      <c r="A77" s="12">
        <v>75.0</v>
      </c>
      <c r="B77" s="9" t="s">
        <v>94</v>
      </c>
      <c r="C77" s="9" t="s">
        <v>32</v>
      </c>
      <c r="D77" s="9" t="s">
        <v>425</v>
      </c>
      <c r="E77" s="49">
        <v>22.5</v>
      </c>
      <c r="F77" s="23" t="s">
        <v>454</v>
      </c>
      <c r="G77" s="9" t="str">
        <f>IFERROR(VLOOKUP(C77,'MASTER TLPG'!A:B,2,FALSE),"")</f>
        <v>-8.509457097470957, 115.50344705076587</v>
      </c>
      <c r="H77" s="9" t="str">
        <f>IFERROR(VLOOKUP(D77,'MASTER PERUSAHAAN'!A:B,2,FALSE),"")</f>
        <v>-8.45553539510849, 115.60228314415517</v>
      </c>
      <c r="J77" s="9" t="str">
        <f t="shared" si="1"/>
        <v>DEKAT</v>
      </c>
      <c r="K77" s="11">
        <f t="shared" si="2"/>
        <v>1</v>
      </c>
      <c r="M77" s="17">
        <v>3.0</v>
      </c>
      <c r="N77" s="17"/>
      <c r="O77" s="17"/>
      <c r="P77" s="17"/>
      <c r="Q77" s="17"/>
      <c r="R77" s="17"/>
      <c r="S77" s="17"/>
      <c r="T77" s="17" t="str">
        <f>IFERROR(__xludf.DUMMYFUNCTION("""COMPUTED_VALUE"""),"S 8560 UC")</f>
        <v>S 8560 UC</v>
      </c>
      <c r="U77" s="17" t="str">
        <f>IFERROR(__xludf.DUMMYFUNCTION("""COMPUTED_VALUE"""),"TLPG TJ PERAK")</f>
        <v>TLPG TJ PERAK</v>
      </c>
      <c r="V77" s="17" t="str">
        <f>IFERROR(__xludf.DUMMYFUNCTION("""COMPUTED_VALUE"""),"PT KURNIAWAN MEKAR AGUNG ABADI")</f>
        <v>PT KURNIAWAN MEKAR AGUNG ABADI</v>
      </c>
      <c r="W77" s="17">
        <f>IFERROR(__xludf.DUMMYFUNCTION("""COMPUTED_VALUE"""),140.5)</f>
        <v>140.5</v>
      </c>
      <c r="X77" s="17" t="str">
        <f>IFERROR(__xludf.DUMMYFUNCTION("""COMPUTED_VALUE"""),"SEDANG")</f>
        <v>SEDANG</v>
      </c>
      <c r="Y77" s="17">
        <f>IFERROR(__xludf.DUMMYFUNCTION("""COMPUTED_VALUE"""),2.0)</f>
        <v>2</v>
      </c>
      <c r="Z77" s="17">
        <f>IFERROR(__xludf.DUMMYFUNCTION("""COMPUTED_VALUE"""),11.0)</f>
        <v>11</v>
      </c>
      <c r="AB77" s="48" t="str">
        <f>IFERROR(__xludf.DUMMYFUNCTION("""COMPUTED_VALUE"""),"PT GELORA MERATUS MANDIRI")</f>
        <v>PT GELORA MERATUS MANDIRI</v>
      </c>
      <c r="AC77" s="48" t="str">
        <f>IFERROR(__xludf.DUMMYFUNCTION("""COMPUTED_VALUE"""),"L 8107 UUA")</f>
        <v>L 8107 UUA</v>
      </c>
      <c r="AD77" s="48" t="str">
        <f>IFERROR(__xludf.DUMMYFUNCTION("""COMPUTED_VALUE"""),"TLPG TJ PERAK")</f>
        <v>TLPG TJ PERAK</v>
      </c>
      <c r="AE77" s="17">
        <f>IFERROR(__xludf.DUMMYFUNCTION("""COMPUTED_VALUE"""),5.0)</f>
        <v>5</v>
      </c>
    </row>
    <row r="78">
      <c r="A78" s="12">
        <v>76.0</v>
      </c>
      <c r="B78" s="9" t="s">
        <v>95</v>
      </c>
      <c r="C78" s="9" t="s">
        <v>32</v>
      </c>
      <c r="D78" s="9" t="s">
        <v>299</v>
      </c>
      <c r="E78" s="49">
        <v>17.2</v>
      </c>
      <c r="F78" s="23" t="s">
        <v>454</v>
      </c>
      <c r="G78" s="9" t="str">
        <f>IFERROR(VLOOKUP(C78,'MASTER TLPG'!A:B,2,FALSE),"")</f>
        <v>-8.509457097470957, 115.50344705076587</v>
      </c>
      <c r="H78" s="9" t="str">
        <f>IFERROR(VLOOKUP(D78,'MASTER PERUSAHAAN'!A:B,2,FALSE),"")</f>
        <v>-8.56709037351299, 115.3964158129068</v>
      </c>
      <c r="J78" s="9" t="str">
        <f t="shared" si="1"/>
        <v>DEKAT</v>
      </c>
      <c r="K78" s="11">
        <f t="shared" si="2"/>
        <v>1</v>
      </c>
      <c r="M78" s="17">
        <v>3.0</v>
      </c>
      <c r="N78" s="17"/>
      <c r="O78" s="17"/>
      <c r="P78" s="17"/>
      <c r="Q78" s="17"/>
      <c r="R78" s="17"/>
      <c r="S78" s="17"/>
      <c r="T78" s="17" t="str">
        <f>IFERROR(__xludf.DUMMYFUNCTION("""COMPUTED_VALUE"""),"AG 8126 UF")</f>
        <v>AG 8126 UF</v>
      </c>
      <c r="U78" s="17" t="str">
        <f>IFERROR(__xludf.DUMMYFUNCTION("""COMPUTED_VALUE"""),"TLPG TJ PERAK")</f>
        <v>TLPG TJ PERAK</v>
      </c>
      <c r="V78" s="17" t="str">
        <f>IFERROR(__xludf.DUMMYFUNCTION("""COMPUTED_VALUE"""),"PT NARA RIZKA MANUNGGAL")</f>
        <v>PT NARA RIZKA MANUNGGAL</v>
      </c>
      <c r="W78" s="17">
        <f>IFERROR(__xludf.DUMMYFUNCTION("""COMPUTED_VALUE"""),137.8)</f>
        <v>137.8</v>
      </c>
      <c r="X78" s="17" t="str">
        <f>IFERROR(__xludf.DUMMYFUNCTION("""COMPUTED_VALUE"""),"SEDANG")</f>
        <v>SEDANG</v>
      </c>
      <c r="Y78" s="17">
        <f>IFERROR(__xludf.DUMMYFUNCTION("""COMPUTED_VALUE"""),2.0)</f>
        <v>2</v>
      </c>
      <c r="Z78" s="17">
        <f>IFERROR(__xludf.DUMMYFUNCTION("""COMPUTED_VALUE"""),3.0)</f>
        <v>3</v>
      </c>
      <c r="AB78" s="48" t="str">
        <f>IFERROR(__xludf.DUMMYFUNCTION("""COMPUTED_VALUE"""),"PT GOENADI GASINDO PRATAMA")</f>
        <v>PT GOENADI GASINDO PRATAMA</v>
      </c>
      <c r="AC78" s="48" t="str">
        <f>IFERROR(__xludf.DUMMYFUNCTION("""COMPUTED_VALUE"""),"L 8537 UD")</f>
        <v>L 8537 UD</v>
      </c>
      <c r="AD78" s="48" t="str">
        <f>IFERROR(__xludf.DUMMYFUNCTION("""COMPUTED_VALUE"""),"TLPG TJ PERAK")</f>
        <v>TLPG TJ PERAK</v>
      </c>
      <c r="AE78" s="17">
        <f>IFERROR(__xludf.DUMMYFUNCTION("""COMPUTED_VALUE"""),4.0)</f>
        <v>4</v>
      </c>
    </row>
    <row r="79">
      <c r="A79" s="12">
        <v>77.0</v>
      </c>
      <c r="B79" s="9" t="s">
        <v>96</v>
      </c>
      <c r="C79" s="9" t="s">
        <v>32</v>
      </c>
      <c r="D79" s="9" t="s">
        <v>157</v>
      </c>
      <c r="E79" s="49">
        <v>93.9</v>
      </c>
      <c r="F79" s="23" t="s">
        <v>454</v>
      </c>
      <c r="G79" s="9" t="str">
        <f>IFERROR(VLOOKUP(C79,'MASTER TLPG'!A:B,2,FALSE),"")</f>
        <v>-8.509457097470957, 115.50344705076587</v>
      </c>
      <c r="H79" s="9" t="str">
        <f>IFERROR(VLOOKUP(D79,'MASTER PERUSAHAAN'!A:B,2,FALSE),"")</f>
        <v>-8.437163781385188, 114.86379993252038</v>
      </c>
      <c r="J79" s="9" t="str">
        <f t="shared" si="1"/>
        <v>SEDANG</v>
      </c>
      <c r="K79" s="11">
        <f t="shared" si="2"/>
        <v>2</v>
      </c>
      <c r="M79" s="17">
        <v>3.0</v>
      </c>
      <c r="N79" s="17"/>
      <c r="O79" s="17"/>
      <c r="P79" s="17"/>
      <c r="Q79" s="17"/>
      <c r="R79" s="17"/>
      <c r="S79" s="17"/>
      <c r="T79" s="17" t="str">
        <f>IFERROR(__xludf.DUMMYFUNCTION("""COMPUTED_VALUE"""),"AG 8128 UF")</f>
        <v>AG 8128 UF</v>
      </c>
      <c r="U79" s="17" t="str">
        <f>IFERROR(__xludf.DUMMYFUNCTION("""COMPUTED_VALUE"""),"TLPG TJ PERAK")</f>
        <v>TLPG TJ PERAK</v>
      </c>
      <c r="V79" s="17" t="str">
        <f>IFERROR(__xludf.DUMMYFUNCTION("""COMPUTED_VALUE"""),"PT NARA RIZKA MANUNGGAL")</f>
        <v>PT NARA RIZKA MANUNGGAL</v>
      </c>
      <c r="W79" s="17">
        <f>IFERROR(__xludf.DUMMYFUNCTION("""COMPUTED_VALUE"""),137.8)</f>
        <v>137.8</v>
      </c>
      <c r="X79" s="17" t="str">
        <f>IFERROR(__xludf.DUMMYFUNCTION("""COMPUTED_VALUE"""),"SEDANG")</f>
        <v>SEDANG</v>
      </c>
      <c r="Y79" s="17">
        <f>IFERROR(__xludf.DUMMYFUNCTION("""COMPUTED_VALUE"""),2.0)</f>
        <v>2</v>
      </c>
      <c r="Z79" s="17">
        <f>IFERROR(__xludf.DUMMYFUNCTION("""COMPUTED_VALUE"""),3.0)</f>
        <v>3</v>
      </c>
      <c r="AB79" s="48" t="str">
        <f>IFERROR(__xludf.DUMMYFUNCTION("""COMPUTED_VALUE"""),"PT GOENADI GASINDO PRATAMA")</f>
        <v>PT GOENADI GASINDO PRATAMA</v>
      </c>
      <c r="AC79" s="48" t="str">
        <f>IFERROR(__xludf.DUMMYFUNCTION("""COMPUTED_VALUE"""),"L 8973 UU")</f>
        <v>L 8973 UU</v>
      </c>
      <c r="AD79" s="48" t="str">
        <f>IFERROR(__xludf.DUMMYFUNCTION("""COMPUTED_VALUE"""),"TLPG TJ PERAK")</f>
        <v>TLPG TJ PERAK</v>
      </c>
      <c r="AE79" s="17">
        <f>IFERROR(__xludf.DUMMYFUNCTION("""COMPUTED_VALUE"""),6.0)</f>
        <v>6</v>
      </c>
    </row>
    <row r="80">
      <c r="A80" s="12">
        <v>78.0</v>
      </c>
      <c r="B80" s="9" t="s">
        <v>97</v>
      </c>
      <c r="C80" s="9" t="s">
        <v>5</v>
      </c>
      <c r="D80" s="9" t="s">
        <v>404</v>
      </c>
      <c r="E80" s="49">
        <v>39.2</v>
      </c>
      <c r="F80" s="23" t="s">
        <v>454</v>
      </c>
      <c r="G80" s="9" t="str">
        <f>IFERROR(VLOOKUP(C80,'MASTER TLPG'!A:B,2,FALSE),"")</f>
        <v>-8.749911797697688, 116.03590255003817</v>
      </c>
      <c r="H80" s="9" t="str">
        <f>IFERROR(VLOOKUP(D80,'MASTER PERUSAHAAN'!A:B,2,FALSE),"")</f>
        <v>-8.697862228020872, 116.20081245889016</v>
      </c>
      <c r="J80" s="9" t="str">
        <f t="shared" si="1"/>
        <v>DEKAT</v>
      </c>
      <c r="K80" s="11">
        <f t="shared" si="2"/>
        <v>1</v>
      </c>
      <c r="M80" s="17">
        <v>3.0</v>
      </c>
      <c r="N80" s="17"/>
      <c r="O80" s="17"/>
      <c r="P80" s="17"/>
      <c r="Q80" s="17"/>
      <c r="R80" s="17"/>
      <c r="S80" s="17"/>
      <c r="T80" s="17" t="str">
        <f>IFERROR(__xludf.DUMMYFUNCTION("""COMPUTED_VALUE"""),"AG 8129 UF")</f>
        <v>AG 8129 UF</v>
      </c>
      <c r="U80" s="17" t="str">
        <f>IFERROR(__xludf.DUMMYFUNCTION("""COMPUTED_VALUE"""),"TLPG TJ PERAK")</f>
        <v>TLPG TJ PERAK</v>
      </c>
      <c r="V80" s="17" t="str">
        <f>IFERROR(__xludf.DUMMYFUNCTION("""COMPUTED_VALUE"""),"PT NARA RIZKA MANUNGGAL")</f>
        <v>PT NARA RIZKA MANUNGGAL</v>
      </c>
      <c r="W80" s="17">
        <f>IFERROR(__xludf.DUMMYFUNCTION("""COMPUTED_VALUE"""),137.8)</f>
        <v>137.8</v>
      </c>
      <c r="X80" s="17" t="str">
        <f>IFERROR(__xludf.DUMMYFUNCTION("""COMPUTED_VALUE"""),"SEDANG")</f>
        <v>SEDANG</v>
      </c>
      <c r="Y80" s="17">
        <f>IFERROR(__xludf.DUMMYFUNCTION("""COMPUTED_VALUE"""),2.0)</f>
        <v>2</v>
      </c>
      <c r="Z80" s="17">
        <f>IFERROR(__xludf.DUMMYFUNCTION("""COMPUTED_VALUE"""),3.0)</f>
        <v>3</v>
      </c>
      <c r="AB80" s="48" t="str">
        <f>IFERROR(__xludf.DUMMYFUNCTION("""COMPUTED_VALUE"""),"PT GUBAH TIARA PERKASA")</f>
        <v>PT GUBAH TIARA PERKASA</v>
      </c>
      <c r="AC80" s="48" t="str">
        <f>IFERROR(__xludf.DUMMYFUNCTION("""COMPUTED_VALUE"""),"AE 8850 UT")</f>
        <v>AE 8850 UT</v>
      </c>
      <c r="AD80" s="48" t="str">
        <f>IFERROR(__xludf.DUMMYFUNCTION("""COMPUTED_VALUE"""),"TLPG TJ PERAK")</f>
        <v>TLPG TJ PERAK</v>
      </c>
      <c r="AE80" s="17">
        <f>IFERROR(__xludf.DUMMYFUNCTION("""COMPUTED_VALUE"""),6.0)</f>
        <v>6</v>
      </c>
    </row>
    <row r="81">
      <c r="A81" s="12">
        <v>79.0</v>
      </c>
      <c r="B81" s="9" t="s">
        <v>98</v>
      </c>
      <c r="C81" s="9" t="s">
        <v>5</v>
      </c>
      <c r="D81" s="9" t="s">
        <v>404</v>
      </c>
      <c r="E81" s="49">
        <v>39.2</v>
      </c>
      <c r="F81" s="23" t="s">
        <v>454</v>
      </c>
      <c r="G81" s="9" t="str">
        <f>IFERROR(VLOOKUP(C81,'MASTER TLPG'!A:B,2,FALSE),"")</f>
        <v>-8.749911797697688, 116.03590255003817</v>
      </c>
      <c r="H81" s="9" t="str">
        <f>IFERROR(VLOOKUP(D81,'MASTER PERUSAHAAN'!A:B,2,FALSE),"")</f>
        <v>-8.697862228020872, 116.20081245889016</v>
      </c>
      <c r="J81" s="9" t="str">
        <f t="shared" si="1"/>
        <v>DEKAT</v>
      </c>
      <c r="K81" s="11">
        <f t="shared" si="2"/>
        <v>1</v>
      </c>
      <c r="M81" s="17">
        <v>3.0</v>
      </c>
      <c r="N81" s="17"/>
      <c r="O81" s="17"/>
      <c r="P81" s="17"/>
      <c r="Q81" s="17"/>
      <c r="R81" s="17"/>
      <c r="S81" s="17"/>
      <c r="T81" s="17" t="str">
        <f>IFERROR(__xludf.DUMMYFUNCTION("""COMPUTED_VALUE"""),"S 8848 UF")</f>
        <v>S 8848 UF</v>
      </c>
      <c r="U81" s="17" t="str">
        <f>IFERROR(__xludf.DUMMYFUNCTION("""COMPUTED_VALUE"""),"TLPG MEM GRESIK")</f>
        <v>TLPG MEM GRESIK</v>
      </c>
      <c r="V81" s="17" t="str">
        <f>IFERROR(__xludf.DUMMYFUNCTION("""COMPUTED_VALUE"""),"PT NAUMI ARUMAH ZOE")</f>
        <v>PT NAUMI ARUMAH ZOE</v>
      </c>
      <c r="W81" s="17">
        <f>IFERROR(__xludf.DUMMYFUNCTION("""COMPUTED_VALUE"""),132.2)</f>
        <v>132.2</v>
      </c>
      <c r="X81" s="17" t="str">
        <f>IFERROR(__xludf.DUMMYFUNCTION("""COMPUTED_VALUE"""),"SEDANG")</f>
        <v>SEDANG</v>
      </c>
      <c r="Y81" s="17">
        <f>IFERROR(__xludf.DUMMYFUNCTION("""COMPUTED_VALUE"""),2.0)</f>
        <v>2</v>
      </c>
      <c r="Z81" s="17">
        <f>IFERROR(__xludf.DUMMYFUNCTION("""COMPUTED_VALUE"""),11.0)</f>
        <v>11</v>
      </c>
      <c r="AB81" s="48" t="str">
        <f>IFERROR(__xludf.DUMMYFUNCTION("""COMPUTED_VALUE"""),"PT GUBAH TIARA PERKASA")</f>
        <v>PT GUBAH TIARA PERKASA</v>
      </c>
      <c r="AC81" s="48" t="str">
        <f>IFERROR(__xludf.DUMMYFUNCTION("""COMPUTED_VALUE"""),"AG 8828 UW")</f>
        <v>AG 8828 UW</v>
      </c>
      <c r="AD81" s="48" t="str">
        <f>IFERROR(__xludf.DUMMYFUNCTION("""COMPUTED_VALUE"""),"TLPG TJ PERAK")</f>
        <v>TLPG TJ PERAK</v>
      </c>
      <c r="AE81" s="17">
        <f>IFERROR(__xludf.DUMMYFUNCTION("""COMPUTED_VALUE"""),6.0)</f>
        <v>6</v>
      </c>
    </row>
    <row r="82">
      <c r="A82" s="12">
        <v>80.0</v>
      </c>
      <c r="B82" s="9" t="s">
        <v>99</v>
      </c>
      <c r="C82" s="9" t="s">
        <v>28</v>
      </c>
      <c r="D82" s="9" t="s">
        <v>428</v>
      </c>
      <c r="E82" s="49">
        <v>107.5</v>
      </c>
      <c r="F82" s="23" t="s">
        <v>454</v>
      </c>
      <c r="G82" s="9" t="str">
        <f>IFERROR(VLOOKUP(C82,'MASTER TLPG'!A:B,2,FALSE),"")</f>
        <v>-8.16862812274526, 114.38753900822569</v>
      </c>
      <c r="H82" s="9" t="str">
        <f>IFERROR(VLOOKUP(D82,'MASTER PERUSAHAAN'!A:B,2,FALSE),"")</f>
        <v>-8.209318369107072, 113.72599826686955</v>
      </c>
      <c r="J82" s="9" t="str">
        <f t="shared" si="1"/>
        <v>SEDANG</v>
      </c>
      <c r="K82" s="11">
        <f t="shared" si="2"/>
        <v>2</v>
      </c>
      <c r="M82" s="17">
        <v>3.0</v>
      </c>
      <c r="N82" s="17"/>
      <c r="O82" s="17"/>
      <c r="P82" s="17"/>
      <c r="Q82" s="17"/>
      <c r="R82" s="17"/>
      <c r="S82" s="17"/>
      <c r="T82" s="17" t="str">
        <f>IFERROR(__xludf.DUMMYFUNCTION("""COMPUTED_VALUE"""),"S 8940 UF")</f>
        <v>S 8940 UF</v>
      </c>
      <c r="U82" s="17" t="str">
        <f>IFERROR(__xludf.DUMMYFUNCTION("""COMPUTED_VALUE"""),"TLPG MEM GRESIK")</f>
        <v>TLPG MEM GRESIK</v>
      </c>
      <c r="V82" s="17" t="str">
        <f>IFERROR(__xludf.DUMMYFUNCTION("""COMPUTED_VALUE"""),"PT NAUMI ARUMAH ZOE")</f>
        <v>PT NAUMI ARUMAH ZOE</v>
      </c>
      <c r="W82" s="17">
        <f>IFERROR(__xludf.DUMMYFUNCTION("""COMPUTED_VALUE"""),132.2)</f>
        <v>132.2</v>
      </c>
      <c r="X82" s="17" t="str">
        <f>IFERROR(__xludf.DUMMYFUNCTION("""COMPUTED_VALUE"""),"SEDANG")</f>
        <v>SEDANG</v>
      </c>
      <c r="Y82" s="17">
        <f>IFERROR(__xludf.DUMMYFUNCTION("""COMPUTED_VALUE"""),2.0)</f>
        <v>2</v>
      </c>
      <c r="Z82" s="17">
        <f>IFERROR(__xludf.DUMMYFUNCTION("""COMPUTED_VALUE"""),12.0)</f>
        <v>12</v>
      </c>
      <c r="AB82" s="48" t="str">
        <f>IFERROR(__xludf.DUMMYFUNCTION("""COMPUTED_VALUE"""),"PT HAKAMINDO PETROCHEM")</f>
        <v>PT HAKAMINDO PETROCHEM</v>
      </c>
      <c r="AC82" s="48" t="str">
        <f>IFERROR(__xludf.DUMMYFUNCTION("""COMPUTED_VALUE"""),"N 9287 UN")</f>
        <v>N 9287 UN</v>
      </c>
      <c r="AD82" s="48" t="str">
        <f>IFERROR(__xludf.DUMMYFUNCTION("""COMPUTED_VALUE"""),"TLPG TJ WANGI")</f>
        <v>TLPG TJ WANGI</v>
      </c>
      <c r="AE82" s="17">
        <f>IFERROR(__xludf.DUMMYFUNCTION("""COMPUTED_VALUE"""),4.0)</f>
        <v>4</v>
      </c>
    </row>
    <row r="83">
      <c r="A83" s="12">
        <v>81.0</v>
      </c>
      <c r="B83" s="9" t="s">
        <v>100</v>
      </c>
      <c r="C83" s="9" t="s">
        <v>25</v>
      </c>
      <c r="D83" s="9" t="s">
        <v>83</v>
      </c>
      <c r="E83" s="9"/>
      <c r="G83" s="9" t="str">
        <f>IFERROR(VLOOKUP(C83,'MASTER TLPG'!A:B,2,FALSE),"")</f>
        <v>-7.109201954744449, 112.62272164861744</v>
      </c>
      <c r="H83" s="9" t="str">
        <f>IFERROR(VLOOKUP(D83,'MASTER PERUSAHAAN'!A:B,2,FALSE),"")</f>
        <v/>
      </c>
      <c r="J83" s="9" t="str">
        <f t="shared" si="1"/>
        <v/>
      </c>
      <c r="K83" s="11" t="str">
        <f t="shared" si="2"/>
        <v/>
      </c>
      <c r="M83" s="17">
        <v>3.0</v>
      </c>
      <c r="N83" s="17"/>
      <c r="O83" s="17"/>
      <c r="P83" s="17"/>
      <c r="Q83" s="17"/>
      <c r="R83" s="17"/>
      <c r="S83" s="17"/>
      <c r="T83" s="17" t="str">
        <f>IFERROR(__xludf.DUMMYFUNCTION("""COMPUTED_VALUE"""),"N 9286 UN")</f>
        <v>N 9286 UN</v>
      </c>
      <c r="U83" s="17" t="str">
        <f>IFERROR(__xludf.DUMMYFUNCTION("""COMPUTED_VALUE"""),"TLPG TJ PERAK")</f>
        <v>TLPG TJ PERAK</v>
      </c>
      <c r="V83" s="17" t="str">
        <f>IFERROR(__xludf.DUMMYFUNCTION("""COMPUTED_VALUE"""),"PT HAKAMINDO PETROCHEM")</f>
        <v>PT HAKAMINDO PETROCHEM</v>
      </c>
      <c r="W83" s="17">
        <f>IFERROR(__xludf.DUMMYFUNCTION("""COMPUTED_VALUE"""),131.7)</f>
        <v>131.7</v>
      </c>
      <c r="X83" s="17" t="str">
        <f>IFERROR(__xludf.DUMMYFUNCTION("""COMPUTED_VALUE"""),"SEDANG")</f>
        <v>SEDANG</v>
      </c>
      <c r="Y83" s="17">
        <f>IFERROR(__xludf.DUMMYFUNCTION("""COMPUTED_VALUE"""),2.0)</f>
        <v>2</v>
      </c>
      <c r="Z83" s="17">
        <f>IFERROR(__xludf.DUMMYFUNCTION("""COMPUTED_VALUE"""),9.0)</f>
        <v>9</v>
      </c>
      <c r="AB83" s="48" t="str">
        <f>IFERROR(__xludf.DUMMYFUNCTION("""COMPUTED_VALUE"""),"PT HAKAMINDO PETROCHEM")</f>
        <v>PT HAKAMINDO PETROCHEM</v>
      </c>
      <c r="AC83" s="48" t="str">
        <f>IFERROR(__xludf.DUMMYFUNCTION("""COMPUTED_VALUE"""),"N 9286 UN")</f>
        <v>N 9286 UN</v>
      </c>
      <c r="AD83" s="48" t="str">
        <f>IFERROR(__xludf.DUMMYFUNCTION("""COMPUTED_VALUE"""),"TLPG TJ PERAK")</f>
        <v>TLPG TJ PERAK</v>
      </c>
      <c r="AE83" s="17">
        <f>IFERROR(__xludf.DUMMYFUNCTION("""COMPUTED_VALUE"""),9.0)</f>
        <v>9</v>
      </c>
    </row>
    <row r="84">
      <c r="A84" s="12">
        <v>82.0</v>
      </c>
      <c r="B84" s="9" t="s">
        <v>101</v>
      </c>
      <c r="C84" s="9" t="s">
        <v>28</v>
      </c>
      <c r="D84" s="9" t="s">
        <v>184</v>
      </c>
      <c r="E84" s="9"/>
      <c r="G84" s="9" t="str">
        <f>IFERROR(VLOOKUP(C84,'MASTER TLPG'!A:B,2,FALSE),"")</f>
        <v>-8.16862812274526, 114.38753900822569</v>
      </c>
      <c r="H84" s="9" t="str">
        <f>IFERROR(VLOOKUP(D84,'MASTER PERUSAHAAN'!A:B,2,FALSE),"")</f>
        <v/>
      </c>
      <c r="J84" s="9" t="str">
        <f t="shared" si="1"/>
        <v/>
      </c>
      <c r="K84" s="11" t="str">
        <f t="shared" si="2"/>
        <v/>
      </c>
      <c r="M84" s="17">
        <v>3.0</v>
      </c>
      <c r="N84" s="17"/>
      <c r="O84" s="17"/>
      <c r="P84" s="17"/>
      <c r="Q84" s="17"/>
      <c r="R84" s="17"/>
      <c r="S84" s="17"/>
      <c r="T84" s="17" t="str">
        <f>IFERROR(__xludf.DUMMYFUNCTION("""COMPUTED_VALUE"""),"P 8436 UA")</f>
        <v>P 8436 UA</v>
      </c>
      <c r="U84" s="17" t="str">
        <f>IFERROR(__xludf.DUMMYFUNCTION("""COMPUTED_VALUE"""),"TLPG TJ WANGI")</f>
        <v>TLPG TJ WANGI</v>
      </c>
      <c r="V84" s="17" t="str">
        <f>IFERROR(__xludf.DUMMYFUNCTION("""COMPUTED_VALUE"""),"PT ARIA ENERGY PERSADA")</f>
        <v>PT ARIA ENERGY PERSADA</v>
      </c>
      <c r="W84" s="17">
        <f>IFERROR(__xludf.DUMMYFUNCTION("""COMPUTED_VALUE"""),130.1)</f>
        <v>130.1</v>
      </c>
      <c r="X84" s="17" t="str">
        <f>IFERROR(__xludf.DUMMYFUNCTION("""COMPUTED_VALUE"""),"SEDANG")</f>
        <v>SEDANG</v>
      </c>
      <c r="Y84" s="17">
        <f>IFERROR(__xludf.DUMMYFUNCTION("""COMPUTED_VALUE"""),2.0)</f>
        <v>2</v>
      </c>
      <c r="Z84" s="17">
        <f>IFERROR(__xludf.DUMMYFUNCTION("""COMPUTED_VALUE"""),9.0)</f>
        <v>9</v>
      </c>
      <c r="AB84" s="48" t="str">
        <f>IFERROR(__xludf.DUMMYFUNCTION("""COMPUTED_VALUE"""),"PT HELA CITRA AGUNG")</f>
        <v>PT HELA CITRA AGUNG</v>
      </c>
      <c r="AC84" s="48" t="str">
        <f>IFERROR(__xludf.DUMMYFUNCTION("""COMPUTED_VALUE"""),"DK 8533 CE")</f>
        <v>DK 8533 CE</v>
      </c>
      <c r="AD84" s="48" t="str">
        <f>IFERROR(__xludf.DUMMYFUNCTION("""COMPUTED_VALUE"""),"TLPG MANGGIS")</f>
        <v>TLPG MANGGIS</v>
      </c>
      <c r="AE84" s="17">
        <f>IFERROR(__xludf.DUMMYFUNCTION("""COMPUTED_VALUE"""),2.0)</f>
        <v>2</v>
      </c>
    </row>
    <row r="85">
      <c r="A85" s="12">
        <v>83.0</v>
      </c>
      <c r="B85" s="9" t="s">
        <v>102</v>
      </c>
      <c r="C85" s="9" t="s">
        <v>28</v>
      </c>
      <c r="D85" s="9" t="s">
        <v>184</v>
      </c>
      <c r="E85" s="9"/>
      <c r="G85" s="9" t="str">
        <f>IFERROR(VLOOKUP(C85,'MASTER TLPG'!A:B,2,FALSE),"")</f>
        <v>-8.16862812274526, 114.38753900822569</v>
      </c>
      <c r="H85" s="9" t="str">
        <f>IFERROR(VLOOKUP(D85,'MASTER PERUSAHAAN'!A:B,2,FALSE),"")</f>
        <v/>
      </c>
      <c r="J85" s="9" t="str">
        <f t="shared" si="1"/>
        <v/>
      </c>
      <c r="K85" s="11" t="str">
        <f t="shared" si="2"/>
        <v/>
      </c>
      <c r="M85" s="17">
        <v>3.0</v>
      </c>
      <c r="N85" s="17"/>
      <c r="O85" s="17"/>
      <c r="P85" s="17"/>
      <c r="Q85" s="17"/>
      <c r="R85" s="17"/>
      <c r="S85" s="17"/>
      <c r="T85" s="17" t="str">
        <f>IFERROR(__xludf.DUMMYFUNCTION("""COMPUTED_VALUE"""),"AG 8016 UC")</f>
        <v>AG 8016 UC</v>
      </c>
      <c r="U85" s="17" t="str">
        <f>IFERROR(__xludf.DUMMYFUNCTION("""COMPUTED_VALUE"""),"TLPG TJ PERAK")</f>
        <v>TLPG TJ PERAK</v>
      </c>
      <c r="V85" s="17" t="str">
        <f>IFERROR(__xludf.DUMMYFUNCTION("""COMPUTED_VALUE"""),"PT LIRBOYO INSAN GLOBAL")</f>
        <v>PT LIRBOYO INSAN GLOBAL</v>
      </c>
      <c r="W85" s="17">
        <f>IFERROR(__xludf.DUMMYFUNCTION("""COMPUTED_VALUE"""),129.7)</f>
        <v>129.7</v>
      </c>
      <c r="X85" s="17" t="str">
        <f>IFERROR(__xludf.DUMMYFUNCTION("""COMPUTED_VALUE"""),"SEDANG")</f>
        <v>SEDANG</v>
      </c>
      <c r="Y85" s="17">
        <f>IFERROR(__xludf.DUMMYFUNCTION("""COMPUTED_VALUE"""),2.0)</f>
        <v>2</v>
      </c>
      <c r="Z85" s="17">
        <f>IFERROR(__xludf.DUMMYFUNCTION("""COMPUTED_VALUE"""),2.0)</f>
        <v>2</v>
      </c>
      <c r="AB85" s="48" t="str">
        <f>IFERROR(__xludf.DUMMYFUNCTION("""COMPUTED_VALUE"""),"PT HELA CITRA AGUNG")</f>
        <v>PT HELA CITRA AGUNG</v>
      </c>
      <c r="AC85" s="48" t="str">
        <f>IFERROR(__xludf.DUMMYFUNCTION("""COMPUTED_VALUE"""),"L 9476 UL")</f>
        <v>L 9476 UL</v>
      </c>
      <c r="AD85" s="48" t="str">
        <f>IFERROR(__xludf.DUMMYFUNCTION("""COMPUTED_VALUE"""),"TLPG TJ PERAK")</f>
        <v>TLPG TJ PERAK</v>
      </c>
      <c r="AE85" s="17">
        <f>IFERROR(__xludf.DUMMYFUNCTION("""COMPUTED_VALUE"""),6.0)</f>
        <v>6</v>
      </c>
    </row>
    <row r="86">
      <c r="A86" s="12">
        <v>84.0</v>
      </c>
      <c r="B86" s="9" t="s">
        <v>103</v>
      </c>
      <c r="C86" s="9" t="s">
        <v>7</v>
      </c>
      <c r="D86" s="9" t="s">
        <v>204</v>
      </c>
      <c r="E86" s="49">
        <v>167.6</v>
      </c>
      <c r="F86" s="23" t="s">
        <v>454</v>
      </c>
      <c r="G86" s="9" t="str">
        <f>IFERROR(VLOOKUP(C86,'MASTER TLPG'!A:B,2,FALSE),"")</f>
        <v>-7.203807110524606, 112.71950675497641</v>
      </c>
      <c r="H86" s="9" t="str">
        <f>IFERROR(VLOOKUP(D86,'MASTER PERUSAHAAN'!A:B,2,FALSE),"")</f>
        <v>-8.096801604357731, 112.18220246923711</v>
      </c>
      <c r="J86" s="9" t="str">
        <f t="shared" si="1"/>
        <v>JAUH</v>
      </c>
      <c r="K86" s="11">
        <f t="shared" si="2"/>
        <v>3</v>
      </c>
      <c r="M86" s="17">
        <v>4.0</v>
      </c>
      <c r="N86" s="17"/>
      <c r="O86" s="17"/>
      <c r="P86" s="17"/>
      <c r="Q86" s="17"/>
      <c r="R86" s="17"/>
      <c r="S86" s="17"/>
      <c r="T86" s="17" t="str">
        <f>IFERROR(__xludf.DUMMYFUNCTION("""COMPUTED_VALUE"""),"AG 8106 UC")</f>
        <v>AG 8106 UC</v>
      </c>
      <c r="U86" s="17" t="str">
        <f>IFERROR(__xludf.DUMMYFUNCTION("""COMPUTED_VALUE"""),"TLPG TJ PERAK")</f>
        <v>TLPG TJ PERAK</v>
      </c>
      <c r="V86" s="17" t="str">
        <f>IFERROR(__xludf.DUMMYFUNCTION("""COMPUTED_VALUE"""),"PT LIRBOYO INSAN GLOBAL")</f>
        <v>PT LIRBOYO INSAN GLOBAL</v>
      </c>
      <c r="W86" s="17">
        <f>IFERROR(__xludf.DUMMYFUNCTION("""COMPUTED_VALUE"""),129.7)</f>
        <v>129.7</v>
      </c>
      <c r="X86" s="17" t="str">
        <f>IFERROR(__xludf.DUMMYFUNCTION("""COMPUTED_VALUE"""),"SEDANG")</f>
        <v>SEDANG</v>
      </c>
      <c r="Y86" s="17">
        <f>IFERROR(__xludf.DUMMYFUNCTION("""COMPUTED_VALUE"""),2.0)</f>
        <v>2</v>
      </c>
      <c r="Z86" s="17">
        <f>IFERROR(__xludf.DUMMYFUNCTION("""COMPUTED_VALUE"""),3.0)</f>
        <v>3</v>
      </c>
      <c r="AB86" s="48" t="str">
        <f>IFERROR(__xludf.DUMMYFUNCTION("""COMPUTED_VALUE"""),"PT HELA CITRA AGUNG")</f>
        <v>PT HELA CITRA AGUNG</v>
      </c>
      <c r="AC86" s="48" t="str">
        <f>IFERROR(__xludf.DUMMYFUNCTION("""COMPUTED_VALUE"""),"L 9489 UL")</f>
        <v>L 9489 UL</v>
      </c>
      <c r="AD86" s="48" t="str">
        <f>IFERROR(__xludf.DUMMYFUNCTION("""COMPUTED_VALUE"""),"TLPG TJ PERAK")</f>
        <v>TLPG TJ PERAK</v>
      </c>
      <c r="AE86" s="17">
        <f>IFERROR(__xludf.DUMMYFUNCTION("""COMPUTED_VALUE"""),6.0)</f>
        <v>6</v>
      </c>
    </row>
    <row r="87">
      <c r="A87" s="12">
        <v>85.0</v>
      </c>
      <c r="B87" s="9" t="s">
        <v>104</v>
      </c>
      <c r="C87" s="9" t="s">
        <v>7</v>
      </c>
      <c r="D87" s="9" t="s">
        <v>135</v>
      </c>
      <c r="E87" s="49">
        <v>173.6</v>
      </c>
      <c r="F87" s="23" t="s">
        <v>454</v>
      </c>
      <c r="G87" s="9" t="str">
        <f>IFERROR(VLOOKUP(C87,'MASTER TLPG'!A:B,2,FALSE),"")</f>
        <v>-7.203807110524606, 112.71950675497641</v>
      </c>
      <c r="H87" s="9" t="str">
        <f>IFERROR(VLOOKUP(D87,'MASTER PERUSAHAAN'!A:B,2,FALSE),"")</f>
        <v>-8.109602080825715, 111.76869364949222</v>
      </c>
      <c r="J87" s="9" t="str">
        <f t="shared" si="1"/>
        <v>JAUH</v>
      </c>
      <c r="K87" s="11">
        <f t="shared" si="2"/>
        <v>3</v>
      </c>
      <c r="M87" s="17">
        <v>4.0</v>
      </c>
      <c r="N87" s="17"/>
      <c r="O87" s="17"/>
      <c r="P87" s="17"/>
      <c r="Q87" s="17"/>
      <c r="R87" s="17"/>
      <c r="S87" s="17"/>
      <c r="T87" s="17" t="str">
        <f>IFERROR(__xludf.DUMMYFUNCTION("""COMPUTED_VALUE"""),"AG 8384 UE")</f>
        <v>AG 8384 UE</v>
      </c>
      <c r="U87" s="17" t="str">
        <f>IFERROR(__xludf.DUMMYFUNCTION("""COMPUTED_VALUE"""),"TLPG TJ PERAK")</f>
        <v>TLPG TJ PERAK</v>
      </c>
      <c r="V87" s="17" t="str">
        <f>IFERROR(__xludf.DUMMYFUNCTION("""COMPUTED_VALUE"""),"PT SURYA ADHILESTARI")</f>
        <v>PT SURYA ADHILESTARI</v>
      </c>
      <c r="W87" s="17">
        <f>IFERROR(__xludf.DUMMYFUNCTION("""COMPUTED_VALUE"""),128.4)</f>
        <v>128.4</v>
      </c>
      <c r="X87" s="17" t="str">
        <f>IFERROR(__xludf.DUMMYFUNCTION("""COMPUTED_VALUE"""),"SEDANG")</f>
        <v>SEDANG</v>
      </c>
      <c r="Y87" s="17">
        <f>IFERROR(__xludf.DUMMYFUNCTION("""COMPUTED_VALUE"""),2.0)</f>
        <v>2</v>
      </c>
      <c r="Z87" s="17">
        <f>IFERROR(__xludf.DUMMYFUNCTION("""COMPUTED_VALUE"""),3.0)</f>
        <v>3</v>
      </c>
      <c r="AB87" s="48" t="str">
        <f>IFERROR(__xludf.DUMMYFUNCTION("""COMPUTED_VALUE"""),"PT HELA CITRA AGUNG")</f>
        <v>PT HELA CITRA AGUNG</v>
      </c>
      <c r="AC87" s="48" t="str">
        <f>IFERROR(__xludf.DUMMYFUNCTION("""COMPUTED_VALUE"""),"L 9507 UL")</f>
        <v>L 9507 UL</v>
      </c>
      <c r="AD87" s="48" t="str">
        <f>IFERROR(__xludf.DUMMYFUNCTION("""COMPUTED_VALUE"""),"TLPG TJ PERAK")</f>
        <v>TLPG TJ PERAK</v>
      </c>
      <c r="AE87" s="17">
        <f>IFERROR(__xludf.DUMMYFUNCTION("""COMPUTED_VALUE"""),6.0)</f>
        <v>6</v>
      </c>
    </row>
    <row r="88">
      <c r="A88" s="12">
        <v>86.0</v>
      </c>
      <c r="B88" s="9" t="s">
        <v>106</v>
      </c>
      <c r="C88" s="9" t="s">
        <v>7</v>
      </c>
      <c r="D88" s="9" t="s">
        <v>220</v>
      </c>
      <c r="E88" s="49">
        <v>175.0</v>
      </c>
      <c r="F88" s="23" t="s">
        <v>454</v>
      </c>
      <c r="G88" s="9" t="str">
        <f>IFERROR(VLOOKUP(C88,'MASTER TLPG'!A:B,2,FALSE),"")</f>
        <v>-7.203807110524606, 112.71950675497641</v>
      </c>
      <c r="H88" s="9" t="str">
        <f>IFERROR(VLOOKUP(D88,'MASTER PERUSAHAAN'!A:B,2,FALSE),"")</f>
        <v>-8.132947978728062, 112.13214732498561</v>
      </c>
      <c r="J88" s="9" t="str">
        <f t="shared" si="1"/>
        <v>JAUH</v>
      </c>
      <c r="K88" s="11">
        <f t="shared" si="2"/>
        <v>3</v>
      </c>
      <c r="M88" s="17">
        <v>4.0</v>
      </c>
      <c r="N88" s="17"/>
      <c r="O88" s="17"/>
      <c r="P88" s="17"/>
      <c r="Q88" s="17"/>
      <c r="R88" s="17"/>
      <c r="S88" s="17"/>
      <c r="T88" s="17" t="str">
        <f>IFERROR(__xludf.DUMMYFUNCTION("""COMPUTED_VALUE"""),"AG 8115 UC")</f>
        <v>AG 8115 UC</v>
      </c>
      <c r="U88" s="17" t="str">
        <f>IFERROR(__xludf.DUMMYFUNCTION("""COMPUTED_VALUE"""),"TLPG TJ PERAK")</f>
        <v>TLPG TJ PERAK</v>
      </c>
      <c r="V88" s="17" t="str">
        <f>IFERROR(__xludf.DUMMYFUNCTION("""COMPUTED_VALUE"""),"PT SURYA ADI LESTARI")</f>
        <v>PT SURYA ADI LESTARI</v>
      </c>
      <c r="W88" s="17">
        <f>IFERROR(__xludf.DUMMYFUNCTION("""COMPUTED_VALUE"""),128.4)</f>
        <v>128.4</v>
      </c>
      <c r="X88" s="17" t="str">
        <f>IFERROR(__xludf.DUMMYFUNCTION("""COMPUTED_VALUE"""),"SEDANG")</f>
        <v>SEDANG</v>
      </c>
      <c r="Y88" s="17">
        <f>IFERROR(__xludf.DUMMYFUNCTION("""COMPUTED_VALUE"""),2.0)</f>
        <v>2</v>
      </c>
      <c r="Z88" s="17">
        <f>IFERROR(__xludf.DUMMYFUNCTION("""COMPUTED_VALUE"""),5.0)</f>
        <v>5</v>
      </c>
      <c r="AB88" s="48" t="str">
        <f>IFERROR(__xludf.DUMMYFUNCTION("""COMPUTED_VALUE"""),"PT HELA CITRA AGUNG")</f>
        <v>PT HELA CITRA AGUNG</v>
      </c>
      <c r="AC88" s="48" t="str">
        <f>IFERROR(__xludf.DUMMYFUNCTION("""COMPUTED_VALUE"""),"L 9521 UL")</f>
        <v>L 9521 UL</v>
      </c>
      <c r="AD88" s="48" t="str">
        <f>IFERROR(__xludf.DUMMYFUNCTION("""COMPUTED_VALUE"""),"TLPG TJ PERAK")</f>
        <v>TLPG TJ PERAK</v>
      </c>
      <c r="AE88" s="17">
        <f>IFERROR(__xludf.DUMMYFUNCTION("""COMPUTED_VALUE"""),6.0)</f>
        <v>6</v>
      </c>
    </row>
    <row r="89">
      <c r="A89" s="12">
        <v>87.0</v>
      </c>
      <c r="B89" s="9" t="s">
        <v>107</v>
      </c>
      <c r="C89" s="9" t="s">
        <v>7</v>
      </c>
      <c r="D89" s="9" t="s">
        <v>220</v>
      </c>
      <c r="E89" s="49">
        <v>175.0</v>
      </c>
      <c r="F89" s="23" t="s">
        <v>454</v>
      </c>
      <c r="G89" s="9" t="str">
        <f>IFERROR(VLOOKUP(C89,'MASTER TLPG'!A:B,2,FALSE),"")</f>
        <v>-7.203807110524606, 112.71950675497641</v>
      </c>
      <c r="H89" s="9" t="str">
        <f>IFERROR(VLOOKUP(D89,'MASTER PERUSAHAAN'!A:B,2,FALSE),"")</f>
        <v>-8.132947978728062, 112.13214732498561</v>
      </c>
      <c r="J89" s="9" t="str">
        <f t="shared" si="1"/>
        <v>JAUH</v>
      </c>
      <c r="K89" s="11">
        <f t="shared" si="2"/>
        <v>3</v>
      </c>
      <c r="M89" s="17">
        <v>4.0</v>
      </c>
      <c r="N89" s="17"/>
      <c r="O89" s="17"/>
      <c r="P89" s="17"/>
      <c r="Q89" s="17"/>
      <c r="R89" s="17"/>
      <c r="S89" s="17"/>
      <c r="T89" s="17" t="str">
        <f>IFERROR(__xludf.DUMMYFUNCTION("""COMPUTED_VALUE"""),"AG 9753 UB")</f>
        <v>AG 9753 UB</v>
      </c>
      <c r="U89" s="17" t="str">
        <f>IFERROR(__xludf.DUMMYFUNCTION("""COMPUTED_VALUE"""),"TLPG TJ PERAK")</f>
        <v>TLPG TJ PERAK</v>
      </c>
      <c r="V89" s="17" t="str">
        <f>IFERROR(__xludf.DUMMYFUNCTION("""COMPUTED_VALUE"""),"PT SURYA ADHILESTARI")</f>
        <v>PT SURYA ADHILESTARI</v>
      </c>
      <c r="W89" s="17">
        <f>IFERROR(__xludf.DUMMYFUNCTION("""COMPUTED_VALUE"""),128.4)</f>
        <v>128.4</v>
      </c>
      <c r="X89" s="17" t="str">
        <f>IFERROR(__xludf.DUMMYFUNCTION("""COMPUTED_VALUE"""),"SEDANG")</f>
        <v>SEDANG</v>
      </c>
      <c r="Y89" s="17">
        <f>IFERROR(__xludf.DUMMYFUNCTION("""COMPUTED_VALUE"""),2.0)</f>
        <v>2</v>
      </c>
      <c r="Z89" s="17">
        <f>IFERROR(__xludf.DUMMYFUNCTION("""COMPUTED_VALUE"""),5.0)</f>
        <v>5</v>
      </c>
      <c r="AB89" s="48" t="str">
        <f>IFERROR(__xludf.DUMMYFUNCTION("""COMPUTED_VALUE"""),"PT HELA CITRA AGUNG")</f>
        <v>PT HELA CITRA AGUNG</v>
      </c>
      <c r="AC89" s="48" t="str">
        <f>IFERROR(__xludf.DUMMYFUNCTION("""COMPUTED_VALUE"""),"L 9532 UL")</f>
        <v>L 9532 UL</v>
      </c>
      <c r="AD89" s="48" t="str">
        <f>IFERROR(__xludf.DUMMYFUNCTION("""COMPUTED_VALUE"""),"TLPG TJ PERAK")</f>
        <v>TLPG TJ PERAK</v>
      </c>
      <c r="AE89" s="17">
        <f>IFERROR(__xludf.DUMMYFUNCTION("""COMPUTED_VALUE"""),6.0)</f>
        <v>6</v>
      </c>
    </row>
    <row r="90">
      <c r="A90" s="12">
        <v>88.0</v>
      </c>
      <c r="B90" s="9" t="s">
        <v>109</v>
      </c>
      <c r="C90" s="9" t="s">
        <v>7</v>
      </c>
      <c r="D90" s="9" t="s">
        <v>220</v>
      </c>
      <c r="E90" s="49">
        <v>175.0</v>
      </c>
      <c r="F90" s="23" t="s">
        <v>454</v>
      </c>
      <c r="G90" s="9" t="str">
        <f>IFERROR(VLOOKUP(C90,'MASTER TLPG'!A:B,2,FALSE),"")</f>
        <v>-7.203807110524606, 112.71950675497641</v>
      </c>
      <c r="H90" s="9" t="str">
        <f>IFERROR(VLOOKUP(D90,'MASTER PERUSAHAAN'!A:B,2,FALSE),"")</f>
        <v>-8.132947978728062, 112.13214732498561</v>
      </c>
      <c r="J90" s="9" t="str">
        <f t="shared" si="1"/>
        <v>JAUH</v>
      </c>
      <c r="K90" s="11">
        <f t="shared" si="2"/>
        <v>3</v>
      </c>
      <c r="M90" s="17">
        <v>4.0</v>
      </c>
      <c r="N90" s="17"/>
      <c r="O90" s="17"/>
      <c r="P90" s="17"/>
      <c r="Q90" s="17"/>
      <c r="R90" s="17"/>
      <c r="S90" s="17"/>
      <c r="T90" s="17" t="str">
        <f>IFERROR(__xludf.DUMMYFUNCTION("""COMPUTED_VALUE"""),"P 9115 UG")</f>
        <v>P 9115 UG</v>
      </c>
      <c r="U90" s="17" t="str">
        <f>IFERROR(__xludf.DUMMYFUNCTION("""COMPUTED_VALUE"""),"TLPG TJ WANGI")</f>
        <v>TLPG TJ WANGI</v>
      </c>
      <c r="V90" s="17" t="str">
        <f>IFERROR(__xludf.DUMMYFUNCTION("""COMPUTED_VALUE"""),"PT TRI TUNGGAL ARGOPURO MANDIRI")</f>
        <v>PT TRI TUNGGAL ARGOPURO MANDIRI</v>
      </c>
      <c r="W90" s="17">
        <f>IFERROR(__xludf.DUMMYFUNCTION("""COMPUTED_VALUE"""),127.7)</f>
        <v>127.7</v>
      </c>
      <c r="X90" s="17" t="str">
        <f>IFERROR(__xludf.DUMMYFUNCTION("""COMPUTED_VALUE"""),"SEDANG")</f>
        <v>SEDANG</v>
      </c>
      <c r="Y90" s="17">
        <f>IFERROR(__xludf.DUMMYFUNCTION("""COMPUTED_VALUE"""),2.0)</f>
        <v>2</v>
      </c>
      <c r="Z90" s="17">
        <f>IFERROR(__xludf.DUMMYFUNCTION("""COMPUTED_VALUE"""),11.0)</f>
        <v>11</v>
      </c>
      <c r="AB90" s="48" t="str">
        <f>IFERROR(__xludf.DUMMYFUNCTION("""COMPUTED_VALUE"""),"PT KARYA GEMILANG GAS SEJAHTERA")</f>
        <v>PT KARYA GEMILANG GAS SEJAHTERA</v>
      </c>
      <c r="AC90" s="48" t="str">
        <f>IFERROR(__xludf.DUMMYFUNCTION("""COMPUTED_VALUE"""),"L 8083 CA")</f>
        <v>L 8083 CA</v>
      </c>
      <c r="AD90" s="48" t="str">
        <f>IFERROR(__xludf.DUMMYFUNCTION("""COMPUTED_VALUE"""),"TLPG TJ WANGI")</f>
        <v>TLPG TJ WANGI</v>
      </c>
      <c r="AE90" s="17">
        <f>IFERROR(__xludf.DUMMYFUNCTION("""COMPUTED_VALUE"""),3.0)</f>
        <v>3</v>
      </c>
    </row>
    <row r="91">
      <c r="A91" s="12">
        <v>89.0</v>
      </c>
      <c r="B91" s="9" t="s">
        <v>110</v>
      </c>
      <c r="C91" s="9" t="s">
        <v>7</v>
      </c>
      <c r="D91" s="9" t="s">
        <v>204</v>
      </c>
      <c r="E91" s="49">
        <v>167.6</v>
      </c>
      <c r="F91" s="23" t="s">
        <v>454</v>
      </c>
      <c r="G91" s="9" t="str">
        <f>IFERROR(VLOOKUP(C91,'MASTER TLPG'!A:B,2,FALSE),"")</f>
        <v>-7.203807110524606, 112.71950675497641</v>
      </c>
      <c r="H91" s="9" t="str">
        <f>IFERROR(VLOOKUP(D91,'MASTER PERUSAHAAN'!A:B,2,FALSE),"")</f>
        <v>-8.096801604357731, 112.18220246923711</v>
      </c>
      <c r="J91" s="9" t="str">
        <f t="shared" si="1"/>
        <v>JAUH</v>
      </c>
      <c r="K91" s="11">
        <f t="shared" si="2"/>
        <v>3</v>
      </c>
      <c r="M91" s="17">
        <v>4.0</v>
      </c>
      <c r="N91" s="17"/>
      <c r="O91" s="17"/>
      <c r="P91" s="17"/>
      <c r="Q91" s="17"/>
      <c r="R91" s="17"/>
      <c r="S91" s="17"/>
      <c r="T91" s="17" t="str">
        <f>IFERROR(__xludf.DUMMYFUNCTION("""COMPUTED_VALUE"""),"P 8970 UG")</f>
        <v>P 8970 UG</v>
      </c>
      <c r="U91" s="17" t="str">
        <f>IFERROR(__xludf.DUMMYFUNCTION("""COMPUTED_VALUE"""),"TLPG TJ WANGI")</f>
        <v>TLPG TJ WANGI</v>
      </c>
      <c r="V91" s="17" t="str">
        <f>IFERROR(__xludf.DUMMYFUNCTION("""COMPUTED_VALUE"""),"PT TRI TUNGGAL ARGOPURO MANDIRI")</f>
        <v>PT TRI TUNGGAL ARGOPURO MANDIRI</v>
      </c>
      <c r="W91" s="17">
        <f>IFERROR(__xludf.DUMMYFUNCTION("""COMPUTED_VALUE"""),127.7)</f>
        <v>127.7</v>
      </c>
      <c r="X91" s="17" t="str">
        <f>IFERROR(__xludf.DUMMYFUNCTION("""COMPUTED_VALUE"""),"SEDANG")</f>
        <v>SEDANG</v>
      </c>
      <c r="Y91" s="17">
        <f>IFERROR(__xludf.DUMMYFUNCTION("""COMPUTED_VALUE"""),2.0)</f>
        <v>2</v>
      </c>
      <c r="Z91" s="17">
        <f>IFERROR(__xludf.DUMMYFUNCTION("""COMPUTED_VALUE"""),12.0)</f>
        <v>12</v>
      </c>
      <c r="AB91" s="48" t="str">
        <f>IFERROR(__xludf.DUMMYFUNCTION("""COMPUTED_VALUE"""),"PT KARYA JAYA LESTARI")</f>
        <v>PT KARYA JAYA LESTARI</v>
      </c>
      <c r="AC91" s="48" t="str">
        <f>IFERROR(__xludf.DUMMYFUNCTION("""COMPUTED_VALUE"""),"W 8409 UQ")</f>
        <v>W 8409 UQ</v>
      </c>
      <c r="AD91" s="48" t="str">
        <f>IFERROR(__xludf.DUMMYFUNCTION("""COMPUTED_VALUE"""),"TLPG MEM GRESIK")</f>
        <v>TLPG MEM GRESIK</v>
      </c>
      <c r="AE91" s="17">
        <f>IFERROR(__xludf.DUMMYFUNCTION("""COMPUTED_VALUE"""),12.0)</f>
        <v>12</v>
      </c>
    </row>
    <row r="92">
      <c r="A92" s="12">
        <v>90.0</v>
      </c>
      <c r="B92" s="9" t="s">
        <v>111</v>
      </c>
      <c r="C92" s="9" t="s">
        <v>7</v>
      </c>
      <c r="D92" s="9" t="s">
        <v>124</v>
      </c>
      <c r="E92" s="49">
        <v>167.1</v>
      </c>
      <c r="F92" s="23" t="s">
        <v>454</v>
      </c>
      <c r="G92" s="9" t="str">
        <f>IFERROR(VLOOKUP(C92,'MASTER TLPG'!A:B,2,FALSE),"")</f>
        <v>-7.203807110524606, 112.71950675497641</v>
      </c>
      <c r="H92" s="9" t="str">
        <f>IFERROR(VLOOKUP(D92,'MASTER PERUSAHAAN'!A:B,2,FALSE),"")</f>
        <v>-8.109561205860269, 112.01521319205663</v>
      </c>
      <c r="J92" s="9" t="str">
        <f t="shared" si="1"/>
        <v>JAUH</v>
      </c>
      <c r="K92" s="11">
        <f t="shared" si="2"/>
        <v>3</v>
      </c>
      <c r="M92" s="17">
        <v>4.0</v>
      </c>
      <c r="N92" s="17"/>
      <c r="O92" s="17"/>
      <c r="P92" s="17"/>
      <c r="Q92" s="17"/>
      <c r="R92" s="17"/>
      <c r="S92" s="17"/>
      <c r="T92" s="17" t="str">
        <f>IFERROR(__xludf.DUMMYFUNCTION("""COMPUTED_VALUE"""),"AG 8070 UW")</f>
        <v>AG 8070 UW</v>
      </c>
      <c r="U92" s="17" t="str">
        <f>IFERROR(__xludf.DUMMYFUNCTION("""COMPUTED_VALUE"""),"TLPG TJ PERAK")</f>
        <v>TLPG TJ PERAK</v>
      </c>
      <c r="V92" s="17" t="str">
        <f>IFERROR(__xludf.DUMMYFUNCTION("""COMPUTED_VALUE"""),"PT LAJU")</f>
        <v>PT LAJU</v>
      </c>
      <c r="W92" s="17">
        <f>IFERROR(__xludf.DUMMYFUNCTION("""COMPUTED_VALUE"""),126.9)</f>
        <v>126.9</v>
      </c>
      <c r="X92" s="17" t="str">
        <f>IFERROR(__xludf.DUMMYFUNCTION("""COMPUTED_VALUE"""),"SEDANG")</f>
        <v>SEDANG</v>
      </c>
      <c r="Y92" s="17">
        <f>IFERROR(__xludf.DUMMYFUNCTION("""COMPUTED_VALUE"""),2.0)</f>
        <v>2</v>
      </c>
      <c r="Z92" s="17">
        <f>IFERROR(__xludf.DUMMYFUNCTION("""COMPUTED_VALUE"""),2.0)</f>
        <v>2</v>
      </c>
      <c r="AB92" s="48" t="str">
        <f>IFERROR(__xludf.DUMMYFUNCTION("""COMPUTED_VALUE"""),"PT KARYA MEGA GAS MANDIRI")</f>
        <v>PT KARYA MEGA GAS MANDIRI</v>
      </c>
      <c r="AC92" s="48" t="str">
        <f>IFERROR(__xludf.DUMMYFUNCTION("""COMPUTED_VALUE"""),"W 8303 PG")</f>
        <v>W 8303 PG</v>
      </c>
      <c r="AD92" s="48" t="str">
        <f>IFERROR(__xludf.DUMMYFUNCTION("""COMPUTED_VALUE"""),"TLPG TJ PERAK")</f>
        <v>TLPG TJ PERAK</v>
      </c>
      <c r="AE92" s="17">
        <f>IFERROR(__xludf.DUMMYFUNCTION("""COMPUTED_VALUE"""),12.0)</f>
        <v>12</v>
      </c>
    </row>
    <row r="93">
      <c r="A93" s="12">
        <v>91.0</v>
      </c>
      <c r="B93" s="9" t="s">
        <v>112</v>
      </c>
      <c r="C93" s="9" t="s">
        <v>7</v>
      </c>
      <c r="D93" s="9" t="s">
        <v>204</v>
      </c>
      <c r="E93" s="49">
        <v>167.6</v>
      </c>
      <c r="F93" s="23" t="s">
        <v>454</v>
      </c>
      <c r="G93" s="9" t="str">
        <f>IFERROR(VLOOKUP(C93,'MASTER TLPG'!A:B,2,FALSE),"")</f>
        <v>-7.203807110524606, 112.71950675497641</v>
      </c>
      <c r="H93" s="9" t="str">
        <f>IFERROR(VLOOKUP(D93,'MASTER PERUSAHAAN'!A:B,2,FALSE),"")</f>
        <v>-8.096801604357731, 112.18220246923711</v>
      </c>
      <c r="J93" s="9" t="str">
        <f t="shared" si="1"/>
        <v>JAUH</v>
      </c>
      <c r="K93" s="11">
        <f t="shared" si="2"/>
        <v>3</v>
      </c>
      <c r="M93" s="17">
        <v>4.0</v>
      </c>
      <c r="N93" s="17"/>
      <c r="O93" s="17"/>
      <c r="P93" s="17"/>
      <c r="Q93" s="17"/>
      <c r="R93" s="17"/>
      <c r="S93" s="17"/>
      <c r="T93" s="17" t="str">
        <f>IFERROR(__xludf.DUMMYFUNCTION("""COMPUTED_VALUE"""),"N 9195 UF")</f>
        <v>N 9195 UF</v>
      </c>
      <c r="U93" s="17" t="str">
        <f>IFERROR(__xludf.DUMMYFUNCTION("""COMPUTED_VALUE"""),"TLPG TJ PERAK")</f>
        <v>TLPG TJ PERAK</v>
      </c>
      <c r="V93" s="17" t="str">
        <f>IFERROR(__xludf.DUMMYFUNCTION("""COMPUTED_VALUE"""),"PT LAJU")</f>
        <v>PT LAJU</v>
      </c>
      <c r="W93" s="17">
        <f>IFERROR(__xludf.DUMMYFUNCTION("""COMPUTED_VALUE"""),126.9)</f>
        <v>126.9</v>
      </c>
      <c r="X93" s="17" t="str">
        <f>IFERROR(__xludf.DUMMYFUNCTION("""COMPUTED_VALUE"""),"SEDANG")</f>
        <v>SEDANG</v>
      </c>
      <c r="Y93" s="17">
        <f>IFERROR(__xludf.DUMMYFUNCTION("""COMPUTED_VALUE"""),2.0)</f>
        <v>2</v>
      </c>
      <c r="Z93" s="17">
        <f>IFERROR(__xludf.DUMMYFUNCTION("""COMPUTED_VALUE"""),2.0)</f>
        <v>2</v>
      </c>
      <c r="AB93" s="48" t="str">
        <f>IFERROR(__xludf.DUMMYFUNCTION("""COMPUTED_VALUE"""),"PT KARYA USAHA LESTARI")</f>
        <v>PT KARYA USAHA LESTARI</v>
      </c>
      <c r="AC93" s="48" t="str">
        <f>IFERROR(__xludf.DUMMYFUNCTION("""COMPUTED_VALUE"""),"L 8036 UUB")</f>
        <v>L 8036 UUB</v>
      </c>
      <c r="AD93" s="48" t="str">
        <f>IFERROR(__xludf.DUMMYFUNCTION("""COMPUTED_VALUE"""),"TLPG MEM GRESIK")</f>
        <v>TLPG MEM GRESIK</v>
      </c>
      <c r="AE93" s="17">
        <f>IFERROR(__xludf.DUMMYFUNCTION("""COMPUTED_VALUE"""),5.0)</f>
        <v>5</v>
      </c>
    </row>
    <row r="94">
      <c r="A94" s="12">
        <v>92.0</v>
      </c>
      <c r="B94" s="9" t="s">
        <v>113</v>
      </c>
      <c r="C94" s="9" t="s">
        <v>7</v>
      </c>
      <c r="D94" s="9" t="s">
        <v>124</v>
      </c>
      <c r="E94" s="49">
        <v>167.1</v>
      </c>
      <c r="F94" s="23" t="s">
        <v>454</v>
      </c>
      <c r="G94" s="9" t="str">
        <f>IFERROR(VLOOKUP(C94,'MASTER TLPG'!A:B,2,FALSE),"")</f>
        <v>-7.203807110524606, 112.71950675497641</v>
      </c>
      <c r="H94" s="9" t="str">
        <f>IFERROR(VLOOKUP(D94,'MASTER PERUSAHAAN'!A:B,2,FALSE),"")</f>
        <v>-8.109561205860269, 112.01521319205663</v>
      </c>
      <c r="J94" s="9" t="str">
        <f t="shared" si="1"/>
        <v>JAUH</v>
      </c>
      <c r="K94" s="11">
        <f t="shared" si="2"/>
        <v>3</v>
      </c>
      <c r="M94" s="17">
        <v>4.0</v>
      </c>
      <c r="N94" s="17"/>
      <c r="O94" s="17"/>
      <c r="P94" s="17"/>
      <c r="Q94" s="17"/>
      <c r="R94" s="17"/>
      <c r="S94" s="17"/>
      <c r="T94" s="17" t="str">
        <f>IFERROR(__xludf.DUMMYFUNCTION("""COMPUTED_VALUE"""),"AG 8893 YK")</f>
        <v>AG 8893 YK</v>
      </c>
      <c r="U94" s="17" t="str">
        <f>IFERROR(__xludf.DUMMYFUNCTION("""COMPUTED_VALUE"""),"TLPG TJ PERAK")</f>
        <v>TLPG TJ PERAK</v>
      </c>
      <c r="V94" s="17" t="str">
        <f>IFERROR(__xludf.DUMMYFUNCTION("""COMPUTED_VALUE"""),"PT BINTANG CIPTA PERSADA")</f>
        <v>PT BINTANG CIPTA PERSADA</v>
      </c>
      <c r="W94" s="17">
        <f>IFERROR(__xludf.DUMMYFUNCTION("""COMPUTED_VALUE"""),126.9)</f>
        <v>126.9</v>
      </c>
      <c r="X94" s="17" t="str">
        <f>IFERROR(__xludf.DUMMYFUNCTION("""COMPUTED_VALUE"""),"SEDANG")</f>
        <v>SEDANG</v>
      </c>
      <c r="Y94" s="17">
        <f>IFERROR(__xludf.DUMMYFUNCTION("""COMPUTED_VALUE"""),2.0)</f>
        <v>2</v>
      </c>
      <c r="Z94" s="17">
        <f>IFERROR(__xludf.DUMMYFUNCTION("""COMPUTED_VALUE"""),5.0)</f>
        <v>5</v>
      </c>
      <c r="AB94" s="48" t="str">
        <f>IFERROR(__xludf.DUMMYFUNCTION("""COMPUTED_VALUE"""),"PT KARYA USAHA MANDIRI LESTARI")</f>
        <v>PT KARYA USAHA MANDIRI LESTARI</v>
      </c>
      <c r="AC94" s="48" t="str">
        <f>IFERROR(__xludf.DUMMYFUNCTION("""COMPUTED_VALUE"""),"AE 9634 UJ")</f>
        <v>AE 9634 UJ</v>
      </c>
      <c r="AD94" s="48" t="str">
        <f>IFERROR(__xludf.DUMMYFUNCTION("""COMPUTED_VALUE"""),"TLPG TJ PERAK")</f>
        <v>TLPG TJ PERAK</v>
      </c>
      <c r="AE94" s="17">
        <f>IFERROR(__xludf.DUMMYFUNCTION("""COMPUTED_VALUE"""),2.0)</f>
        <v>2</v>
      </c>
    </row>
    <row r="95">
      <c r="A95" s="12">
        <v>93.0</v>
      </c>
      <c r="B95" s="9" t="s">
        <v>115</v>
      </c>
      <c r="C95" s="9" t="s">
        <v>25</v>
      </c>
      <c r="D95" s="9" t="s">
        <v>83</v>
      </c>
      <c r="E95" s="9"/>
      <c r="G95" s="9" t="str">
        <f>IFERROR(VLOOKUP(C95,'MASTER TLPG'!A:B,2,FALSE),"")</f>
        <v>-7.109201954744449, 112.62272164861744</v>
      </c>
      <c r="H95" s="9" t="str">
        <f>IFERROR(VLOOKUP(D95,'MASTER PERUSAHAAN'!A:B,2,FALSE),"")</f>
        <v/>
      </c>
      <c r="J95" s="9" t="str">
        <f t="shared" si="1"/>
        <v/>
      </c>
      <c r="K95" s="11" t="str">
        <f t="shared" si="2"/>
        <v/>
      </c>
      <c r="M95" s="17">
        <v>4.0</v>
      </c>
      <c r="N95" s="17"/>
      <c r="O95" s="17"/>
      <c r="P95" s="17"/>
      <c r="Q95" s="17"/>
      <c r="R95" s="17"/>
      <c r="S95" s="17"/>
      <c r="T95" s="17" t="str">
        <f>IFERROR(__xludf.DUMMYFUNCTION("""COMPUTED_VALUE"""),"AG 8086 UF")</f>
        <v>AG 8086 UF</v>
      </c>
      <c r="U95" s="17" t="str">
        <f>IFERROR(__xludf.DUMMYFUNCTION("""COMPUTED_VALUE"""),"TLPG TJ PERAK")</f>
        <v>TLPG TJ PERAK</v>
      </c>
      <c r="V95" s="17" t="str">
        <f>IFERROR(__xludf.DUMMYFUNCTION("""COMPUTED_VALUE"""),"PT DIAN RAMA GAS")</f>
        <v>PT DIAN RAMA GAS</v>
      </c>
      <c r="W95" s="17">
        <f>IFERROR(__xludf.DUMMYFUNCTION("""COMPUTED_VALUE"""),125.6)</f>
        <v>125.6</v>
      </c>
      <c r="X95" s="17" t="str">
        <f>IFERROR(__xludf.DUMMYFUNCTION("""COMPUTED_VALUE"""),"SEDANG")</f>
        <v>SEDANG</v>
      </c>
      <c r="Y95" s="17">
        <f>IFERROR(__xludf.DUMMYFUNCTION("""COMPUTED_VALUE"""),2.0)</f>
        <v>2</v>
      </c>
      <c r="Z95" s="17">
        <f>IFERROR(__xludf.DUMMYFUNCTION("""COMPUTED_VALUE"""),3.0)</f>
        <v>3</v>
      </c>
      <c r="AB95" s="48" t="str">
        <f>IFERROR(__xludf.DUMMYFUNCTION("""COMPUTED_VALUE"""),"PT KURNIAWAN MEKAR A.A")</f>
        <v>PT KURNIAWAN MEKAR A.A</v>
      </c>
      <c r="AC95" s="48" t="str">
        <f>IFERROR(__xludf.DUMMYFUNCTION("""COMPUTED_VALUE"""),"S 8561 UC")</f>
        <v>S 8561 UC</v>
      </c>
      <c r="AD95" s="48" t="str">
        <f>IFERROR(__xludf.DUMMYFUNCTION("""COMPUTED_VALUE"""),"TLPG TJ PERAK")</f>
        <v>TLPG TJ PERAK</v>
      </c>
      <c r="AE95" s="17">
        <f>IFERROR(__xludf.DUMMYFUNCTION("""COMPUTED_VALUE"""),11.0)</f>
        <v>11</v>
      </c>
    </row>
    <row r="96">
      <c r="A96" s="12">
        <v>94.0</v>
      </c>
      <c r="B96" s="9" t="s">
        <v>116</v>
      </c>
      <c r="C96" s="9" t="s">
        <v>25</v>
      </c>
      <c r="D96" s="9" t="s">
        <v>83</v>
      </c>
      <c r="E96" s="9"/>
      <c r="G96" s="9" t="str">
        <f>IFERROR(VLOOKUP(C96,'MASTER TLPG'!A:B,2,FALSE),"")</f>
        <v>-7.109201954744449, 112.62272164861744</v>
      </c>
      <c r="H96" s="9" t="str">
        <f>IFERROR(VLOOKUP(D96,'MASTER PERUSAHAAN'!A:B,2,FALSE),"")</f>
        <v/>
      </c>
      <c r="J96" s="9" t="str">
        <f t="shared" si="1"/>
        <v/>
      </c>
      <c r="K96" s="11" t="str">
        <f t="shared" si="2"/>
        <v/>
      </c>
      <c r="M96" s="17">
        <v>4.0</v>
      </c>
      <c r="N96" s="17"/>
      <c r="O96" s="17"/>
      <c r="P96" s="17"/>
      <c r="Q96" s="17"/>
      <c r="R96" s="17"/>
      <c r="S96" s="17"/>
      <c r="T96" s="17" t="str">
        <f>IFERROR(__xludf.DUMMYFUNCTION("""COMPUTED_VALUE"""),"AG 8087 UF")</f>
        <v>AG 8087 UF</v>
      </c>
      <c r="U96" s="17" t="str">
        <f>IFERROR(__xludf.DUMMYFUNCTION("""COMPUTED_VALUE"""),"TLPG TJ PERAK")</f>
        <v>TLPG TJ PERAK</v>
      </c>
      <c r="V96" s="17" t="str">
        <f>IFERROR(__xludf.DUMMYFUNCTION("""COMPUTED_VALUE"""),"PT DIAN RAMA GAS")</f>
        <v>PT DIAN RAMA GAS</v>
      </c>
      <c r="W96" s="17">
        <f>IFERROR(__xludf.DUMMYFUNCTION("""COMPUTED_VALUE"""),125.6)</f>
        <v>125.6</v>
      </c>
      <c r="X96" s="17" t="str">
        <f>IFERROR(__xludf.DUMMYFUNCTION("""COMPUTED_VALUE"""),"SEDANG")</f>
        <v>SEDANG</v>
      </c>
      <c r="Y96" s="17">
        <f>IFERROR(__xludf.DUMMYFUNCTION("""COMPUTED_VALUE"""),2.0)</f>
        <v>2</v>
      </c>
      <c r="Z96" s="17">
        <f>IFERROR(__xludf.DUMMYFUNCTION("""COMPUTED_VALUE"""),3.0)</f>
        <v>3</v>
      </c>
      <c r="AB96" s="48" t="str">
        <f>IFERROR(__xludf.DUMMYFUNCTION("""COMPUTED_VALUE"""),"PT KURNIAWAN MEKAR AGUNG ABADI")</f>
        <v>PT KURNIAWAN MEKAR AGUNG ABADI</v>
      </c>
      <c r="AC96" s="48" t="str">
        <f>IFERROR(__xludf.DUMMYFUNCTION("""COMPUTED_VALUE"""),"S 8560 UC")</f>
        <v>S 8560 UC</v>
      </c>
      <c r="AD96" s="48" t="str">
        <f>IFERROR(__xludf.DUMMYFUNCTION("""COMPUTED_VALUE"""),"TLPG TJ PERAK")</f>
        <v>TLPG TJ PERAK</v>
      </c>
      <c r="AE96" s="17">
        <f>IFERROR(__xludf.DUMMYFUNCTION("""COMPUTED_VALUE"""),11.0)</f>
        <v>11</v>
      </c>
    </row>
    <row r="97">
      <c r="A97" s="12">
        <v>95.0</v>
      </c>
      <c r="B97" s="9" t="s">
        <v>117</v>
      </c>
      <c r="C97" s="9" t="s">
        <v>25</v>
      </c>
      <c r="D97" s="9" t="s">
        <v>83</v>
      </c>
      <c r="E97" s="9"/>
      <c r="G97" s="9" t="str">
        <f>IFERROR(VLOOKUP(C97,'MASTER TLPG'!A:B,2,FALSE),"")</f>
        <v>-7.109201954744449, 112.62272164861744</v>
      </c>
      <c r="H97" s="9" t="str">
        <f>IFERROR(VLOOKUP(D97,'MASTER PERUSAHAAN'!A:B,2,FALSE),"")</f>
        <v/>
      </c>
      <c r="J97" s="9" t="str">
        <f t="shared" si="1"/>
        <v/>
      </c>
      <c r="K97" s="11" t="str">
        <f t="shared" si="2"/>
        <v/>
      </c>
      <c r="M97" s="17">
        <v>4.0</v>
      </c>
      <c r="N97" s="17"/>
      <c r="O97" s="17"/>
      <c r="P97" s="17"/>
      <c r="Q97" s="17"/>
      <c r="R97" s="17"/>
      <c r="S97" s="17"/>
      <c r="T97" s="17" t="str">
        <f>IFERROR(__xludf.DUMMYFUNCTION("""COMPUTED_VALUE"""),"AG 8088 UF")</f>
        <v>AG 8088 UF</v>
      </c>
      <c r="U97" s="17" t="str">
        <f>IFERROR(__xludf.DUMMYFUNCTION("""COMPUTED_VALUE"""),"TLPG TJ PERAK")</f>
        <v>TLPG TJ PERAK</v>
      </c>
      <c r="V97" s="17" t="str">
        <f>IFERROR(__xludf.DUMMYFUNCTION("""COMPUTED_VALUE"""),"PT DIAN RAMA GAS")</f>
        <v>PT DIAN RAMA GAS</v>
      </c>
      <c r="W97" s="17">
        <f>IFERROR(__xludf.DUMMYFUNCTION("""COMPUTED_VALUE"""),125.6)</f>
        <v>125.6</v>
      </c>
      <c r="X97" s="17" t="str">
        <f>IFERROR(__xludf.DUMMYFUNCTION("""COMPUTED_VALUE"""),"SEDANG")</f>
        <v>SEDANG</v>
      </c>
      <c r="Y97" s="17">
        <f>IFERROR(__xludf.DUMMYFUNCTION("""COMPUTED_VALUE"""),2.0)</f>
        <v>2</v>
      </c>
      <c r="Z97" s="17">
        <f>IFERROR(__xludf.DUMMYFUNCTION("""COMPUTED_VALUE"""),3.0)</f>
        <v>3</v>
      </c>
      <c r="AB97" s="48" t="str">
        <f>IFERROR(__xludf.DUMMYFUNCTION("""COMPUTED_VALUE"""),"PT LA TUNSA")</f>
        <v>PT LA TUNSA</v>
      </c>
      <c r="AC97" s="48" t="str">
        <f>IFERROR(__xludf.DUMMYFUNCTION("""COMPUTED_VALUE"""),"S 8061 UC")</f>
        <v>S 8061 UC</v>
      </c>
      <c r="AD97" s="48" t="str">
        <f>IFERROR(__xludf.DUMMYFUNCTION("""COMPUTED_VALUE"""),"TLPG TJ PERAK")</f>
        <v>TLPG TJ PERAK</v>
      </c>
      <c r="AE97" s="17">
        <f>IFERROR(__xludf.DUMMYFUNCTION("""COMPUTED_VALUE"""),10.0)</f>
        <v>10</v>
      </c>
    </row>
    <row r="98">
      <c r="A98" s="12">
        <v>96.0</v>
      </c>
      <c r="B98" s="9" t="s">
        <v>119</v>
      </c>
      <c r="C98" s="9" t="s">
        <v>32</v>
      </c>
      <c r="D98" s="9" t="s">
        <v>425</v>
      </c>
      <c r="E98" s="49">
        <v>22.5</v>
      </c>
      <c r="F98" s="23" t="s">
        <v>454</v>
      </c>
      <c r="G98" s="9" t="str">
        <f>IFERROR(VLOOKUP(C98,'MASTER TLPG'!A:B,2,FALSE),"")</f>
        <v>-8.509457097470957, 115.50344705076587</v>
      </c>
      <c r="H98" s="9" t="str">
        <f>IFERROR(VLOOKUP(D98,'MASTER PERUSAHAAN'!A:B,2,FALSE),"")</f>
        <v>-8.45553539510849, 115.60228314415517</v>
      </c>
      <c r="J98" s="9" t="str">
        <f t="shared" si="1"/>
        <v>DEKAT</v>
      </c>
      <c r="K98" s="11">
        <f t="shared" si="2"/>
        <v>1</v>
      </c>
      <c r="M98" s="17">
        <v>4.0</v>
      </c>
      <c r="N98" s="17"/>
      <c r="O98" s="17"/>
      <c r="P98" s="17"/>
      <c r="Q98" s="17"/>
      <c r="R98" s="17"/>
      <c r="S98" s="17"/>
      <c r="T98" s="17" t="str">
        <f>IFERROR(__xludf.DUMMYFUNCTION("""COMPUTED_VALUE"""),"L 8036 UUB")</f>
        <v>L 8036 UUB</v>
      </c>
      <c r="U98" s="17" t="str">
        <f>IFERROR(__xludf.DUMMYFUNCTION("""COMPUTED_VALUE"""),"TLPG MEM GRESIK")</f>
        <v>TLPG MEM GRESIK</v>
      </c>
      <c r="V98" s="17" t="str">
        <f>IFERROR(__xludf.DUMMYFUNCTION("""COMPUTED_VALUE"""),"PT KARYA USAHA LESTARI")</f>
        <v>PT KARYA USAHA LESTARI</v>
      </c>
      <c r="W98" s="17">
        <f>IFERROR(__xludf.DUMMYFUNCTION("""COMPUTED_VALUE"""),125.5)</f>
        <v>125.5</v>
      </c>
      <c r="X98" s="17" t="str">
        <f>IFERROR(__xludf.DUMMYFUNCTION("""COMPUTED_VALUE"""),"SEDANG")</f>
        <v>SEDANG</v>
      </c>
      <c r="Y98" s="17">
        <f>IFERROR(__xludf.DUMMYFUNCTION("""COMPUTED_VALUE"""),2.0)</f>
        <v>2</v>
      </c>
      <c r="Z98" s="17">
        <f>IFERROR(__xludf.DUMMYFUNCTION("""COMPUTED_VALUE"""),5.0)</f>
        <v>5</v>
      </c>
      <c r="AB98" s="48" t="str">
        <f>IFERROR(__xludf.DUMMYFUNCTION("""COMPUTED_VALUE"""),"PT LA TUNSA")</f>
        <v>PT LA TUNSA</v>
      </c>
      <c r="AC98" s="48" t="str">
        <f>IFERROR(__xludf.DUMMYFUNCTION("""COMPUTED_VALUE"""),"S 8752 UC")</f>
        <v>S 8752 UC</v>
      </c>
      <c r="AD98" s="48" t="str">
        <f>IFERROR(__xludf.DUMMYFUNCTION("""COMPUTED_VALUE"""),"TLPG TJ PERAK")</f>
        <v>TLPG TJ PERAK</v>
      </c>
      <c r="AE98" s="17">
        <f>IFERROR(__xludf.DUMMYFUNCTION("""COMPUTED_VALUE"""),11.0)</f>
        <v>11</v>
      </c>
    </row>
    <row r="99">
      <c r="A99" s="12">
        <v>97.0</v>
      </c>
      <c r="B99" s="9" t="s">
        <v>120</v>
      </c>
      <c r="C99" s="9" t="s">
        <v>32</v>
      </c>
      <c r="D99" s="9" t="s">
        <v>206</v>
      </c>
      <c r="E99" s="49">
        <v>110.1</v>
      </c>
      <c r="F99" s="23" t="s">
        <v>454</v>
      </c>
      <c r="G99" s="9" t="str">
        <f>IFERROR(VLOOKUP(C99,'MASTER TLPG'!A:B,2,FALSE),"")</f>
        <v>-8.509457097470957, 115.50344705076587</v>
      </c>
      <c r="H99" s="9" t="str">
        <f>IFERROR(VLOOKUP(D99,'MASTER PERUSAHAAN'!A:B,2,FALSE),"")</f>
        <v>-8.176693652789284, 115.00358837055657</v>
      </c>
      <c r="J99" s="9" t="str">
        <f t="shared" si="1"/>
        <v>SEDANG</v>
      </c>
      <c r="K99" s="11">
        <f t="shared" si="2"/>
        <v>2</v>
      </c>
      <c r="M99" s="17">
        <v>4.0</v>
      </c>
      <c r="N99" s="17"/>
      <c r="O99" s="17"/>
      <c r="P99" s="17"/>
      <c r="Q99" s="17"/>
      <c r="R99" s="17"/>
      <c r="S99" s="17"/>
      <c r="T99" s="17" t="str">
        <f>IFERROR(__xludf.DUMMYFUNCTION("""COMPUTED_VALUE"""),"P 8087 GG")</f>
        <v>P 8087 GG</v>
      </c>
      <c r="U99" s="17" t="str">
        <f>IFERROR(__xludf.DUMMYFUNCTION("""COMPUTED_VALUE"""),"TLPG TJ WANGI")</f>
        <v>TLPG TJ WANGI</v>
      </c>
      <c r="V99" s="17" t="str">
        <f>IFERROR(__xludf.DUMMYFUNCTION("""COMPUTED_VALUE"""),"PT BUMI GASINDO RAYA")</f>
        <v>PT BUMI GASINDO RAYA</v>
      </c>
      <c r="W99" s="17">
        <f>IFERROR(__xludf.DUMMYFUNCTION("""COMPUTED_VALUE"""),125.4)</f>
        <v>125.4</v>
      </c>
      <c r="X99" s="17" t="str">
        <f>IFERROR(__xludf.DUMMYFUNCTION("""COMPUTED_VALUE"""),"SEDANG")</f>
        <v>SEDANG</v>
      </c>
      <c r="Y99" s="17">
        <f>IFERROR(__xludf.DUMMYFUNCTION("""COMPUTED_VALUE"""),2.0)</f>
        <v>2</v>
      </c>
      <c r="Z99" s="17">
        <f>IFERROR(__xludf.DUMMYFUNCTION("""COMPUTED_VALUE"""),7.0)</f>
        <v>7</v>
      </c>
      <c r="AB99" s="48" t="str">
        <f>IFERROR(__xludf.DUMMYFUNCTION("""COMPUTED_VALUE"""),"PT LAJU")</f>
        <v>PT LAJU</v>
      </c>
      <c r="AC99" s="48" t="str">
        <f>IFERROR(__xludf.DUMMYFUNCTION("""COMPUTED_VALUE"""),"AG 8070 UW")</f>
        <v>AG 8070 UW</v>
      </c>
      <c r="AD99" s="48" t="str">
        <f>IFERROR(__xludf.DUMMYFUNCTION("""COMPUTED_VALUE"""),"TLPG TJ PERAK")</f>
        <v>TLPG TJ PERAK</v>
      </c>
      <c r="AE99" s="17">
        <f>IFERROR(__xludf.DUMMYFUNCTION("""COMPUTED_VALUE"""),2.0)</f>
        <v>2</v>
      </c>
    </row>
    <row r="100">
      <c r="A100" s="12">
        <v>98.0</v>
      </c>
      <c r="B100" s="9" t="s">
        <v>122</v>
      </c>
      <c r="C100" s="9" t="s">
        <v>32</v>
      </c>
      <c r="D100" s="9" t="s">
        <v>310</v>
      </c>
      <c r="E100" s="49">
        <v>37.5</v>
      </c>
      <c r="F100" s="23" t="s">
        <v>454</v>
      </c>
      <c r="G100" s="9" t="str">
        <f>IFERROR(VLOOKUP(C100,'MASTER TLPG'!A:B,2,FALSE),"")</f>
        <v>-8.509457097470957, 115.50344705076587</v>
      </c>
      <c r="H100" s="9" t="str">
        <f>IFERROR(VLOOKUP(D100,'MASTER PERUSAHAAN'!A:B,2,FALSE),"")</f>
        <v>-8.634966864512768, 115.2445496960891</v>
      </c>
      <c r="J100" s="9" t="str">
        <f t="shared" si="1"/>
        <v>DEKAT</v>
      </c>
      <c r="K100" s="11">
        <f t="shared" si="2"/>
        <v>1</v>
      </c>
      <c r="M100" s="17">
        <v>4.0</v>
      </c>
      <c r="N100" s="17"/>
      <c r="O100" s="17"/>
      <c r="P100" s="17"/>
      <c r="Q100" s="17"/>
      <c r="R100" s="17"/>
      <c r="S100" s="17"/>
      <c r="T100" s="17" t="str">
        <f>IFERROR(__xludf.DUMMYFUNCTION("""COMPUTED_VALUE"""),"P 8427 UG")</f>
        <v>P 8427 UG</v>
      </c>
      <c r="U100" s="17" t="str">
        <f>IFERROR(__xludf.DUMMYFUNCTION("""COMPUTED_VALUE"""),"TLPG TJ WANGI")</f>
        <v>TLPG TJ WANGI</v>
      </c>
      <c r="V100" s="17" t="str">
        <f>IFERROR(__xludf.DUMMYFUNCTION("""COMPUTED_VALUE"""),"PT BUMI GASINDO RAYA")</f>
        <v>PT BUMI GASINDO RAYA</v>
      </c>
      <c r="W100" s="17">
        <f>IFERROR(__xludf.DUMMYFUNCTION("""COMPUTED_VALUE"""),125.4)</f>
        <v>125.4</v>
      </c>
      <c r="X100" s="17" t="str">
        <f>IFERROR(__xludf.DUMMYFUNCTION("""COMPUTED_VALUE"""),"SEDANG")</f>
        <v>SEDANG</v>
      </c>
      <c r="Y100" s="17">
        <f>IFERROR(__xludf.DUMMYFUNCTION("""COMPUTED_VALUE"""),2.0)</f>
        <v>2</v>
      </c>
      <c r="Z100" s="17">
        <f>IFERROR(__xludf.DUMMYFUNCTION("""COMPUTED_VALUE"""),9.0)</f>
        <v>9</v>
      </c>
      <c r="AB100" s="48" t="str">
        <f>IFERROR(__xludf.DUMMYFUNCTION("""COMPUTED_VALUE"""),"PT LAJU")</f>
        <v>PT LAJU</v>
      </c>
      <c r="AC100" s="48" t="str">
        <f>IFERROR(__xludf.DUMMYFUNCTION("""COMPUTED_VALUE"""),"AG 9312 UW")</f>
        <v>AG 9312 UW</v>
      </c>
      <c r="AD100" s="48" t="str">
        <f>IFERROR(__xludf.DUMMYFUNCTION("""COMPUTED_VALUE"""),"TLPG TJ PERAK")</f>
        <v>TLPG TJ PERAK</v>
      </c>
      <c r="AE100" s="17">
        <f>IFERROR(__xludf.DUMMYFUNCTION("""COMPUTED_VALUE"""),2.0)</f>
        <v>2</v>
      </c>
    </row>
    <row r="101">
      <c r="A101" s="12">
        <v>99.0</v>
      </c>
      <c r="B101" s="9" t="s">
        <v>123</v>
      </c>
      <c r="C101" s="9" t="s">
        <v>5</v>
      </c>
      <c r="D101" s="9" t="s">
        <v>223</v>
      </c>
      <c r="E101" s="49">
        <v>48.5</v>
      </c>
      <c r="F101" s="23" t="s">
        <v>454</v>
      </c>
      <c r="G101" s="9" t="str">
        <f>IFERROR(VLOOKUP(C101,'MASTER TLPG'!A:B,2,FALSE),"")</f>
        <v>-8.749911797697688, 116.03590255003817</v>
      </c>
      <c r="H101" s="9" t="str">
        <f>IFERROR(VLOOKUP(D101,'MASTER PERUSAHAAN'!A:B,2,FALSE),"")</f>
        <v>-8.592038661293746, 116.24686255195239</v>
      </c>
      <c r="J101" s="9" t="str">
        <f t="shared" si="1"/>
        <v>DEKAT</v>
      </c>
      <c r="K101" s="11">
        <f t="shared" si="2"/>
        <v>1</v>
      </c>
      <c r="M101" s="17">
        <v>4.0</v>
      </c>
      <c r="N101" s="17"/>
      <c r="O101" s="17"/>
      <c r="P101" s="17"/>
      <c r="Q101" s="17"/>
      <c r="R101" s="17"/>
      <c r="S101" s="17"/>
      <c r="T101" s="17" t="str">
        <f>IFERROR(__xludf.DUMMYFUNCTION("""COMPUTED_VALUE"""),"N 8776 UT")</f>
        <v>N 8776 UT</v>
      </c>
      <c r="U101" s="17" t="str">
        <f>IFERROR(__xludf.DUMMYFUNCTION("""COMPUTED_VALUE"""),"TLPG TJ PERAK")</f>
        <v>TLPG TJ PERAK</v>
      </c>
      <c r="V101" s="17" t="str">
        <f>IFERROR(__xludf.DUMMYFUNCTION("""COMPUTED_VALUE"""),"PT BERINGIN GAS LESTARI")</f>
        <v>PT BERINGIN GAS LESTARI</v>
      </c>
      <c r="W101" s="17">
        <f>IFERROR(__xludf.DUMMYFUNCTION("""COMPUTED_VALUE"""),123.4)</f>
        <v>123.4</v>
      </c>
      <c r="X101" s="17" t="str">
        <f>IFERROR(__xludf.DUMMYFUNCTION("""COMPUTED_VALUE"""),"SEDANG")</f>
        <v>SEDANG</v>
      </c>
      <c r="Y101" s="17">
        <f>IFERROR(__xludf.DUMMYFUNCTION("""COMPUTED_VALUE"""),2.0)</f>
        <v>2</v>
      </c>
      <c r="Z101" s="17">
        <f>IFERROR(__xludf.DUMMYFUNCTION("""COMPUTED_VALUE"""),9.0)</f>
        <v>9</v>
      </c>
      <c r="AB101" s="48" t="str">
        <f>IFERROR(__xludf.DUMMYFUNCTION("""COMPUTED_VALUE"""),"PT LAJU")</f>
        <v>PT LAJU</v>
      </c>
      <c r="AC101" s="48" t="str">
        <f>IFERROR(__xludf.DUMMYFUNCTION("""COMPUTED_VALUE"""),"N 9195 UF")</f>
        <v>N 9195 UF</v>
      </c>
      <c r="AD101" s="48" t="str">
        <f>IFERROR(__xludf.DUMMYFUNCTION("""COMPUTED_VALUE"""),"TLPG TJ PERAK")</f>
        <v>TLPG TJ PERAK</v>
      </c>
      <c r="AE101" s="17">
        <f>IFERROR(__xludf.DUMMYFUNCTION("""COMPUTED_VALUE"""),2.0)</f>
        <v>2</v>
      </c>
    </row>
    <row r="102">
      <c r="A102" s="12">
        <v>100.0</v>
      </c>
      <c r="B102" s="9" t="s">
        <v>125</v>
      </c>
      <c r="C102" s="9" t="s">
        <v>32</v>
      </c>
      <c r="D102" s="9" t="s">
        <v>127</v>
      </c>
      <c r="E102" s="49">
        <v>67.4</v>
      </c>
      <c r="F102" s="23" t="s">
        <v>454</v>
      </c>
      <c r="G102" s="9" t="str">
        <f>IFERROR(VLOOKUP(C102,'MASTER TLPG'!A:B,2,FALSE),"")</f>
        <v>-8.509457097470957, 115.50344705076587</v>
      </c>
      <c r="H102" s="9" t="str">
        <f>IFERROR(VLOOKUP(D102,'MASTER PERUSAHAAN'!A:B,2,FALSE),"")</f>
        <v>-8.362243075746033, 115.1904744944812</v>
      </c>
      <c r="J102" s="9" t="str">
        <f t="shared" si="1"/>
        <v>SEDANG</v>
      </c>
      <c r="K102" s="11">
        <f t="shared" si="2"/>
        <v>2</v>
      </c>
      <c r="M102" s="17">
        <v>4.0</v>
      </c>
      <c r="N102" s="17"/>
      <c r="O102" s="17"/>
      <c r="P102" s="17"/>
      <c r="Q102" s="17"/>
      <c r="R102" s="17"/>
      <c r="S102" s="17"/>
      <c r="T102" s="17" t="str">
        <f>IFERROR(__xludf.DUMMYFUNCTION("""COMPUTED_VALUE"""),"N 9422 UU")</f>
        <v>N 9422 UU</v>
      </c>
      <c r="U102" s="17" t="str">
        <f>IFERROR(__xludf.DUMMYFUNCTION("""COMPUTED_VALUE"""),"TLPG TJ PERAK")</f>
        <v>TLPG TJ PERAK</v>
      </c>
      <c r="V102" s="17" t="str">
        <f>IFERROR(__xludf.DUMMYFUNCTION("""COMPUTED_VALUE"""),"PT BERINGIN GAS LESTARI")</f>
        <v>PT BERINGIN GAS LESTARI</v>
      </c>
      <c r="W102" s="17">
        <f>IFERROR(__xludf.DUMMYFUNCTION("""COMPUTED_VALUE"""),123.4)</f>
        <v>123.4</v>
      </c>
      <c r="X102" s="17" t="str">
        <f>IFERROR(__xludf.DUMMYFUNCTION("""COMPUTED_VALUE"""),"SEDANG")</f>
        <v>SEDANG</v>
      </c>
      <c r="Y102" s="17">
        <f>IFERROR(__xludf.DUMMYFUNCTION("""COMPUTED_VALUE"""),2.0)</f>
        <v>2</v>
      </c>
      <c r="Z102" s="17">
        <f>IFERROR(__xludf.DUMMYFUNCTION("""COMPUTED_VALUE"""),9.0)</f>
        <v>9</v>
      </c>
      <c r="AB102" s="48" t="str">
        <f>IFERROR(__xludf.DUMMYFUNCTION("""COMPUTED_VALUE"""),"PT LAMONGAN GAS LESTARI")</f>
        <v>PT LAMONGAN GAS LESTARI</v>
      </c>
      <c r="AC102" s="48" t="str">
        <f>IFERROR(__xludf.DUMMYFUNCTION("""COMPUTED_VALUE"""),"S 8058 UL")</f>
        <v>S 8058 UL</v>
      </c>
      <c r="AD102" s="48" t="str">
        <f>IFERROR(__xludf.DUMMYFUNCTION("""COMPUTED_VALUE"""),"TLPG MEM GRESIK")</f>
        <v>TLPG MEM GRESIK</v>
      </c>
      <c r="AE102" s="17">
        <f>IFERROR(__xludf.DUMMYFUNCTION("""COMPUTED_VALUE"""),11.0)</f>
        <v>11</v>
      </c>
    </row>
    <row r="103">
      <c r="A103" s="12">
        <v>101.0</v>
      </c>
      <c r="B103" s="9" t="s">
        <v>126</v>
      </c>
      <c r="C103" s="9" t="s">
        <v>5</v>
      </c>
      <c r="D103" s="9" t="s">
        <v>142</v>
      </c>
      <c r="E103" s="49">
        <v>104.3</v>
      </c>
      <c r="F103" s="23" t="s">
        <v>454</v>
      </c>
      <c r="G103" s="9" t="str">
        <f>IFERROR(VLOOKUP(C103,'MASTER TLPG'!A:B,2,FALSE),"")</f>
        <v>-8.749911797697688, 116.03590255003817</v>
      </c>
      <c r="H103" s="9" t="str">
        <f>IFERROR(VLOOKUP(D103,'MASTER PERUSAHAAN'!A:B,2,FALSE),"")</f>
        <v>-8.531889087270354, 116.63823623710071</v>
      </c>
      <c r="J103" s="9" t="str">
        <f t="shared" si="1"/>
        <v>SEDANG</v>
      </c>
      <c r="K103" s="11">
        <f t="shared" si="2"/>
        <v>2</v>
      </c>
      <c r="M103" s="17">
        <v>4.0</v>
      </c>
      <c r="N103" s="17"/>
      <c r="O103" s="17"/>
      <c r="P103" s="17"/>
      <c r="Q103" s="17"/>
      <c r="R103" s="17"/>
      <c r="S103" s="17"/>
      <c r="T103" s="17" t="str">
        <f>IFERROR(__xludf.DUMMYFUNCTION("""COMPUTED_VALUE"""),"S 8672 UC")</f>
        <v>S 8672 UC</v>
      </c>
      <c r="U103" s="17" t="str">
        <f>IFERROR(__xludf.DUMMYFUNCTION("""COMPUTED_VALUE"""),"TLPG TJ PERAK")</f>
        <v>TLPG TJ PERAK</v>
      </c>
      <c r="V103" s="17" t="str">
        <f>IFERROR(__xludf.DUMMYFUNCTION("""COMPUTED_VALUE"""),"PT CAHAYA NEGERI")</f>
        <v>PT CAHAYA NEGERI</v>
      </c>
      <c r="W103" s="17">
        <f>IFERROR(__xludf.DUMMYFUNCTION("""COMPUTED_VALUE"""),119.1)</f>
        <v>119.1</v>
      </c>
      <c r="X103" s="17" t="str">
        <f>IFERROR(__xludf.DUMMYFUNCTION("""COMPUTED_VALUE"""),"SEDANG")</f>
        <v>SEDANG</v>
      </c>
      <c r="Y103" s="17">
        <f>IFERROR(__xludf.DUMMYFUNCTION("""COMPUTED_VALUE"""),2.0)</f>
        <v>2</v>
      </c>
      <c r="Z103" s="17">
        <f>IFERROR(__xludf.DUMMYFUNCTION("""COMPUTED_VALUE"""),11.0)</f>
        <v>11</v>
      </c>
      <c r="AB103" s="48" t="str">
        <f>IFERROR(__xludf.DUMMYFUNCTION("""COMPUTED_VALUE"""),"PT LAMONGAN JOYO")</f>
        <v>PT LAMONGAN JOYO</v>
      </c>
      <c r="AC103" s="48" t="str">
        <f>IFERROR(__xludf.DUMMYFUNCTION("""COMPUTED_VALUE"""),"AG 8263 UW")</f>
        <v>AG 8263 UW</v>
      </c>
      <c r="AD103" s="48" t="str">
        <f>IFERROR(__xludf.DUMMYFUNCTION("""COMPUTED_VALUE"""),"TLPG TJ PERAK")</f>
        <v>TLPG TJ PERAK</v>
      </c>
      <c r="AE103" s="17">
        <f>IFERROR(__xludf.DUMMYFUNCTION("""COMPUTED_VALUE"""),3.0)</f>
        <v>3</v>
      </c>
    </row>
    <row r="104">
      <c r="A104" s="12">
        <v>102.0</v>
      </c>
      <c r="B104" s="9" t="s">
        <v>128</v>
      </c>
      <c r="C104" s="9" t="s">
        <v>5</v>
      </c>
      <c r="D104" s="9" t="s">
        <v>430</v>
      </c>
      <c r="E104" s="49">
        <v>18.7</v>
      </c>
      <c r="F104" s="23" t="s">
        <v>454</v>
      </c>
      <c r="G104" s="9" t="str">
        <f>IFERROR(VLOOKUP(C104,'MASTER TLPG'!A:B,2,FALSE),"")</f>
        <v>-8.749911797697688, 116.03590255003817</v>
      </c>
      <c r="H104" s="9" t="str">
        <f>IFERROR(VLOOKUP(D104,'MASTER PERUSAHAAN'!A:B,2,FALSE),"")</f>
        <v>-8.720187644147899, 116.07450482981622</v>
      </c>
      <c r="J104" s="9" t="str">
        <f t="shared" si="1"/>
        <v>DEKAT</v>
      </c>
      <c r="K104" s="11">
        <f t="shared" si="2"/>
        <v>1</v>
      </c>
      <c r="M104" s="17">
        <v>4.0</v>
      </c>
      <c r="N104" s="17"/>
      <c r="O104" s="17"/>
      <c r="P104" s="17"/>
      <c r="Q104" s="17"/>
      <c r="R104" s="17"/>
      <c r="S104" s="17"/>
      <c r="T104" s="17" t="str">
        <f>IFERROR(__xludf.DUMMYFUNCTION("""COMPUTED_VALUE"""),"N 8182 EB")</f>
        <v>N 8182 EB</v>
      </c>
      <c r="U104" s="17" t="str">
        <f>IFERROR(__xludf.DUMMYFUNCTION("""COMPUTED_VALUE"""),"TLPG TJ PERAK")</f>
        <v>TLPG TJ PERAK</v>
      </c>
      <c r="V104" s="17" t="str">
        <f>IFERROR(__xludf.DUMMYFUNCTION("""COMPUTED_VALUE"""),"PT AGAM SEULAWAH JAYA")</f>
        <v>PT AGAM SEULAWAH JAYA</v>
      </c>
      <c r="W104" s="17">
        <f>IFERROR(__xludf.DUMMYFUNCTION("""COMPUTED_VALUE"""),118.6)</f>
        <v>118.6</v>
      </c>
      <c r="X104" s="17" t="str">
        <f>IFERROR(__xludf.DUMMYFUNCTION("""COMPUTED_VALUE"""),"SEDANG")</f>
        <v>SEDANG</v>
      </c>
      <c r="Y104" s="17">
        <f>IFERROR(__xludf.DUMMYFUNCTION("""COMPUTED_VALUE"""),2.0)</f>
        <v>2</v>
      </c>
      <c r="Z104" s="17">
        <f>IFERROR(__xludf.DUMMYFUNCTION("""COMPUTED_VALUE"""),8.0)</f>
        <v>8</v>
      </c>
      <c r="AB104" s="48" t="str">
        <f>IFERROR(__xludf.DUMMYFUNCTION("""COMPUTED_VALUE"""),"PT LIRBOYO INSAN GLOBAL")</f>
        <v>PT LIRBOYO INSAN GLOBAL</v>
      </c>
      <c r="AC104" s="48" t="str">
        <f>IFERROR(__xludf.DUMMYFUNCTION("""COMPUTED_VALUE"""),"AG 8016 UC")</f>
        <v>AG 8016 UC</v>
      </c>
      <c r="AD104" s="48" t="str">
        <f>IFERROR(__xludf.DUMMYFUNCTION("""COMPUTED_VALUE"""),"TLPG TJ PERAK")</f>
        <v>TLPG TJ PERAK</v>
      </c>
      <c r="AE104" s="17">
        <f>IFERROR(__xludf.DUMMYFUNCTION("""COMPUTED_VALUE"""),2.0)</f>
        <v>2</v>
      </c>
    </row>
    <row r="105">
      <c r="A105" s="12">
        <v>103.0</v>
      </c>
      <c r="B105" s="9" t="s">
        <v>129</v>
      </c>
      <c r="C105" s="9" t="s">
        <v>25</v>
      </c>
      <c r="D105" s="9" t="s">
        <v>307</v>
      </c>
      <c r="E105" s="49">
        <v>12.2</v>
      </c>
      <c r="F105" s="23" t="s">
        <v>454</v>
      </c>
      <c r="G105" s="9" t="str">
        <f>IFERROR(VLOOKUP(C105,'MASTER TLPG'!A:B,2,FALSE),"")</f>
        <v>-7.109201954744449, 112.62272164861744</v>
      </c>
      <c r="H105" s="9" t="str">
        <f>IFERROR(VLOOKUP(D105,'MASTER PERUSAHAAN'!A:B,2,FALSE),"")</f>
        <v>-7.173746870643654, 112.62136808657895</v>
      </c>
      <c r="J105" s="9" t="str">
        <f t="shared" si="1"/>
        <v>DEKAT</v>
      </c>
      <c r="K105" s="11">
        <f t="shared" si="2"/>
        <v>1</v>
      </c>
      <c r="M105" s="17">
        <v>4.0</v>
      </c>
      <c r="N105" s="17"/>
      <c r="O105" s="17"/>
      <c r="P105" s="17"/>
      <c r="Q105" s="17"/>
      <c r="R105" s="17"/>
      <c r="S105" s="17"/>
      <c r="T105" s="17" t="str">
        <f>IFERROR(__xludf.DUMMYFUNCTION("""COMPUTED_VALUE"""),"N 8183 EB")</f>
        <v>N 8183 EB</v>
      </c>
      <c r="U105" s="17" t="str">
        <f>IFERROR(__xludf.DUMMYFUNCTION("""COMPUTED_VALUE"""),"TLPG TJ PERAK")</f>
        <v>TLPG TJ PERAK</v>
      </c>
      <c r="V105" s="17" t="str">
        <f>IFERROR(__xludf.DUMMYFUNCTION("""COMPUTED_VALUE"""),"PT AGAM SEULAWAH JAYA")</f>
        <v>PT AGAM SEULAWAH JAYA</v>
      </c>
      <c r="W105" s="17">
        <f>IFERROR(__xludf.DUMMYFUNCTION("""COMPUTED_VALUE"""),118.6)</f>
        <v>118.6</v>
      </c>
      <c r="X105" s="17" t="str">
        <f>IFERROR(__xludf.DUMMYFUNCTION("""COMPUTED_VALUE"""),"SEDANG")</f>
        <v>SEDANG</v>
      </c>
      <c r="Y105" s="17">
        <f>IFERROR(__xludf.DUMMYFUNCTION("""COMPUTED_VALUE"""),2.0)</f>
        <v>2</v>
      </c>
      <c r="Z105" s="17">
        <f>IFERROR(__xludf.DUMMYFUNCTION("""COMPUTED_VALUE"""),8.0)</f>
        <v>8</v>
      </c>
      <c r="AB105" s="48" t="str">
        <f>IFERROR(__xludf.DUMMYFUNCTION("""COMPUTED_VALUE"""),"PT LIRBOYO INSAN GLOBAL")</f>
        <v>PT LIRBOYO INSAN GLOBAL</v>
      </c>
      <c r="AC105" s="48" t="str">
        <f>IFERROR(__xludf.DUMMYFUNCTION("""COMPUTED_VALUE"""),"AG 8106 UC")</f>
        <v>AG 8106 UC</v>
      </c>
      <c r="AD105" s="48" t="str">
        <f>IFERROR(__xludf.DUMMYFUNCTION("""COMPUTED_VALUE"""),"TLPG TJ PERAK")</f>
        <v>TLPG TJ PERAK</v>
      </c>
      <c r="AE105" s="17">
        <f>IFERROR(__xludf.DUMMYFUNCTION("""COMPUTED_VALUE"""),3.0)</f>
        <v>3</v>
      </c>
    </row>
    <row r="106">
      <c r="A106" s="12">
        <v>104.0</v>
      </c>
      <c r="B106" s="9" t="s">
        <v>130</v>
      </c>
      <c r="C106" s="9" t="s">
        <v>25</v>
      </c>
      <c r="D106" s="9" t="s">
        <v>329</v>
      </c>
      <c r="E106" s="49">
        <v>225.5</v>
      </c>
      <c r="F106" s="23" t="s">
        <v>454</v>
      </c>
      <c r="G106" s="9" t="str">
        <f>IFERROR(VLOOKUP(C106,'MASTER TLPG'!A:B,2,FALSE),"")</f>
        <v>-7.109201954744449, 112.62272164861744</v>
      </c>
      <c r="H106" s="9" t="str">
        <f>IFERROR(VLOOKUP(D106,'MASTER PERUSAHAAN'!A:B,2,FALSE),"")</f>
        <v>-8.209339259243507, 113.7259703969949</v>
      </c>
      <c r="J106" s="9" t="str">
        <f t="shared" si="1"/>
        <v>JAUH</v>
      </c>
      <c r="K106" s="11">
        <f t="shared" si="2"/>
        <v>3</v>
      </c>
      <c r="M106" s="17">
        <v>4.0</v>
      </c>
      <c r="N106" s="17"/>
      <c r="O106" s="17"/>
      <c r="P106" s="17"/>
      <c r="Q106" s="17"/>
      <c r="R106" s="17"/>
      <c r="S106" s="17"/>
      <c r="T106" s="17" t="str">
        <f>IFERROR(__xludf.DUMMYFUNCTION("""COMPUTED_VALUE"""),"N 8327 ED")</f>
        <v>N 8327 ED</v>
      </c>
      <c r="U106" s="17" t="str">
        <f>IFERROR(__xludf.DUMMYFUNCTION("""COMPUTED_VALUE"""),"TLPG TJ PERAK")</f>
        <v>TLPG TJ PERAK</v>
      </c>
      <c r="V106" s="17" t="str">
        <f>IFERROR(__xludf.DUMMYFUNCTION("""COMPUTED_VALUE"""),"PT AGAM SEULAWAH JAYA")</f>
        <v>PT AGAM SEULAWAH JAYA</v>
      </c>
      <c r="W106" s="17">
        <f>IFERROR(__xludf.DUMMYFUNCTION("""COMPUTED_VALUE"""),118.6)</f>
        <v>118.6</v>
      </c>
      <c r="X106" s="17" t="str">
        <f>IFERROR(__xludf.DUMMYFUNCTION("""COMPUTED_VALUE"""),"SEDANG")</f>
        <v>SEDANG</v>
      </c>
      <c r="Y106" s="17">
        <f>IFERROR(__xludf.DUMMYFUNCTION("""COMPUTED_VALUE"""),2.0)</f>
        <v>2</v>
      </c>
      <c r="Z106" s="17">
        <f>IFERROR(__xludf.DUMMYFUNCTION("""COMPUTED_VALUE"""),8.0)</f>
        <v>8</v>
      </c>
      <c r="AB106" s="48" t="str">
        <f>IFERROR(__xludf.DUMMYFUNCTION("""COMPUTED_VALUE"""),"PT MADIUNI ELPIJI")</f>
        <v>PT MADIUNI ELPIJI</v>
      </c>
      <c r="AC106" s="48" t="str">
        <f>IFERROR(__xludf.DUMMYFUNCTION("""COMPUTED_VALUE"""),"AE 8018 UG")</f>
        <v>AE 8018 UG</v>
      </c>
      <c r="AD106" s="48" t="str">
        <f>IFERROR(__xludf.DUMMYFUNCTION("""COMPUTED_VALUE"""),"TLPG TJ PERAK")</f>
        <v>TLPG TJ PERAK</v>
      </c>
      <c r="AE106" s="17">
        <f>IFERROR(__xludf.DUMMYFUNCTION("""COMPUTED_VALUE"""),1.0)</f>
        <v>1</v>
      </c>
    </row>
    <row r="107">
      <c r="A107" s="12">
        <v>105.0</v>
      </c>
      <c r="B107" s="9" t="s">
        <v>131</v>
      </c>
      <c r="C107" s="9" t="s">
        <v>7</v>
      </c>
      <c r="D107" s="9" t="s">
        <v>260</v>
      </c>
      <c r="E107" s="49">
        <v>181.0</v>
      </c>
      <c r="F107" s="23" t="s">
        <v>454</v>
      </c>
      <c r="G107" s="9" t="str">
        <f>IFERROR(VLOOKUP(C107,'MASTER TLPG'!A:B,2,FALSE),"")</f>
        <v>-7.203807110524606, 112.71950675497641</v>
      </c>
      <c r="H107" s="9" t="str">
        <f>IFERROR(VLOOKUP(D107,'MASTER PERUSAHAAN'!A:B,2,FALSE),"")</f>
        <v>-7.264626816889317, 112.70067502631132</v>
      </c>
      <c r="J107" s="9" t="str">
        <f t="shared" si="1"/>
        <v>JAUH</v>
      </c>
      <c r="K107" s="11">
        <f t="shared" si="2"/>
        <v>3</v>
      </c>
      <c r="M107" s="17">
        <v>4.0</v>
      </c>
      <c r="N107" s="17"/>
      <c r="O107" s="17"/>
      <c r="P107" s="17"/>
      <c r="Q107" s="17"/>
      <c r="R107" s="17"/>
      <c r="S107" s="17"/>
      <c r="T107" s="17" t="str">
        <f>IFERROR(__xludf.DUMMYFUNCTION("""COMPUTED_VALUE"""),"P 8312 UG")</f>
        <v>P 8312 UG</v>
      </c>
      <c r="U107" s="17" t="str">
        <f>IFERROR(__xludf.DUMMYFUNCTION("""COMPUTED_VALUE"""),"TLPG TJ WANGI")</f>
        <v>TLPG TJ WANGI</v>
      </c>
      <c r="V107" s="17" t="str">
        <f>IFERROR(__xludf.DUMMYFUNCTION("""COMPUTED_VALUE"""),"PT MEGA HULU ENERGI")</f>
        <v>PT MEGA HULU ENERGI</v>
      </c>
      <c r="W107" s="17">
        <f>IFERROR(__xludf.DUMMYFUNCTION("""COMPUTED_VALUE"""),118.0)</f>
        <v>118</v>
      </c>
      <c r="X107" s="17" t="str">
        <f>IFERROR(__xludf.DUMMYFUNCTION("""COMPUTED_VALUE"""),"SEDANG")</f>
        <v>SEDANG</v>
      </c>
      <c r="Y107" s="17">
        <f>IFERROR(__xludf.DUMMYFUNCTION("""COMPUTED_VALUE"""),2.0)</f>
        <v>2</v>
      </c>
      <c r="Z107" s="17">
        <f>IFERROR(__xludf.DUMMYFUNCTION("""COMPUTED_VALUE"""),6.0)</f>
        <v>6</v>
      </c>
      <c r="AB107" s="48" t="str">
        <f>IFERROR(__xludf.DUMMYFUNCTION("""COMPUTED_VALUE"""),"PT MADIUNI ELPIJI")</f>
        <v>PT MADIUNI ELPIJI</v>
      </c>
      <c r="AC107" s="48" t="str">
        <f>IFERROR(__xludf.DUMMYFUNCTION("""COMPUTED_VALUE"""),"AE 8175 UC")</f>
        <v>AE 8175 UC</v>
      </c>
      <c r="AD107" s="48" t="str">
        <f>IFERROR(__xludf.DUMMYFUNCTION("""COMPUTED_VALUE"""),"TLPG TJ PERAK")</f>
        <v>TLPG TJ PERAK</v>
      </c>
      <c r="AE107" s="17">
        <f>IFERROR(__xludf.DUMMYFUNCTION("""COMPUTED_VALUE"""),1.0)</f>
        <v>1</v>
      </c>
    </row>
    <row r="108">
      <c r="A108" s="12">
        <v>106.0</v>
      </c>
      <c r="B108" s="9" t="s">
        <v>60</v>
      </c>
      <c r="C108" s="9" t="s">
        <v>28</v>
      </c>
      <c r="D108" s="9" t="s">
        <v>475</v>
      </c>
      <c r="E108" s="49">
        <v>188.6</v>
      </c>
      <c r="F108" s="23" t="s">
        <v>454</v>
      </c>
      <c r="G108" s="9" t="str">
        <f>IFERROR(VLOOKUP(C108,'MASTER TLPG'!A:B,2,FALSE),"")</f>
        <v>-8.16862812274526, 114.38753900822569</v>
      </c>
      <c r="H108" s="9" t="str">
        <f>IFERROR(VLOOKUP(D108,'MASTER PERUSAHAAN'!A:B,2,FALSE),"")</f>
        <v>-7.759043461569343, 113.19244280481355</v>
      </c>
      <c r="J108" s="9" t="str">
        <f t="shared" si="1"/>
        <v>JAUH</v>
      </c>
      <c r="K108" s="11">
        <f t="shared" si="2"/>
        <v>3</v>
      </c>
      <c r="M108" s="17">
        <v>2.0</v>
      </c>
      <c r="N108" s="17"/>
      <c r="O108" s="17"/>
      <c r="P108" s="17"/>
      <c r="Q108" s="17"/>
      <c r="R108" s="17"/>
      <c r="S108" s="17"/>
      <c r="T108" s="17" t="str">
        <f>IFERROR(__xludf.DUMMYFUNCTION("""COMPUTED_VALUE"""),"AG 8225 UG")</f>
        <v>AG 8225 UG</v>
      </c>
      <c r="U108" s="17" t="str">
        <f>IFERROR(__xludf.DUMMYFUNCTION("""COMPUTED_VALUE"""),"TLPG TJ PERAK")</f>
        <v>TLPG TJ PERAK</v>
      </c>
      <c r="V108" s="17" t="str">
        <f>IFERROR(__xludf.DUMMYFUNCTION("""COMPUTED_VALUE"""),"PT SINAR HASIL BUANA")</f>
        <v>PT SINAR HASIL BUANA</v>
      </c>
      <c r="W108" s="17">
        <f>IFERROR(__xludf.DUMMYFUNCTION("""COMPUTED_VALUE"""),116.1)</f>
        <v>116.1</v>
      </c>
      <c r="X108" s="17" t="str">
        <f>IFERROR(__xludf.DUMMYFUNCTION("""COMPUTED_VALUE"""),"SEDANG")</f>
        <v>SEDANG</v>
      </c>
      <c r="Y108" s="17">
        <f>IFERROR(__xludf.DUMMYFUNCTION("""COMPUTED_VALUE"""),2.0)</f>
        <v>2</v>
      </c>
      <c r="Z108" s="17">
        <f>IFERROR(__xludf.DUMMYFUNCTION("""COMPUTED_VALUE"""),3.0)</f>
        <v>3</v>
      </c>
      <c r="AB108" s="48" t="str">
        <f>IFERROR(__xludf.DUMMYFUNCTION("""COMPUTED_VALUE"""),"PT MADIUNI ELPIJI")</f>
        <v>PT MADIUNI ELPIJI</v>
      </c>
      <c r="AC108" s="48" t="str">
        <f>IFERROR(__xludf.DUMMYFUNCTION("""COMPUTED_VALUE"""),"AE 8458 UF")</f>
        <v>AE 8458 UF</v>
      </c>
      <c r="AD108" s="48" t="str">
        <f>IFERROR(__xludf.DUMMYFUNCTION("""COMPUTED_VALUE"""),"TLPG TJ PERAK")</f>
        <v>TLPG TJ PERAK</v>
      </c>
      <c r="AE108" s="17">
        <f>IFERROR(__xludf.DUMMYFUNCTION("""COMPUTED_VALUE"""),1.0)</f>
        <v>1</v>
      </c>
    </row>
    <row r="109">
      <c r="A109" s="12">
        <v>107.0</v>
      </c>
      <c r="B109" s="9" t="s">
        <v>132</v>
      </c>
      <c r="C109" s="9" t="s">
        <v>28</v>
      </c>
      <c r="D109" s="9" t="s">
        <v>257</v>
      </c>
      <c r="E109" s="49">
        <v>171.9</v>
      </c>
      <c r="F109" s="23" t="s">
        <v>454</v>
      </c>
      <c r="G109" s="9" t="str">
        <f>IFERROR(VLOOKUP(C109,'MASTER TLPG'!A:B,2,FALSE),"")</f>
        <v>-8.16862812274526, 114.38753900822569</v>
      </c>
      <c r="H109" s="9" t="str">
        <f>IFERROR(VLOOKUP(D109,'MASTER PERUSAHAAN'!A:B,2,FALSE),"")</f>
        <v>-7.7932455650343995, 113.32764344583418</v>
      </c>
      <c r="J109" s="9" t="str">
        <f t="shared" si="1"/>
        <v>JAUH</v>
      </c>
      <c r="K109" s="11">
        <f t="shared" si="2"/>
        <v>3</v>
      </c>
      <c r="M109" s="17">
        <v>4.0</v>
      </c>
      <c r="N109" s="17"/>
      <c r="O109" s="17"/>
      <c r="P109" s="17"/>
      <c r="Q109" s="17"/>
      <c r="R109" s="17"/>
      <c r="S109" s="17"/>
      <c r="T109" s="17" t="str">
        <f>IFERROR(__xludf.DUMMYFUNCTION("""COMPUTED_VALUE"""),"AG 8374 UG")</f>
        <v>AG 8374 UG</v>
      </c>
      <c r="U109" s="17" t="str">
        <f>IFERROR(__xludf.DUMMYFUNCTION("""COMPUTED_VALUE"""),"TLPG TJ PERAK")</f>
        <v>TLPG TJ PERAK</v>
      </c>
      <c r="V109" s="17" t="str">
        <f>IFERROR(__xludf.DUMMYFUNCTION("""COMPUTED_VALUE"""),"PT PANDU MANUNGGAL KARSA")</f>
        <v>PT PANDU MANUNGGAL KARSA</v>
      </c>
      <c r="W109" s="17">
        <f>IFERROR(__xludf.DUMMYFUNCTION("""COMPUTED_VALUE"""),116.1)</f>
        <v>116.1</v>
      </c>
      <c r="X109" s="17" t="str">
        <f>IFERROR(__xludf.DUMMYFUNCTION("""COMPUTED_VALUE"""),"SEDANG")</f>
        <v>SEDANG</v>
      </c>
      <c r="Y109" s="17">
        <f>IFERROR(__xludf.DUMMYFUNCTION("""COMPUTED_VALUE"""),2.0)</f>
        <v>2</v>
      </c>
      <c r="Z109" s="17">
        <f>IFERROR(__xludf.DUMMYFUNCTION("""COMPUTED_VALUE"""),3.0)</f>
        <v>3</v>
      </c>
      <c r="AB109" s="48" t="str">
        <f>IFERROR(__xludf.DUMMYFUNCTION("""COMPUTED_VALUE"""),"PT MADIUNI ELPIJI")</f>
        <v>PT MADIUNI ELPIJI</v>
      </c>
      <c r="AC109" s="48" t="str">
        <f>IFERROR(__xludf.DUMMYFUNCTION("""COMPUTED_VALUE"""),"AE 8459 UF")</f>
        <v>AE 8459 UF</v>
      </c>
      <c r="AD109" s="48" t="str">
        <f>IFERROR(__xludf.DUMMYFUNCTION("""COMPUTED_VALUE"""),"TLPG TJ PERAK")</f>
        <v>TLPG TJ PERAK</v>
      </c>
      <c r="AE109" s="17">
        <f>IFERROR(__xludf.DUMMYFUNCTION("""COMPUTED_VALUE"""),1.0)</f>
        <v>1</v>
      </c>
    </row>
    <row r="110">
      <c r="A110" s="12">
        <v>108.0</v>
      </c>
      <c r="B110" s="9" t="s">
        <v>133</v>
      </c>
      <c r="C110" s="9" t="s">
        <v>7</v>
      </c>
      <c r="D110" s="9" t="s">
        <v>419</v>
      </c>
      <c r="E110" s="49">
        <v>167.6</v>
      </c>
      <c r="F110" s="23" t="s">
        <v>454</v>
      </c>
      <c r="G110" s="9" t="str">
        <f>IFERROR(VLOOKUP(C110,'MASTER TLPG'!A:B,2,FALSE),"")</f>
        <v>-7.203807110524606, 112.71950675497641</v>
      </c>
      <c r="H110" s="9" t="str">
        <f>IFERROR(VLOOKUP(D110,'MASTER PERUSAHAAN'!A:B,2,FALSE),"")</f>
        <v>-7.557746950321399, 112.55761371619027</v>
      </c>
      <c r="J110" s="9" t="str">
        <f t="shared" si="1"/>
        <v>JAUH</v>
      </c>
      <c r="K110" s="11">
        <f t="shared" si="2"/>
        <v>3</v>
      </c>
      <c r="M110" s="17">
        <v>4.0</v>
      </c>
      <c r="N110" s="17"/>
      <c r="O110" s="17"/>
      <c r="P110" s="17"/>
      <c r="Q110" s="17"/>
      <c r="R110" s="17"/>
      <c r="S110" s="17"/>
      <c r="T110" s="17" t="str">
        <f>IFERROR(__xludf.DUMMYFUNCTION("""COMPUTED_VALUE"""),"N 8777 UG")</f>
        <v>N 8777 UG</v>
      </c>
      <c r="U110" s="17" t="str">
        <f>IFERROR(__xludf.DUMMYFUNCTION("""COMPUTED_VALUE"""),"TLPG TJ PERAK")</f>
        <v>TLPG TJ PERAK</v>
      </c>
      <c r="V110" s="17" t="str">
        <f>IFERROR(__xludf.DUMMYFUNCTION("""COMPUTED_VALUE"""),"PT SOLUSINDO INNOVATIVE")</f>
        <v>PT SOLUSINDO INNOVATIVE</v>
      </c>
      <c r="W110" s="17">
        <f>IFERROR(__xludf.DUMMYFUNCTION("""COMPUTED_VALUE"""),112.4)</f>
        <v>112.4</v>
      </c>
      <c r="X110" s="17" t="str">
        <f>IFERROR(__xludf.DUMMYFUNCTION("""COMPUTED_VALUE"""),"SEDANG")</f>
        <v>SEDANG</v>
      </c>
      <c r="Y110" s="17">
        <f>IFERROR(__xludf.DUMMYFUNCTION("""COMPUTED_VALUE"""),2.0)</f>
        <v>2</v>
      </c>
      <c r="Z110" s="17">
        <f>IFERROR(__xludf.DUMMYFUNCTION("""COMPUTED_VALUE"""),9.0)</f>
        <v>9</v>
      </c>
      <c r="AB110" s="48" t="str">
        <f>IFERROR(__xludf.DUMMYFUNCTION("""COMPUTED_VALUE"""),"PT MAHKOTA MIGAS PERKASA")</f>
        <v>PT MAHKOTA MIGAS PERKASA</v>
      </c>
      <c r="AC110" s="48" t="str">
        <f>IFERROR(__xludf.DUMMYFUNCTION("""COMPUTED_VALUE"""),"N 9910 UN")</f>
        <v>N 9910 UN</v>
      </c>
      <c r="AD110" s="48" t="str">
        <f>IFERROR(__xludf.DUMMYFUNCTION("""COMPUTED_VALUE"""),"TLPG TJ WANGI")</f>
        <v>TLPG TJ WANGI</v>
      </c>
      <c r="AE110" s="17">
        <f>IFERROR(__xludf.DUMMYFUNCTION("""COMPUTED_VALUE"""),5.0)</f>
        <v>5</v>
      </c>
    </row>
    <row r="111">
      <c r="A111" s="12">
        <v>109.0</v>
      </c>
      <c r="B111" s="9" t="s">
        <v>134</v>
      </c>
      <c r="C111" s="9" t="s">
        <v>7</v>
      </c>
      <c r="D111" s="9" t="s">
        <v>271</v>
      </c>
      <c r="E111" s="49">
        <v>10.1</v>
      </c>
      <c r="F111" s="23" t="s">
        <v>454</v>
      </c>
      <c r="G111" s="9" t="str">
        <f>IFERROR(VLOOKUP(C111,'MASTER TLPG'!A:B,2,FALSE),"")</f>
        <v>-7.203807110524606, 112.71950675497641</v>
      </c>
      <c r="H111" s="9" t="str">
        <f>IFERROR(VLOOKUP(D111,'MASTER PERUSAHAAN'!A:B,2,FALSE),"")</f>
        <v>-7.623221037073586, 112.81530028747939</v>
      </c>
      <c r="J111" s="9" t="str">
        <f t="shared" si="1"/>
        <v>DEKAT</v>
      </c>
      <c r="K111" s="11">
        <f t="shared" si="2"/>
        <v>1</v>
      </c>
      <c r="M111" s="17">
        <v>4.0</v>
      </c>
      <c r="N111" s="17"/>
      <c r="O111" s="17"/>
      <c r="P111" s="17"/>
      <c r="Q111" s="17"/>
      <c r="R111" s="17"/>
      <c r="S111" s="17"/>
      <c r="T111" s="17" t="str">
        <f>IFERROR(__xludf.DUMMYFUNCTION("""COMPUTED_VALUE"""),"N 9424 UU")</f>
        <v>N 9424 UU</v>
      </c>
      <c r="U111" s="17" t="str">
        <f>IFERROR(__xludf.DUMMYFUNCTION("""COMPUTED_VALUE"""),"TLPG TJ PERAK")</f>
        <v>TLPG TJ PERAK</v>
      </c>
      <c r="V111" s="17" t="str">
        <f>IFERROR(__xludf.DUMMYFUNCTION("""COMPUTED_VALUE"""),"PT ANUGRAH SURYA MANDALA")</f>
        <v>PT ANUGRAH SURYA MANDALA</v>
      </c>
      <c r="W111" s="17">
        <f>IFERROR(__xludf.DUMMYFUNCTION("""COMPUTED_VALUE"""),112.3)</f>
        <v>112.3</v>
      </c>
      <c r="X111" s="17" t="str">
        <f>IFERROR(__xludf.DUMMYFUNCTION("""COMPUTED_VALUE"""),"SEDANG")</f>
        <v>SEDANG</v>
      </c>
      <c r="Y111" s="17">
        <f>IFERROR(__xludf.DUMMYFUNCTION("""COMPUTED_VALUE"""),2.0)</f>
        <v>2</v>
      </c>
      <c r="Z111" s="17">
        <f>IFERROR(__xludf.DUMMYFUNCTION("""COMPUTED_VALUE"""),9.0)</f>
        <v>9</v>
      </c>
      <c r="AB111" s="48" t="str">
        <f>IFERROR(__xludf.DUMMYFUNCTION("""COMPUTED_VALUE"""),"PT MEGA HULU ENEGRI")</f>
        <v>PT MEGA HULU ENEGRI</v>
      </c>
      <c r="AC111" s="48" t="str">
        <f>IFERROR(__xludf.DUMMYFUNCTION("""COMPUTED_VALUE"""),"P 8920 UG")</f>
        <v>P 8920 UG</v>
      </c>
      <c r="AD111" s="48" t="str">
        <f>IFERROR(__xludf.DUMMYFUNCTION("""COMPUTED_VALUE"""),"TLPG TJ WANGI")</f>
        <v>TLPG TJ WANGI</v>
      </c>
      <c r="AE111" s="17">
        <f>IFERROR(__xludf.DUMMYFUNCTION("""COMPUTED_VALUE"""),1.0)</f>
        <v>1</v>
      </c>
    </row>
    <row r="112">
      <c r="A112" s="12">
        <v>110.0</v>
      </c>
      <c r="B112" s="9" t="s">
        <v>136</v>
      </c>
      <c r="C112" s="9" t="s">
        <v>28</v>
      </c>
      <c r="D112" s="9" t="s">
        <v>161</v>
      </c>
      <c r="E112" s="49">
        <v>4.9</v>
      </c>
      <c r="F112" s="23" t="s">
        <v>454</v>
      </c>
      <c r="G112" s="9" t="str">
        <f>IFERROR(VLOOKUP(C112,'MASTER TLPG'!A:B,2,FALSE),"")</f>
        <v>-8.16862812274526, 114.38753900822569</v>
      </c>
      <c r="H112" s="9" t="str">
        <f>IFERROR(VLOOKUP(D112,'MASTER PERUSAHAAN'!A:B,2,FALSE),"")</f>
        <v>-8.183875830055694, 114.36222926711594</v>
      </c>
      <c r="J112" s="9" t="str">
        <f t="shared" si="1"/>
        <v>DEKAT</v>
      </c>
      <c r="K112" s="11">
        <f t="shared" si="2"/>
        <v>1</v>
      </c>
      <c r="M112" s="17">
        <v>4.0</v>
      </c>
      <c r="N112" s="17"/>
      <c r="O112" s="17"/>
      <c r="P112" s="17"/>
      <c r="Q112" s="17"/>
      <c r="R112" s="17"/>
      <c r="S112" s="17"/>
      <c r="T112" s="17" t="str">
        <f>IFERROR(__xludf.DUMMYFUNCTION("""COMPUTED_VALUE"""),"W 9205 NY")</f>
        <v>W 9205 NY</v>
      </c>
      <c r="U112" s="17" t="str">
        <f>IFERROR(__xludf.DUMMYFUNCTION("""COMPUTED_VALUE"""),"TLPG TJ PERAK")</f>
        <v>TLPG TJ PERAK</v>
      </c>
      <c r="V112" s="17" t="str">
        <f>IFERROR(__xludf.DUMMYFUNCTION("""COMPUTED_VALUE"""),"PT ANUGRAH SURYA MANDALA")</f>
        <v>PT ANUGRAH SURYA MANDALA</v>
      </c>
      <c r="W112" s="17">
        <f>IFERROR(__xludf.DUMMYFUNCTION("""COMPUTED_VALUE"""),112.3)</f>
        <v>112.3</v>
      </c>
      <c r="X112" s="17" t="str">
        <f>IFERROR(__xludf.DUMMYFUNCTION("""COMPUTED_VALUE"""),"SEDANG")</f>
        <v>SEDANG</v>
      </c>
      <c r="Y112" s="17">
        <f>IFERROR(__xludf.DUMMYFUNCTION("""COMPUTED_VALUE"""),2.0)</f>
        <v>2</v>
      </c>
      <c r="Z112" s="17">
        <f>IFERROR(__xludf.DUMMYFUNCTION("""COMPUTED_VALUE"""),9.0)</f>
        <v>9</v>
      </c>
      <c r="AB112" s="48" t="str">
        <f>IFERROR(__xludf.DUMMYFUNCTION("""COMPUTED_VALUE"""),"PT MEGA HULU ENERGI")</f>
        <v>PT MEGA HULU ENERGI</v>
      </c>
      <c r="AC112" s="48" t="str">
        <f>IFERROR(__xludf.DUMMYFUNCTION("""COMPUTED_VALUE"""),"P 8312 UG")</f>
        <v>P 8312 UG</v>
      </c>
      <c r="AD112" s="48" t="str">
        <f>IFERROR(__xludf.DUMMYFUNCTION("""COMPUTED_VALUE"""),"TLPG TJ WANGI")</f>
        <v>TLPG TJ WANGI</v>
      </c>
      <c r="AE112" s="17">
        <f>IFERROR(__xludf.DUMMYFUNCTION("""COMPUTED_VALUE"""),6.0)</f>
        <v>6</v>
      </c>
    </row>
    <row r="113">
      <c r="A113" s="12">
        <v>111.0</v>
      </c>
      <c r="B113" s="9" t="s">
        <v>137</v>
      </c>
      <c r="C113" s="9" t="s">
        <v>7</v>
      </c>
      <c r="D113" s="9" t="s">
        <v>175</v>
      </c>
      <c r="E113" s="49">
        <v>23.7</v>
      </c>
      <c r="F113" s="23" t="s">
        <v>454</v>
      </c>
      <c r="G113" s="9" t="str">
        <f>IFERROR(VLOOKUP(C113,'MASTER TLPG'!A:B,2,FALSE),"")</f>
        <v>-7.203807110524606, 112.71950675497641</v>
      </c>
      <c r="H113" s="9" t="str">
        <f>IFERROR(VLOOKUP(D113,'MASTER PERUSAHAAN'!A:B,2,FALSE),"")</f>
        <v>-7.359505897237556, 112.68392193818326</v>
      </c>
      <c r="J113" s="9" t="str">
        <f t="shared" si="1"/>
        <v>DEKAT</v>
      </c>
      <c r="K113" s="11">
        <f t="shared" si="2"/>
        <v>1</v>
      </c>
      <c r="M113" s="17">
        <v>4.0</v>
      </c>
      <c r="N113" s="17"/>
      <c r="O113" s="17"/>
      <c r="P113" s="17"/>
      <c r="Q113" s="17"/>
      <c r="R113" s="17"/>
      <c r="S113" s="17"/>
      <c r="T113" s="17" t="str">
        <f>IFERROR(__xludf.DUMMYFUNCTION("""COMPUTED_VALUE"""),"AG 8056 OA")</f>
        <v>AG 8056 OA</v>
      </c>
      <c r="U113" s="17" t="str">
        <f>IFERROR(__xludf.DUMMYFUNCTION("""COMPUTED_VALUE"""),"TLPG TJ PERAK")</f>
        <v>TLPG TJ PERAK</v>
      </c>
      <c r="V113" s="17" t="str">
        <f>IFERROR(__xludf.DUMMYFUNCTION("""COMPUTED_VALUE"""),"PT ANUGRAH SURYA MANDALA")</f>
        <v>PT ANUGRAH SURYA MANDALA</v>
      </c>
      <c r="W113" s="17">
        <f>IFERROR(__xludf.DUMMYFUNCTION("""COMPUTED_VALUE"""),112.3)</f>
        <v>112.3</v>
      </c>
      <c r="X113" s="17" t="str">
        <f>IFERROR(__xludf.DUMMYFUNCTION("""COMPUTED_VALUE"""),"SEDANG")</f>
        <v>SEDANG</v>
      </c>
      <c r="Y113" s="17">
        <f>IFERROR(__xludf.DUMMYFUNCTION("""COMPUTED_VALUE"""),2.0)</f>
        <v>2</v>
      </c>
      <c r="Z113" s="17">
        <f>IFERROR(__xludf.DUMMYFUNCTION("""COMPUTED_VALUE"""),10.0)</f>
        <v>10</v>
      </c>
      <c r="AB113" s="48" t="str">
        <f>IFERROR(__xludf.DUMMYFUNCTION("""COMPUTED_VALUE"""),"PT MITRA MADURA DHARMA ABADI")</f>
        <v>PT MITRA MADURA DHARMA ABADI</v>
      </c>
      <c r="AC113" s="48" t="str">
        <f>IFERROR(__xludf.DUMMYFUNCTION("""COMPUTED_VALUE"""),"M 8016 UV")</f>
        <v>M 8016 UV</v>
      </c>
      <c r="AD113" s="48" t="str">
        <f>IFERROR(__xludf.DUMMYFUNCTION("""COMPUTED_VALUE"""),"TLPG TJ PERAK")</f>
        <v>TLPG TJ PERAK</v>
      </c>
      <c r="AE113" s="17">
        <f>IFERROR(__xludf.DUMMYFUNCTION("""COMPUTED_VALUE"""),7.0)</f>
        <v>7</v>
      </c>
    </row>
    <row r="114">
      <c r="A114" s="12">
        <v>112.0</v>
      </c>
      <c r="B114" s="9" t="s">
        <v>138</v>
      </c>
      <c r="C114" s="9" t="s">
        <v>7</v>
      </c>
      <c r="D114" s="9" t="s">
        <v>204</v>
      </c>
      <c r="E114" s="49">
        <v>167.6</v>
      </c>
      <c r="F114" s="23" t="s">
        <v>454</v>
      </c>
      <c r="G114" s="9" t="str">
        <f>IFERROR(VLOOKUP(C114,'MASTER TLPG'!A:B,2,FALSE),"")</f>
        <v>-7.203807110524606, 112.71950675497641</v>
      </c>
      <c r="H114" s="9" t="str">
        <f>IFERROR(VLOOKUP(D114,'MASTER PERUSAHAAN'!A:B,2,FALSE),"")</f>
        <v>-8.096801604357731, 112.18220246923711</v>
      </c>
      <c r="J114" s="9" t="str">
        <f t="shared" si="1"/>
        <v>JAUH</v>
      </c>
      <c r="K114" s="11">
        <f t="shared" si="2"/>
        <v>3</v>
      </c>
      <c r="M114" s="17">
        <v>5.0</v>
      </c>
      <c r="N114" s="17"/>
      <c r="O114" s="17"/>
      <c r="P114" s="17"/>
      <c r="Q114" s="17"/>
      <c r="R114" s="17"/>
      <c r="S114" s="17"/>
      <c r="T114" s="17" t="str">
        <f>IFERROR(__xludf.DUMMYFUNCTION("""COMPUTED_VALUE"""),"N 8083 UQ")</f>
        <v>N 8083 UQ</v>
      </c>
      <c r="U114" s="17" t="str">
        <f>IFERROR(__xludf.DUMMYFUNCTION("""COMPUTED_VALUE"""),"TLPG TJ PERAK")</f>
        <v>TLPG TJ PERAK</v>
      </c>
      <c r="V114" s="17" t="str">
        <f>IFERROR(__xludf.DUMMYFUNCTION("""COMPUTED_VALUE"""),"PT BHUMI PERMATA INDAH")</f>
        <v>PT BHUMI PERMATA INDAH</v>
      </c>
      <c r="W114" s="17">
        <f>IFERROR(__xludf.DUMMYFUNCTION("""COMPUTED_VALUE"""),112.0)</f>
        <v>112</v>
      </c>
      <c r="X114" s="17" t="str">
        <f>IFERROR(__xludf.DUMMYFUNCTION("""COMPUTED_VALUE"""),"SEDANG")</f>
        <v>SEDANG</v>
      </c>
      <c r="Y114" s="17">
        <f>IFERROR(__xludf.DUMMYFUNCTION("""COMPUTED_VALUE"""),2.0)</f>
        <v>2</v>
      </c>
      <c r="Z114" s="17">
        <f>IFERROR(__xludf.DUMMYFUNCTION("""COMPUTED_VALUE"""),2.0)</f>
        <v>2</v>
      </c>
      <c r="AB114" s="48" t="str">
        <f>IFERROR(__xludf.DUMMYFUNCTION("""COMPUTED_VALUE"""),"PT MITRA MADURA DHARMA ABADI")</f>
        <v>PT MITRA MADURA DHARMA ABADI</v>
      </c>
      <c r="AC114" s="48" t="str">
        <f>IFERROR(__xludf.DUMMYFUNCTION("""COMPUTED_VALUE"""),"M 9026 UV")</f>
        <v>M 9026 UV</v>
      </c>
      <c r="AD114" s="48" t="str">
        <f>IFERROR(__xludf.DUMMYFUNCTION("""COMPUTED_VALUE"""),"TLPG TJ PERAK")</f>
        <v>TLPG TJ PERAK</v>
      </c>
      <c r="AE114" s="17">
        <f>IFERROR(__xludf.DUMMYFUNCTION("""COMPUTED_VALUE"""),7.0)</f>
        <v>7</v>
      </c>
    </row>
    <row r="115">
      <c r="A115" s="12">
        <v>113.0</v>
      </c>
      <c r="B115" s="9" t="s">
        <v>139</v>
      </c>
      <c r="C115" s="9" t="s">
        <v>7</v>
      </c>
      <c r="D115" s="9" t="s">
        <v>124</v>
      </c>
      <c r="E115" s="49">
        <v>167.1</v>
      </c>
      <c r="F115" s="23" t="s">
        <v>454</v>
      </c>
      <c r="G115" s="9" t="str">
        <f>IFERROR(VLOOKUP(C115,'MASTER TLPG'!A:B,2,FALSE),"")</f>
        <v>-7.203807110524606, 112.71950675497641</v>
      </c>
      <c r="H115" s="9" t="str">
        <f>IFERROR(VLOOKUP(D115,'MASTER PERUSAHAAN'!A:B,2,FALSE),"")</f>
        <v>-8.109561205860269, 112.01521319205663</v>
      </c>
      <c r="J115" s="9" t="str">
        <f t="shared" si="1"/>
        <v>JAUH</v>
      </c>
      <c r="K115" s="11">
        <f t="shared" si="2"/>
        <v>3</v>
      </c>
      <c r="M115" s="17">
        <v>5.0</v>
      </c>
      <c r="N115" s="17"/>
      <c r="O115" s="17"/>
      <c r="P115" s="17"/>
      <c r="Q115" s="17"/>
      <c r="R115" s="17"/>
      <c r="S115" s="17"/>
      <c r="T115" s="17" t="str">
        <f>IFERROR(__xludf.DUMMYFUNCTION("""COMPUTED_VALUE"""),"N 8299 UR")</f>
        <v>N 8299 UR</v>
      </c>
      <c r="U115" s="17" t="str">
        <f>IFERROR(__xludf.DUMMYFUNCTION("""COMPUTED_VALUE"""),"TLPG TJ PERAK")</f>
        <v>TLPG TJ PERAK</v>
      </c>
      <c r="V115" s="17" t="str">
        <f>IFERROR(__xludf.DUMMYFUNCTION("""COMPUTED_VALUE"""),"PT BHUMI PERMATA INDAH")</f>
        <v>PT BHUMI PERMATA INDAH</v>
      </c>
      <c r="W115" s="17">
        <f>IFERROR(__xludf.DUMMYFUNCTION("""COMPUTED_VALUE"""),112.0)</f>
        <v>112</v>
      </c>
      <c r="X115" s="17" t="str">
        <f>IFERROR(__xludf.DUMMYFUNCTION("""COMPUTED_VALUE"""),"SEDANG")</f>
        <v>SEDANG</v>
      </c>
      <c r="Y115" s="17">
        <f>IFERROR(__xludf.DUMMYFUNCTION("""COMPUTED_VALUE"""),2.0)</f>
        <v>2</v>
      </c>
      <c r="Z115" s="17">
        <f>IFERROR(__xludf.DUMMYFUNCTION("""COMPUTED_VALUE"""),8.0)</f>
        <v>8</v>
      </c>
      <c r="AB115" s="48" t="str">
        <f>IFERROR(__xludf.DUMMYFUNCTION("""COMPUTED_VALUE"""),"PT MITRA MADURA DHARMA ABADI")</f>
        <v>PT MITRA MADURA DHARMA ABADI</v>
      </c>
      <c r="AC115" s="48" t="str">
        <f>IFERROR(__xludf.DUMMYFUNCTION("""COMPUTED_VALUE"""),"M 9028 UV")</f>
        <v>M 9028 UV</v>
      </c>
      <c r="AD115" s="48" t="str">
        <f>IFERROR(__xludf.DUMMYFUNCTION("""COMPUTED_VALUE"""),"TLPG TJ PERAK")</f>
        <v>TLPG TJ PERAK</v>
      </c>
      <c r="AE115" s="17">
        <f>IFERROR(__xludf.DUMMYFUNCTION("""COMPUTED_VALUE"""),7.0)</f>
        <v>7</v>
      </c>
    </row>
    <row r="116">
      <c r="A116" s="12">
        <v>114.0</v>
      </c>
      <c r="B116" s="9" t="s">
        <v>140</v>
      </c>
      <c r="C116" s="9" t="s">
        <v>7</v>
      </c>
      <c r="D116" s="9" t="s">
        <v>383</v>
      </c>
      <c r="E116" s="49">
        <v>128.4</v>
      </c>
      <c r="F116" s="23" t="s">
        <v>454</v>
      </c>
      <c r="G116" s="9" t="str">
        <f>IFERROR(VLOOKUP(C116,'MASTER TLPG'!A:B,2,FALSE),"")</f>
        <v>-7.203807110524606, 112.71950675497641</v>
      </c>
      <c r="H116" s="9" t="str">
        <f>IFERROR(VLOOKUP(D116,'MASTER PERUSAHAAN'!A:B,2,FALSE),"")</f>
        <v/>
      </c>
      <c r="J116" s="9" t="str">
        <f t="shared" si="1"/>
        <v>SEDANG</v>
      </c>
      <c r="K116" s="11">
        <f t="shared" si="2"/>
        <v>2</v>
      </c>
      <c r="M116" s="17">
        <v>5.0</v>
      </c>
      <c r="N116" s="17"/>
      <c r="O116" s="17"/>
      <c r="P116" s="17"/>
      <c r="Q116" s="17"/>
      <c r="R116" s="17"/>
      <c r="S116" s="17"/>
      <c r="T116" s="17" t="str">
        <f>IFERROR(__xludf.DUMMYFUNCTION("""COMPUTED_VALUE"""),"P 8726 UG")</f>
        <v>P 8726 UG</v>
      </c>
      <c r="U116" s="17" t="str">
        <f>IFERROR(__xludf.DUMMYFUNCTION("""COMPUTED_VALUE"""),"TLPG TJ WANGI")</f>
        <v>TLPG TJ WANGI</v>
      </c>
      <c r="V116" s="17" t="str">
        <f>IFERROR(__xludf.DUMMYFUNCTION("""COMPUTED_VALUE"""),"PT SUMBER MAKMUR MEGAH ABADI")</f>
        <v>PT SUMBER MAKMUR MEGAH ABADI</v>
      </c>
      <c r="W116" s="17">
        <f>IFERROR(__xludf.DUMMYFUNCTION("""COMPUTED_VALUE"""),111.3)</f>
        <v>111.3</v>
      </c>
      <c r="X116" s="17" t="str">
        <f>IFERROR(__xludf.DUMMYFUNCTION("""COMPUTED_VALUE"""),"SEDANG")</f>
        <v>SEDANG</v>
      </c>
      <c r="Y116" s="17">
        <f>IFERROR(__xludf.DUMMYFUNCTION("""COMPUTED_VALUE"""),2.0)</f>
        <v>2</v>
      </c>
      <c r="Z116" s="17">
        <f>IFERROR(__xludf.DUMMYFUNCTION("""COMPUTED_VALUE"""),10.0)</f>
        <v>10</v>
      </c>
      <c r="AB116" s="48" t="str">
        <f>IFERROR(__xludf.DUMMYFUNCTION("""COMPUTED_VALUE"""),"PT MITRA MADURA DHARMA ABADI")</f>
        <v>PT MITRA MADURA DHARMA ABADI</v>
      </c>
      <c r="AC116" s="48" t="str">
        <f>IFERROR(__xludf.DUMMYFUNCTION("""COMPUTED_VALUE"""),"M 9352 UV")</f>
        <v>M 9352 UV</v>
      </c>
      <c r="AD116" s="48" t="str">
        <f>IFERROR(__xludf.DUMMYFUNCTION("""COMPUTED_VALUE"""),"TLPG TJ PERAK")</f>
        <v>TLPG TJ PERAK</v>
      </c>
      <c r="AE116" s="17">
        <f>IFERROR(__xludf.DUMMYFUNCTION("""COMPUTED_VALUE"""),7.0)</f>
        <v>7</v>
      </c>
    </row>
    <row r="117">
      <c r="A117" s="12">
        <v>115.0</v>
      </c>
      <c r="B117" s="9" t="s">
        <v>141</v>
      </c>
      <c r="C117" s="9" t="s">
        <v>7</v>
      </c>
      <c r="D117" s="9" t="s">
        <v>168</v>
      </c>
      <c r="E117" s="49">
        <v>126.9</v>
      </c>
      <c r="F117" s="23" t="s">
        <v>454</v>
      </c>
      <c r="G117" s="9" t="str">
        <f>IFERROR(VLOOKUP(C117,'MASTER TLPG'!A:B,2,FALSE),"")</f>
        <v>-7.203807110524606, 112.71950675497641</v>
      </c>
      <c r="H117" s="9" t="str">
        <f>IFERROR(VLOOKUP(D117,'MASTER PERUSAHAAN'!A:B,2,FALSE),"")</f>
        <v>-8.084902676848168, 111.71029249586367</v>
      </c>
      <c r="J117" s="9" t="str">
        <f t="shared" si="1"/>
        <v>SEDANG</v>
      </c>
      <c r="K117" s="11">
        <f t="shared" si="2"/>
        <v>2</v>
      </c>
      <c r="M117" s="17">
        <v>5.0</v>
      </c>
      <c r="N117" s="17"/>
      <c r="O117" s="17"/>
      <c r="P117" s="17"/>
      <c r="Q117" s="17"/>
      <c r="R117" s="17"/>
      <c r="S117" s="17"/>
      <c r="T117" s="17" t="str">
        <f>IFERROR(__xludf.DUMMYFUNCTION("""COMPUTED_VALUE"""),"P 8824 UI")</f>
        <v>P 8824 UI</v>
      </c>
      <c r="U117" s="17" t="str">
        <f>IFERROR(__xludf.DUMMYFUNCTION("""COMPUTED_VALUE"""),"TLPG TJ WANGI")</f>
        <v>TLPG TJ WANGI</v>
      </c>
      <c r="V117" s="17" t="str">
        <f>IFERROR(__xludf.DUMMYFUNCTION("""COMPUTED_VALUE"""),"PT SUMBER MAKMUR MEGAH ABADI")</f>
        <v>PT SUMBER MAKMUR MEGAH ABADI</v>
      </c>
      <c r="W117" s="17">
        <f>IFERROR(__xludf.DUMMYFUNCTION("""COMPUTED_VALUE"""),111.3)</f>
        <v>111.3</v>
      </c>
      <c r="X117" s="17" t="str">
        <f>IFERROR(__xludf.DUMMYFUNCTION("""COMPUTED_VALUE"""),"SEDANG")</f>
        <v>SEDANG</v>
      </c>
      <c r="Y117" s="17">
        <f>IFERROR(__xludf.DUMMYFUNCTION("""COMPUTED_VALUE"""),2.0)</f>
        <v>2</v>
      </c>
      <c r="Z117" s="17">
        <f>IFERROR(__xludf.DUMMYFUNCTION("""COMPUTED_VALUE"""),12.0)</f>
        <v>12</v>
      </c>
      <c r="AB117" s="48" t="str">
        <f>IFERROR(__xludf.DUMMYFUNCTION("""COMPUTED_VALUE"""),"PT MODERNA TEHNIK PERKASA")</f>
        <v>PT MODERNA TEHNIK PERKASA</v>
      </c>
      <c r="AC117" s="48" t="str">
        <f>IFERROR(__xludf.DUMMYFUNCTION("""COMPUTED_VALUE"""),"AG 8701 UO")</f>
        <v>AG 8701 UO</v>
      </c>
      <c r="AD117" s="48" t="str">
        <f>IFERROR(__xludf.DUMMYFUNCTION("""COMPUTED_VALUE"""),"TLPG TJ PERAK")</f>
        <v>TLPG TJ PERAK</v>
      </c>
      <c r="AE117" s="17">
        <f>IFERROR(__xludf.DUMMYFUNCTION("""COMPUTED_VALUE"""),4.0)</f>
        <v>4</v>
      </c>
    </row>
    <row r="118">
      <c r="A118" s="12">
        <v>116.0</v>
      </c>
      <c r="B118" s="9" t="s">
        <v>143</v>
      </c>
      <c r="C118" s="9" t="s">
        <v>7</v>
      </c>
      <c r="D118" s="9" t="s">
        <v>266</v>
      </c>
      <c r="E118" s="49">
        <v>189.0</v>
      </c>
      <c r="F118" s="23" t="s">
        <v>454</v>
      </c>
      <c r="G118" s="9" t="str">
        <f>IFERROR(VLOOKUP(C118,'MASTER TLPG'!A:B,2,FALSE),"")</f>
        <v>-7.203807110524606, 112.71950675497641</v>
      </c>
      <c r="H118" s="9" t="str">
        <f>IFERROR(VLOOKUP(D118,'MASTER PERUSAHAAN'!A:B,2,FALSE),"")</f>
        <v>-7.402448574562276, 111.39967992037458</v>
      </c>
      <c r="J118" s="9" t="str">
        <f t="shared" si="1"/>
        <v>JAUH</v>
      </c>
      <c r="K118" s="11">
        <f t="shared" si="2"/>
        <v>3</v>
      </c>
      <c r="M118" s="17">
        <v>5.0</v>
      </c>
      <c r="N118" s="17"/>
      <c r="O118" s="17"/>
      <c r="P118" s="17"/>
      <c r="Q118" s="17"/>
      <c r="R118" s="17"/>
      <c r="S118" s="17"/>
      <c r="T118" s="17" t="str">
        <f>IFERROR(__xludf.DUMMYFUNCTION("""COMPUTED_VALUE"""),"DK 8011 UK")</f>
        <v>DK 8011 UK</v>
      </c>
      <c r="U118" s="17" t="str">
        <f>IFERROR(__xludf.DUMMYFUNCTION("""COMPUTED_VALUE"""),"TLPG MANGGIS")</f>
        <v>TLPG MANGGIS</v>
      </c>
      <c r="V118" s="17" t="str">
        <f>IFERROR(__xludf.DUMMYFUNCTION("""COMPUTED_VALUE"""),"SPPBE-PT. Ayu Sari Pertiwi")</f>
        <v>SPPBE-PT. Ayu Sari Pertiwi</v>
      </c>
      <c r="W118" s="17">
        <f>IFERROR(__xludf.DUMMYFUNCTION("""COMPUTED_VALUE"""),110.1)</f>
        <v>110.1</v>
      </c>
      <c r="X118" s="17" t="str">
        <f>IFERROR(__xludf.DUMMYFUNCTION("""COMPUTED_VALUE"""),"SEDANG")</f>
        <v>SEDANG</v>
      </c>
      <c r="Y118" s="17">
        <f>IFERROR(__xludf.DUMMYFUNCTION("""COMPUTED_VALUE"""),2.0)</f>
        <v>2</v>
      </c>
      <c r="Z118" s="17">
        <f>IFERROR(__xludf.DUMMYFUNCTION("""COMPUTED_VALUE"""),1.0)</f>
        <v>1</v>
      </c>
      <c r="AB118" s="48" t="str">
        <f>IFERROR(__xludf.DUMMYFUNCTION("""COMPUTED_VALUE"""),"PT MODERNA TEHNIK PERKASA")</f>
        <v>PT MODERNA TEHNIK PERKASA</v>
      </c>
      <c r="AC118" s="48" t="str">
        <f>IFERROR(__xludf.DUMMYFUNCTION("""COMPUTED_VALUE"""),"AG 8702 UO")</f>
        <v>AG 8702 UO</v>
      </c>
      <c r="AD118" s="48" t="str">
        <f>IFERROR(__xludf.DUMMYFUNCTION("""COMPUTED_VALUE"""),"TLPG TJ PERAK")</f>
        <v>TLPG TJ PERAK</v>
      </c>
      <c r="AE118" s="17">
        <f>IFERROR(__xludf.DUMMYFUNCTION("""COMPUTED_VALUE"""),4.0)</f>
        <v>4</v>
      </c>
    </row>
    <row r="119">
      <c r="A119" s="12">
        <v>117.0</v>
      </c>
      <c r="B119" s="9" t="s">
        <v>144</v>
      </c>
      <c r="C119" s="9" t="s">
        <v>7</v>
      </c>
      <c r="D119" s="9" t="s">
        <v>124</v>
      </c>
      <c r="E119" s="49">
        <v>167.1</v>
      </c>
      <c r="F119" s="23" t="s">
        <v>454</v>
      </c>
      <c r="G119" s="9" t="str">
        <f>IFERROR(VLOOKUP(C119,'MASTER TLPG'!A:B,2,FALSE),"")</f>
        <v>-7.203807110524606, 112.71950675497641</v>
      </c>
      <c r="H119" s="9" t="str">
        <f>IFERROR(VLOOKUP(D119,'MASTER PERUSAHAAN'!A:B,2,FALSE),"")</f>
        <v>-8.109561205860269, 112.01521319205663</v>
      </c>
      <c r="J119" s="9" t="str">
        <f t="shared" si="1"/>
        <v>JAUH</v>
      </c>
      <c r="K119" s="11">
        <f t="shared" si="2"/>
        <v>3</v>
      </c>
      <c r="M119" s="17">
        <v>5.0</v>
      </c>
      <c r="N119" s="17"/>
      <c r="O119" s="17"/>
      <c r="P119" s="17"/>
      <c r="Q119" s="17"/>
      <c r="R119" s="17"/>
      <c r="S119" s="17"/>
      <c r="T119" s="17" t="str">
        <f>IFERROR(__xludf.DUMMYFUNCTION("""COMPUTED_VALUE"""),"DK 8029 UK")</f>
        <v>DK 8029 UK</v>
      </c>
      <c r="U119" s="17" t="str">
        <f>IFERROR(__xludf.DUMMYFUNCTION("""COMPUTED_VALUE"""),"TLPG MANGGIS")</f>
        <v>TLPG MANGGIS</v>
      </c>
      <c r="V119" s="17" t="str">
        <f>IFERROR(__xludf.DUMMYFUNCTION("""COMPUTED_VALUE"""),"SPPBE-PT. Ayu Sari Pertiwi")</f>
        <v>SPPBE-PT. Ayu Sari Pertiwi</v>
      </c>
      <c r="W119" s="17">
        <f>IFERROR(__xludf.DUMMYFUNCTION("""COMPUTED_VALUE"""),110.1)</f>
        <v>110.1</v>
      </c>
      <c r="X119" s="17" t="str">
        <f>IFERROR(__xludf.DUMMYFUNCTION("""COMPUTED_VALUE"""),"SEDANG")</f>
        <v>SEDANG</v>
      </c>
      <c r="Y119" s="17">
        <f>IFERROR(__xludf.DUMMYFUNCTION("""COMPUTED_VALUE"""),2.0)</f>
        <v>2</v>
      </c>
      <c r="Z119" s="17">
        <f>IFERROR(__xludf.DUMMYFUNCTION("""COMPUTED_VALUE"""),2.0)</f>
        <v>2</v>
      </c>
      <c r="AB119" s="48" t="str">
        <f>IFERROR(__xludf.DUMMYFUNCTION("""COMPUTED_VALUE"""),"PT MODERNA TEHNIK PERKASA")</f>
        <v>PT MODERNA TEHNIK PERKASA</v>
      </c>
      <c r="AC119" s="48" t="str">
        <f>IFERROR(__xludf.DUMMYFUNCTION("""COMPUTED_VALUE"""),"AG 8717 UO")</f>
        <v>AG 8717 UO</v>
      </c>
      <c r="AD119" s="48" t="str">
        <f>IFERROR(__xludf.DUMMYFUNCTION("""COMPUTED_VALUE"""),"TLPG TJ PERAK")</f>
        <v>TLPG TJ PERAK</v>
      </c>
      <c r="AE119" s="17">
        <f>IFERROR(__xludf.DUMMYFUNCTION("""COMPUTED_VALUE"""),4.0)</f>
        <v>4</v>
      </c>
    </row>
    <row r="120">
      <c r="A120" s="12">
        <v>118.0</v>
      </c>
      <c r="B120" s="9" t="s">
        <v>145</v>
      </c>
      <c r="C120" s="9" t="s">
        <v>7</v>
      </c>
      <c r="D120" s="9" t="s">
        <v>343</v>
      </c>
      <c r="E120" s="49">
        <v>128.4</v>
      </c>
      <c r="F120" s="23" t="s">
        <v>454</v>
      </c>
      <c r="G120" s="9" t="str">
        <f>IFERROR(VLOOKUP(C120,'MASTER TLPG'!A:B,2,FALSE),"")</f>
        <v>-7.203807110524606, 112.71950675497641</v>
      </c>
      <c r="H120" s="9" t="str">
        <f>IFERROR(VLOOKUP(D120,'MASTER PERUSAHAAN'!A:B,2,FALSE),"")</f>
        <v>-7.8367228841952175, 112.05802528595638</v>
      </c>
      <c r="J120" s="9" t="str">
        <f t="shared" si="1"/>
        <v>SEDANG</v>
      </c>
      <c r="K120" s="11">
        <f t="shared" si="2"/>
        <v>2</v>
      </c>
      <c r="M120" s="17">
        <v>5.0</v>
      </c>
      <c r="N120" s="17"/>
      <c r="O120" s="17"/>
      <c r="P120" s="17"/>
      <c r="Q120" s="17"/>
      <c r="R120" s="17"/>
      <c r="S120" s="17"/>
      <c r="T120" s="17" t="str">
        <f>IFERROR(__xludf.DUMMYFUNCTION("""COMPUTED_VALUE"""),"DK 8170 UB")</f>
        <v>DK 8170 UB</v>
      </c>
      <c r="U120" s="17" t="str">
        <f>IFERROR(__xludf.DUMMYFUNCTION("""COMPUTED_VALUE"""),"TLPG MANGGIS")</f>
        <v>TLPG MANGGIS</v>
      </c>
      <c r="V120" s="17" t="str">
        <f>IFERROR(__xludf.DUMMYFUNCTION("""COMPUTED_VALUE"""),"PT. Ayu Sari Pertiwi")</f>
        <v>PT. Ayu Sari Pertiwi</v>
      </c>
      <c r="W120" s="17">
        <f>IFERROR(__xludf.DUMMYFUNCTION("""COMPUTED_VALUE"""),110.1)</f>
        <v>110.1</v>
      </c>
      <c r="X120" s="17" t="str">
        <f>IFERROR(__xludf.DUMMYFUNCTION("""COMPUTED_VALUE"""),"SEDANG")</f>
        <v>SEDANG</v>
      </c>
      <c r="Y120" s="17">
        <f>IFERROR(__xludf.DUMMYFUNCTION("""COMPUTED_VALUE"""),2.0)</f>
        <v>2</v>
      </c>
      <c r="Z120" s="17">
        <f>IFERROR(__xludf.DUMMYFUNCTION("""COMPUTED_VALUE"""),4.0)</f>
        <v>4</v>
      </c>
      <c r="AB120" s="48" t="str">
        <f>IFERROR(__xludf.DUMMYFUNCTION("""COMPUTED_VALUE"""),"PT MULTI BERKAH AMANAH")</f>
        <v>PT MULTI BERKAH AMANAH</v>
      </c>
      <c r="AC120" s="48" t="str">
        <f>IFERROR(__xludf.DUMMYFUNCTION("""COMPUTED_VALUE"""),"L 8547 UI")</f>
        <v>L 8547 UI</v>
      </c>
      <c r="AD120" s="48" t="str">
        <f>IFERROR(__xludf.DUMMYFUNCTION("""COMPUTED_VALUE"""),"TLPG TJ PERAK")</f>
        <v>TLPG TJ PERAK</v>
      </c>
      <c r="AE120" s="17">
        <f>IFERROR(__xludf.DUMMYFUNCTION("""COMPUTED_VALUE"""),5.0)</f>
        <v>5</v>
      </c>
    </row>
    <row r="121">
      <c r="A121" s="12">
        <v>119.0</v>
      </c>
      <c r="B121" s="9" t="s">
        <v>146</v>
      </c>
      <c r="C121" s="9" t="s">
        <v>25</v>
      </c>
      <c r="D121" s="9" t="s">
        <v>83</v>
      </c>
      <c r="E121" s="9"/>
      <c r="G121" s="9" t="str">
        <f>IFERROR(VLOOKUP(C121,'MASTER TLPG'!A:B,2,FALSE),"")</f>
        <v>-7.109201954744449, 112.62272164861744</v>
      </c>
      <c r="H121" s="9" t="str">
        <f>IFERROR(VLOOKUP(D121,'MASTER PERUSAHAAN'!A:B,2,FALSE),"")</f>
        <v/>
      </c>
      <c r="J121" s="9" t="str">
        <f t="shared" si="1"/>
        <v/>
      </c>
      <c r="K121" s="11" t="str">
        <f t="shared" si="2"/>
        <v/>
      </c>
      <c r="M121" s="17">
        <v>5.0</v>
      </c>
      <c r="N121" s="17"/>
      <c r="O121" s="17"/>
      <c r="P121" s="17"/>
      <c r="Q121" s="17"/>
      <c r="R121" s="17"/>
      <c r="S121" s="17"/>
      <c r="T121" s="17" t="str">
        <f>IFERROR(__xludf.DUMMYFUNCTION("""COMPUTED_VALUE"""),"DK 8640 VM")</f>
        <v>DK 8640 VM</v>
      </c>
      <c r="U121" s="17" t="str">
        <f>IFERROR(__xludf.DUMMYFUNCTION("""COMPUTED_VALUE"""),"TLPG MANGGIS")</f>
        <v>TLPG MANGGIS</v>
      </c>
      <c r="V121" s="17" t="str">
        <f>IFERROR(__xludf.DUMMYFUNCTION("""COMPUTED_VALUE"""),"PT. Ayu Sari Pertiwi")</f>
        <v>PT. Ayu Sari Pertiwi</v>
      </c>
      <c r="W121" s="17">
        <f>IFERROR(__xludf.DUMMYFUNCTION("""COMPUTED_VALUE"""),110.1)</f>
        <v>110.1</v>
      </c>
      <c r="X121" s="17" t="str">
        <f>IFERROR(__xludf.DUMMYFUNCTION("""COMPUTED_VALUE"""),"SEDANG")</f>
        <v>SEDANG</v>
      </c>
      <c r="Y121" s="17">
        <f>IFERROR(__xludf.DUMMYFUNCTION("""COMPUTED_VALUE"""),2.0)</f>
        <v>2</v>
      </c>
      <c r="Z121" s="17">
        <f>IFERROR(__xludf.DUMMYFUNCTION("""COMPUTED_VALUE"""),11.0)</f>
        <v>11</v>
      </c>
      <c r="AB121" s="48" t="str">
        <f>IFERROR(__xludf.DUMMYFUNCTION("""COMPUTED_VALUE"""),"PT MUTUAL MAXEL")</f>
        <v>PT MUTUAL MAXEL</v>
      </c>
      <c r="AC121" s="48" t="str">
        <f>IFERROR(__xludf.DUMMYFUNCTION("""COMPUTED_VALUE"""),"L 8892 UU")</f>
        <v>L 8892 UU</v>
      </c>
      <c r="AD121" s="48" t="str">
        <f>IFERROR(__xludf.DUMMYFUNCTION("""COMPUTED_VALUE"""),"TLPG TJ PERAK")</f>
        <v>TLPG TJ PERAK</v>
      </c>
      <c r="AE121" s="17">
        <f>IFERROR(__xludf.DUMMYFUNCTION("""COMPUTED_VALUE"""),6.0)</f>
        <v>6</v>
      </c>
    </row>
    <row r="122">
      <c r="A122" s="12">
        <v>120.0</v>
      </c>
      <c r="B122" s="9" t="s">
        <v>147</v>
      </c>
      <c r="C122" s="9" t="s">
        <v>25</v>
      </c>
      <c r="D122" s="9" t="s">
        <v>83</v>
      </c>
      <c r="E122" s="9"/>
      <c r="G122" s="9" t="str">
        <f>IFERROR(VLOOKUP(C122,'MASTER TLPG'!A:B,2,FALSE),"")</f>
        <v>-7.109201954744449, 112.62272164861744</v>
      </c>
      <c r="H122" s="9" t="str">
        <f>IFERROR(VLOOKUP(D122,'MASTER PERUSAHAAN'!A:B,2,FALSE),"")</f>
        <v/>
      </c>
      <c r="J122" s="9" t="str">
        <f t="shared" si="1"/>
        <v/>
      </c>
      <c r="K122" s="11" t="str">
        <f t="shared" si="2"/>
        <v/>
      </c>
      <c r="M122" s="17">
        <v>5.0</v>
      </c>
      <c r="N122" s="17"/>
      <c r="O122" s="17"/>
      <c r="P122" s="17"/>
      <c r="Q122" s="17"/>
      <c r="R122" s="17"/>
      <c r="S122" s="17"/>
      <c r="T122" s="17" t="str">
        <f>IFERROR(__xludf.DUMMYFUNCTION("""COMPUTED_VALUE"""),"L 8063 BL")</f>
        <v>L 8063 BL</v>
      </c>
      <c r="U122" s="17" t="str">
        <f>IFERROR(__xludf.DUMMYFUNCTION("""COMPUTED_VALUE"""),"TLPG TJ PERAK")</f>
        <v>TLPG TJ PERAK</v>
      </c>
      <c r="V122" s="17" t="str">
        <f>IFERROR(__xludf.DUMMYFUNCTION("""COMPUTED_VALUE"""),"PT DHARMA TECH INFOMEDIA")</f>
        <v>PT DHARMA TECH INFOMEDIA</v>
      </c>
      <c r="W122" s="17">
        <f>IFERROR(__xludf.DUMMYFUNCTION("""COMPUTED_VALUE"""),109.9)</f>
        <v>109.9</v>
      </c>
      <c r="X122" s="17" t="str">
        <f>IFERROR(__xludf.DUMMYFUNCTION("""COMPUTED_VALUE"""),"SEDANG")</f>
        <v>SEDANG</v>
      </c>
      <c r="Y122" s="17">
        <f>IFERROR(__xludf.DUMMYFUNCTION("""COMPUTED_VALUE"""),2.0)</f>
        <v>2</v>
      </c>
      <c r="Z122" s="17">
        <f>IFERROR(__xludf.DUMMYFUNCTION("""COMPUTED_VALUE"""),5.0)</f>
        <v>5</v>
      </c>
      <c r="AB122" s="48" t="str">
        <f>IFERROR(__xludf.DUMMYFUNCTION("""COMPUTED_VALUE"""),"PT NARA RIZKA MANUNGGAL")</f>
        <v>PT NARA RIZKA MANUNGGAL</v>
      </c>
      <c r="AC122" s="48" t="str">
        <f>IFERROR(__xludf.DUMMYFUNCTION("""COMPUTED_VALUE"""),"AG 8126 UF")</f>
        <v>AG 8126 UF</v>
      </c>
      <c r="AD122" s="48" t="str">
        <f>IFERROR(__xludf.DUMMYFUNCTION("""COMPUTED_VALUE"""),"TLPG TJ PERAK")</f>
        <v>TLPG TJ PERAK</v>
      </c>
      <c r="AE122" s="17">
        <f>IFERROR(__xludf.DUMMYFUNCTION("""COMPUTED_VALUE"""),3.0)</f>
        <v>3</v>
      </c>
    </row>
    <row r="123">
      <c r="A123" s="12">
        <v>121.0</v>
      </c>
      <c r="B123" s="9" t="s">
        <v>148</v>
      </c>
      <c r="C123" s="9" t="s">
        <v>32</v>
      </c>
      <c r="D123" s="9" t="s">
        <v>310</v>
      </c>
      <c r="E123" s="49">
        <v>37.5</v>
      </c>
      <c r="F123" s="23" t="s">
        <v>454</v>
      </c>
      <c r="G123" s="9" t="str">
        <f>IFERROR(VLOOKUP(C123,'MASTER TLPG'!A:B,2,FALSE),"")</f>
        <v>-8.509457097470957, 115.50344705076587</v>
      </c>
      <c r="H123" s="9" t="str">
        <f>IFERROR(VLOOKUP(D123,'MASTER PERUSAHAAN'!A:B,2,FALSE),"")</f>
        <v>-8.634966864512768, 115.2445496960891</v>
      </c>
      <c r="J123" s="9" t="str">
        <f t="shared" si="1"/>
        <v>DEKAT</v>
      </c>
      <c r="K123" s="11">
        <f t="shared" si="2"/>
        <v>1</v>
      </c>
      <c r="M123" s="17">
        <v>5.0</v>
      </c>
      <c r="N123" s="17"/>
      <c r="O123" s="17"/>
      <c r="P123" s="17"/>
      <c r="Q123" s="17"/>
      <c r="R123" s="17"/>
      <c r="S123" s="17"/>
      <c r="T123" s="17" t="str">
        <f>IFERROR(__xludf.DUMMYFUNCTION("""COMPUTED_VALUE"""),"L 9822 UE")</f>
        <v>L 9822 UE</v>
      </c>
      <c r="U123" s="17" t="str">
        <f>IFERROR(__xludf.DUMMYFUNCTION("""COMPUTED_VALUE"""),"TLPG TJ PERAK")</f>
        <v>TLPG TJ PERAK</v>
      </c>
      <c r="V123" s="17" t="str">
        <f>IFERROR(__xludf.DUMMYFUNCTION("""COMPUTED_VALUE"""),"PT DHARMA TECH INFOMEDIA")</f>
        <v>PT DHARMA TECH INFOMEDIA</v>
      </c>
      <c r="W123" s="17">
        <f>IFERROR(__xludf.DUMMYFUNCTION("""COMPUTED_VALUE"""),109.9)</f>
        <v>109.9</v>
      </c>
      <c r="X123" s="17" t="str">
        <f>IFERROR(__xludf.DUMMYFUNCTION("""COMPUTED_VALUE"""),"SEDANG")</f>
        <v>SEDANG</v>
      </c>
      <c r="Y123" s="17">
        <f>IFERROR(__xludf.DUMMYFUNCTION("""COMPUTED_VALUE"""),2.0)</f>
        <v>2</v>
      </c>
      <c r="Z123" s="17">
        <f>IFERROR(__xludf.DUMMYFUNCTION("""COMPUTED_VALUE"""),6.0)</f>
        <v>6</v>
      </c>
      <c r="AB123" s="48" t="str">
        <f>IFERROR(__xludf.DUMMYFUNCTION("""COMPUTED_VALUE"""),"PT NARA RIZKA MANUNGGAL")</f>
        <v>PT NARA RIZKA MANUNGGAL</v>
      </c>
      <c r="AC123" s="48" t="str">
        <f>IFERROR(__xludf.DUMMYFUNCTION("""COMPUTED_VALUE"""),"AG 8128 UF")</f>
        <v>AG 8128 UF</v>
      </c>
      <c r="AD123" s="48" t="str">
        <f>IFERROR(__xludf.DUMMYFUNCTION("""COMPUTED_VALUE"""),"TLPG TJ PERAK")</f>
        <v>TLPG TJ PERAK</v>
      </c>
      <c r="AE123" s="17">
        <f>IFERROR(__xludf.DUMMYFUNCTION("""COMPUTED_VALUE"""),3.0)</f>
        <v>3</v>
      </c>
    </row>
    <row r="124">
      <c r="A124" s="12">
        <v>122.0</v>
      </c>
      <c r="B124" s="9" t="s">
        <v>150</v>
      </c>
      <c r="C124" s="9" t="s">
        <v>32</v>
      </c>
      <c r="D124" s="9" t="s">
        <v>332</v>
      </c>
      <c r="E124" s="49">
        <v>27.6</v>
      </c>
      <c r="F124" s="23" t="s">
        <v>454</v>
      </c>
      <c r="G124" s="9" t="str">
        <f>IFERROR(VLOOKUP(C124,'MASTER TLPG'!A:B,2,FALSE),"")</f>
        <v>-8.509457097470957, 115.50344705076587</v>
      </c>
      <c r="H124" s="9" t="str">
        <f>IFERROR(VLOOKUP(D124,'MASTER PERUSAHAAN'!A:B,2,FALSE),"")</f>
        <v>-8.59354194898109, 115.33777733257733</v>
      </c>
      <c r="J124" s="9" t="str">
        <f t="shared" si="1"/>
        <v>DEKAT</v>
      </c>
      <c r="K124" s="11">
        <f t="shared" si="2"/>
        <v>1</v>
      </c>
      <c r="M124" s="17">
        <v>5.0</v>
      </c>
      <c r="N124" s="17"/>
      <c r="O124" s="17"/>
      <c r="P124" s="17"/>
      <c r="Q124" s="17"/>
      <c r="R124" s="17"/>
      <c r="S124" s="17"/>
      <c r="T124" s="17" t="str">
        <f>IFERROR(__xludf.DUMMYFUNCTION("""COMPUTED_VALUE"""),"N 8756 UB")</f>
        <v>N 8756 UB</v>
      </c>
      <c r="U124" s="17" t="str">
        <f>IFERROR(__xludf.DUMMYFUNCTION("""COMPUTED_VALUE"""),"TLPG TJ PERAK")</f>
        <v>TLPG TJ PERAK</v>
      </c>
      <c r="V124" s="17" t="str">
        <f>IFERROR(__xludf.DUMMYFUNCTION("""COMPUTED_VALUE"""),"PT ZATALINI CIPTA PERSADA")</f>
        <v>PT ZATALINI CIPTA PERSADA</v>
      </c>
      <c r="W124" s="17">
        <f>IFERROR(__xludf.DUMMYFUNCTION("""COMPUTED_VALUE"""),109.8)</f>
        <v>109.8</v>
      </c>
      <c r="X124" s="17" t="str">
        <f>IFERROR(__xludf.DUMMYFUNCTION("""COMPUTED_VALUE"""),"SEDANG")</f>
        <v>SEDANG</v>
      </c>
      <c r="Y124" s="17">
        <f>IFERROR(__xludf.DUMMYFUNCTION("""COMPUTED_VALUE"""),2.0)</f>
        <v>2</v>
      </c>
      <c r="Z124" s="17">
        <f>IFERROR(__xludf.DUMMYFUNCTION("""COMPUTED_VALUE"""),11.0)</f>
        <v>11</v>
      </c>
      <c r="AB124" s="48" t="str">
        <f>IFERROR(__xludf.DUMMYFUNCTION("""COMPUTED_VALUE"""),"PT NARA RIZKA MANUNGGAL")</f>
        <v>PT NARA RIZKA MANUNGGAL</v>
      </c>
      <c r="AC124" s="48" t="str">
        <f>IFERROR(__xludf.DUMMYFUNCTION("""COMPUTED_VALUE"""),"AG 8129 UF")</f>
        <v>AG 8129 UF</v>
      </c>
      <c r="AD124" s="48" t="str">
        <f>IFERROR(__xludf.DUMMYFUNCTION("""COMPUTED_VALUE"""),"TLPG TJ PERAK")</f>
        <v>TLPG TJ PERAK</v>
      </c>
      <c r="AE124" s="17">
        <f>IFERROR(__xludf.DUMMYFUNCTION("""COMPUTED_VALUE"""),3.0)</f>
        <v>3</v>
      </c>
    </row>
    <row r="125">
      <c r="A125" s="12">
        <v>123.0</v>
      </c>
      <c r="B125" s="9" t="s">
        <v>151</v>
      </c>
      <c r="C125" s="9" t="s">
        <v>32</v>
      </c>
      <c r="D125" s="9" t="s">
        <v>332</v>
      </c>
      <c r="E125" s="49">
        <v>27.6</v>
      </c>
      <c r="F125" s="23" t="s">
        <v>454</v>
      </c>
      <c r="G125" s="9" t="str">
        <f>IFERROR(VLOOKUP(C125,'MASTER TLPG'!A:B,2,FALSE),"")</f>
        <v>-8.509457097470957, 115.50344705076587</v>
      </c>
      <c r="H125" s="9" t="str">
        <f>IFERROR(VLOOKUP(D125,'MASTER PERUSAHAAN'!A:B,2,FALSE),"")</f>
        <v>-8.59354194898109, 115.33777733257733</v>
      </c>
      <c r="J125" s="9" t="str">
        <f t="shared" si="1"/>
        <v>DEKAT</v>
      </c>
      <c r="K125" s="11">
        <f t="shared" si="2"/>
        <v>1</v>
      </c>
      <c r="M125" s="17">
        <v>5.0</v>
      </c>
      <c r="N125" s="17"/>
      <c r="O125" s="17"/>
      <c r="P125" s="17"/>
      <c r="Q125" s="17"/>
      <c r="R125" s="17"/>
      <c r="S125" s="17"/>
      <c r="T125" s="17" t="str">
        <f>IFERROR(__xludf.DUMMYFUNCTION("""COMPUTED_VALUE"""),"N 8757 UB")</f>
        <v>N 8757 UB</v>
      </c>
      <c r="U125" s="17" t="str">
        <f>IFERROR(__xludf.DUMMYFUNCTION("""COMPUTED_VALUE"""),"TLPG TJ PERAK")</f>
        <v>TLPG TJ PERAK</v>
      </c>
      <c r="V125" s="17" t="str">
        <f>IFERROR(__xludf.DUMMYFUNCTION("""COMPUTED_VALUE"""),"PT ZATALINI CIPTA PERSADA")</f>
        <v>PT ZATALINI CIPTA PERSADA</v>
      </c>
      <c r="W125" s="17">
        <f>IFERROR(__xludf.DUMMYFUNCTION("""COMPUTED_VALUE"""),109.8)</f>
        <v>109.8</v>
      </c>
      <c r="X125" s="17" t="str">
        <f>IFERROR(__xludf.DUMMYFUNCTION("""COMPUTED_VALUE"""),"SEDANG")</f>
        <v>SEDANG</v>
      </c>
      <c r="Y125" s="17">
        <f>IFERROR(__xludf.DUMMYFUNCTION("""COMPUTED_VALUE"""),2.0)</f>
        <v>2</v>
      </c>
      <c r="Z125" s="17">
        <f>IFERROR(__xludf.DUMMYFUNCTION("""COMPUTED_VALUE"""),11.0)</f>
        <v>11</v>
      </c>
      <c r="AB125" s="48" t="str">
        <f>IFERROR(__xludf.DUMMYFUNCTION("""COMPUTED_VALUE"""),"PT NAUMI ARUMAH ZOE")</f>
        <v>PT NAUMI ARUMAH ZOE</v>
      </c>
      <c r="AC125" s="48" t="str">
        <f>IFERROR(__xludf.DUMMYFUNCTION("""COMPUTED_VALUE"""),"S 8848 UF")</f>
        <v>S 8848 UF</v>
      </c>
      <c r="AD125" s="48" t="str">
        <f>IFERROR(__xludf.DUMMYFUNCTION("""COMPUTED_VALUE"""),"TLPG MEM GRESIK")</f>
        <v>TLPG MEM GRESIK</v>
      </c>
      <c r="AE125" s="17">
        <f>IFERROR(__xludf.DUMMYFUNCTION("""COMPUTED_VALUE"""),11.0)</f>
        <v>11</v>
      </c>
    </row>
    <row r="126">
      <c r="A126" s="12">
        <v>124.0</v>
      </c>
      <c r="B126" s="9" t="s">
        <v>153</v>
      </c>
      <c r="C126" s="9" t="s">
        <v>32</v>
      </c>
      <c r="D126" s="9" t="s">
        <v>157</v>
      </c>
      <c r="E126" s="49">
        <v>93.9</v>
      </c>
      <c r="F126" s="23" t="s">
        <v>454</v>
      </c>
      <c r="G126" s="9" t="str">
        <f>IFERROR(VLOOKUP(C126,'MASTER TLPG'!A:B,2,FALSE),"")</f>
        <v>-8.509457097470957, 115.50344705076587</v>
      </c>
      <c r="H126" s="9" t="str">
        <f>IFERROR(VLOOKUP(D126,'MASTER PERUSAHAAN'!A:B,2,FALSE),"")</f>
        <v>-8.437163781385188, 114.86379993252038</v>
      </c>
      <c r="J126" s="9" t="str">
        <f t="shared" si="1"/>
        <v>SEDANG</v>
      </c>
      <c r="K126" s="11">
        <f t="shared" si="2"/>
        <v>2</v>
      </c>
      <c r="M126" s="17">
        <v>5.0</v>
      </c>
      <c r="N126" s="17"/>
      <c r="O126" s="17"/>
      <c r="P126" s="17"/>
      <c r="Q126" s="17"/>
      <c r="R126" s="17"/>
      <c r="S126" s="17"/>
      <c r="T126" s="17" t="str">
        <f>IFERROR(__xludf.DUMMYFUNCTION("""COMPUTED_VALUE"""),"M 8010 UB")</f>
        <v>M 8010 UB</v>
      </c>
      <c r="U126" s="17" t="str">
        <f>IFERROR(__xludf.DUMMYFUNCTION("""COMPUTED_VALUE"""),"TLPG TJ PERAK")</f>
        <v>TLPG TJ PERAK</v>
      </c>
      <c r="V126" s="17" t="str">
        <f>IFERROR(__xludf.DUMMYFUNCTION("""COMPUTED_VALUE"""),"PT GAS MADURA PRATAMA")</f>
        <v>PT GAS MADURA PRATAMA</v>
      </c>
      <c r="W126" s="17">
        <f>IFERROR(__xludf.DUMMYFUNCTION("""COMPUTED_VALUE"""),109.2)</f>
        <v>109.2</v>
      </c>
      <c r="X126" s="17" t="str">
        <f>IFERROR(__xludf.DUMMYFUNCTION("""COMPUTED_VALUE"""),"SEDANG")</f>
        <v>SEDANG</v>
      </c>
      <c r="Y126" s="17">
        <f>IFERROR(__xludf.DUMMYFUNCTION("""COMPUTED_VALUE"""),2.0)</f>
        <v>2</v>
      </c>
      <c r="Z126" s="17">
        <f>IFERROR(__xludf.DUMMYFUNCTION("""COMPUTED_VALUE"""),7.0)</f>
        <v>7</v>
      </c>
      <c r="AB126" s="48" t="str">
        <f>IFERROR(__xludf.DUMMYFUNCTION("""COMPUTED_VALUE"""),"PT NAUMI ARUMAH ZOE")</f>
        <v>PT NAUMI ARUMAH ZOE</v>
      </c>
      <c r="AC126" s="48" t="str">
        <f>IFERROR(__xludf.DUMMYFUNCTION("""COMPUTED_VALUE"""),"S 8940 UF")</f>
        <v>S 8940 UF</v>
      </c>
      <c r="AD126" s="48" t="str">
        <f>IFERROR(__xludf.DUMMYFUNCTION("""COMPUTED_VALUE"""),"TLPG MEM GRESIK")</f>
        <v>TLPG MEM GRESIK</v>
      </c>
      <c r="AE126" s="17">
        <f>IFERROR(__xludf.DUMMYFUNCTION("""COMPUTED_VALUE"""),12.0)</f>
        <v>12</v>
      </c>
    </row>
    <row r="127">
      <c r="A127" s="12">
        <v>125.0</v>
      </c>
      <c r="B127" s="9" t="s">
        <v>154</v>
      </c>
      <c r="C127" s="9" t="s">
        <v>5</v>
      </c>
      <c r="D127" s="9" t="s">
        <v>375</v>
      </c>
      <c r="E127" s="49">
        <v>37.2</v>
      </c>
      <c r="F127" s="23" t="s">
        <v>454</v>
      </c>
      <c r="G127" s="9" t="str">
        <f>IFERROR(VLOOKUP(C127,'MASTER TLPG'!A:B,2,FALSE),"")</f>
        <v>-8.749911797697688, 116.03590255003817</v>
      </c>
      <c r="H127" s="9" t="str">
        <f>IFERROR(VLOOKUP(D127,'MASTER PERUSAHAAN'!A:B,2,FALSE),"")</f>
        <v>-8.620797184538066, 116.08694469811925</v>
      </c>
      <c r="J127" s="9" t="str">
        <f t="shared" si="1"/>
        <v>DEKAT</v>
      </c>
      <c r="K127" s="11">
        <f t="shared" si="2"/>
        <v>1</v>
      </c>
      <c r="M127" s="17">
        <v>5.0</v>
      </c>
      <c r="N127" s="17"/>
      <c r="O127" s="17"/>
      <c r="P127" s="17"/>
      <c r="Q127" s="17"/>
      <c r="R127" s="17"/>
      <c r="S127" s="17"/>
      <c r="T127" s="17" t="str">
        <f>IFERROR(__xludf.DUMMYFUNCTION("""COMPUTED_VALUE"""),"M 9715 UA")</f>
        <v>M 9715 UA</v>
      </c>
      <c r="U127" s="17" t="str">
        <f>IFERROR(__xludf.DUMMYFUNCTION("""COMPUTED_VALUE"""),"TLPG TJ PERAK")</f>
        <v>TLPG TJ PERAK</v>
      </c>
      <c r="V127" s="17" t="str">
        <f>IFERROR(__xludf.DUMMYFUNCTION("""COMPUTED_VALUE"""),"PT GAS MADURA PRATAMA")</f>
        <v>PT GAS MADURA PRATAMA</v>
      </c>
      <c r="W127" s="17">
        <f>IFERROR(__xludf.DUMMYFUNCTION("""COMPUTED_VALUE"""),109.2)</f>
        <v>109.2</v>
      </c>
      <c r="X127" s="17" t="str">
        <f>IFERROR(__xludf.DUMMYFUNCTION("""COMPUTED_VALUE"""),"SEDANG")</f>
        <v>SEDANG</v>
      </c>
      <c r="Y127" s="17">
        <f>IFERROR(__xludf.DUMMYFUNCTION("""COMPUTED_VALUE"""),2.0)</f>
        <v>2</v>
      </c>
      <c r="Z127" s="17">
        <f>IFERROR(__xludf.DUMMYFUNCTION("""COMPUTED_VALUE"""),7.0)</f>
        <v>7</v>
      </c>
      <c r="AB127" s="48" t="str">
        <f>IFERROR(__xludf.DUMMYFUNCTION("""COMPUTED_VALUE"""),"PT NAWA PELITA RAYA")</f>
        <v>PT NAWA PELITA RAYA</v>
      </c>
      <c r="AC127" s="48" t="str">
        <f>IFERROR(__xludf.DUMMYFUNCTION("""COMPUTED_VALUE"""),"W 9170 PD")</f>
        <v>W 9170 PD</v>
      </c>
      <c r="AD127" s="48" t="str">
        <f>IFERROR(__xludf.DUMMYFUNCTION("""COMPUTED_VALUE"""),"TLPG TJ PERAK")</f>
        <v>TLPG TJ PERAK</v>
      </c>
      <c r="AE127" s="17">
        <f>IFERROR(__xludf.DUMMYFUNCTION("""COMPUTED_VALUE"""),4.0)</f>
        <v>4</v>
      </c>
    </row>
    <row r="128">
      <c r="A128" s="12">
        <v>126.0</v>
      </c>
      <c r="B128" s="9" t="s">
        <v>156</v>
      </c>
      <c r="C128" s="9" t="s">
        <v>5</v>
      </c>
      <c r="D128" s="9" t="s">
        <v>385</v>
      </c>
      <c r="E128" s="49">
        <v>74.3</v>
      </c>
      <c r="F128" s="23" t="s">
        <v>454</v>
      </c>
      <c r="G128" s="9" t="str">
        <f>IFERROR(VLOOKUP(C128,'MASTER TLPG'!A:B,2,FALSE),"")</f>
        <v>-8.749911797697688, 116.03590255003817</v>
      </c>
      <c r="H128" s="9" t="str">
        <f>IFERROR(VLOOKUP(D128,'MASTER PERUSAHAAN'!A:B,2,FALSE),"")</f>
        <v>-8.63352462568205, 116.43790941602066</v>
      </c>
      <c r="J128" s="9" t="str">
        <f t="shared" si="1"/>
        <v>SEDANG</v>
      </c>
      <c r="K128" s="11">
        <f t="shared" si="2"/>
        <v>2</v>
      </c>
      <c r="M128" s="17">
        <v>5.0</v>
      </c>
      <c r="N128" s="17"/>
      <c r="O128" s="17"/>
      <c r="P128" s="17"/>
      <c r="Q128" s="17"/>
      <c r="R128" s="17"/>
      <c r="S128" s="17"/>
      <c r="T128" s="17" t="str">
        <f>IFERROR(__xludf.DUMMYFUNCTION("""COMPUTED_VALUE"""),"M 9728 UA")</f>
        <v>M 9728 UA</v>
      </c>
      <c r="U128" s="17" t="str">
        <f>IFERROR(__xludf.DUMMYFUNCTION("""COMPUTED_VALUE"""),"TLPG TJ PERAK")</f>
        <v>TLPG TJ PERAK</v>
      </c>
      <c r="V128" s="17" t="str">
        <f>IFERROR(__xludf.DUMMYFUNCTION("""COMPUTED_VALUE"""),"PT GAS MADURA PRATAMA")</f>
        <v>PT GAS MADURA PRATAMA</v>
      </c>
      <c r="W128" s="17">
        <f>IFERROR(__xludf.DUMMYFUNCTION("""COMPUTED_VALUE"""),109.2)</f>
        <v>109.2</v>
      </c>
      <c r="X128" s="17" t="str">
        <f>IFERROR(__xludf.DUMMYFUNCTION("""COMPUTED_VALUE"""),"SEDANG")</f>
        <v>SEDANG</v>
      </c>
      <c r="Y128" s="17">
        <f>IFERROR(__xludf.DUMMYFUNCTION("""COMPUTED_VALUE"""),2.0)</f>
        <v>2</v>
      </c>
      <c r="Z128" s="17">
        <f>IFERROR(__xludf.DUMMYFUNCTION("""COMPUTED_VALUE"""),8.0)</f>
        <v>8</v>
      </c>
      <c r="AB128" s="48" t="str">
        <f>IFERROR(__xludf.DUMMYFUNCTION("""COMPUTED_VALUE"""),"PT NAWA PELITA RAYA")</f>
        <v>PT NAWA PELITA RAYA</v>
      </c>
      <c r="AC128" s="48" t="str">
        <f>IFERROR(__xludf.DUMMYFUNCTION("""COMPUTED_VALUE"""),"W 8353 UR")</f>
        <v>W 8353 UR</v>
      </c>
      <c r="AD128" s="48" t="str">
        <f>IFERROR(__xludf.DUMMYFUNCTION("""COMPUTED_VALUE"""),"TLPG TJ PERAK")</f>
        <v>TLPG TJ PERAK</v>
      </c>
      <c r="AE128" s="17">
        <f>IFERROR(__xludf.DUMMYFUNCTION("""COMPUTED_VALUE"""),12.0)</f>
        <v>12</v>
      </c>
    </row>
    <row r="129">
      <c r="A129" s="12">
        <v>127.0</v>
      </c>
      <c r="B129" s="9" t="s">
        <v>158</v>
      </c>
      <c r="C129" s="9" t="s">
        <v>7</v>
      </c>
      <c r="D129" s="9" t="s">
        <v>396</v>
      </c>
      <c r="E129" s="49">
        <v>18.0</v>
      </c>
      <c r="F129" s="23" t="s">
        <v>454</v>
      </c>
      <c r="G129" s="9" t="str">
        <f>IFERROR(VLOOKUP(C129,'MASTER TLPG'!A:B,2,FALSE),"")</f>
        <v>-7.203807110524606, 112.71950675497641</v>
      </c>
      <c r="H129" s="9" t="str">
        <f>IFERROR(VLOOKUP(D129,'MASTER PERUSAHAAN'!A:B,2,FALSE),"")</f>
        <v>-7.193539270333125, 112.64047369384164</v>
      </c>
      <c r="J129" s="9" t="str">
        <f t="shared" si="1"/>
        <v>DEKAT</v>
      </c>
      <c r="K129" s="11">
        <f t="shared" si="2"/>
        <v>1</v>
      </c>
      <c r="M129" s="17">
        <v>5.0</v>
      </c>
      <c r="N129" s="17"/>
      <c r="O129" s="17"/>
      <c r="P129" s="17"/>
      <c r="Q129" s="17"/>
      <c r="R129" s="17"/>
      <c r="S129" s="17"/>
      <c r="T129" s="17" t="str">
        <f>IFERROR(__xludf.DUMMYFUNCTION("""COMPUTED_VALUE"""),"M 9757 UA")</f>
        <v>M 9757 UA</v>
      </c>
      <c r="U129" s="17" t="str">
        <f>IFERROR(__xludf.DUMMYFUNCTION("""COMPUTED_VALUE"""),"TLPG TJ PERAK")</f>
        <v>TLPG TJ PERAK</v>
      </c>
      <c r="V129" s="17" t="str">
        <f>IFERROR(__xludf.DUMMYFUNCTION("""COMPUTED_VALUE"""),"PT GAS MADURA PRATAMA")</f>
        <v>PT GAS MADURA PRATAMA</v>
      </c>
      <c r="W129" s="17">
        <f>IFERROR(__xludf.DUMMYFUNCTION("""COMPUTED_VALUE"""),109.2)</f>
        <v>109.2</v>
      </c>
      <c r="X129" s="17" t="str">
        <f>IFERROR(__xludf.DUMMYFUNCTION("""COMPUTED_VALUE"""),"SEDANG")</f>
        <v>SEDANG</v>
      </c>
      <c r="Y129" s="17">
        <f>IFERROR(__xludf.DUMMYFUNCTION("""COMPUTED_VALUE"""),2.0)</f>
        <v>2</v>
      </c>
      <c r="Z129" s="17">
        <f>IFERROR(__xludf.DUMMYFUNCTION("""COMPUTED_VALUE"""),8.0)</f>
        <v>8</v>
      </c>
      <c r="AB129" s="48" t="str">
        <f>IFERROR(__xludf.DUMMYFUNCTION("""COMPUTED_VALUE"""),"PT NUR WISTARA ABADI")</f>
        <v>PT NUR WISTARA ABADI</v>
      </c>
      <c r="AC129" s="48" t="str">
        <f>IFERROR(__xludf.DUMMYFUNCTION("""COMPUTED_VALUE"""),"AE 8518 UJ")</f>
        <v>AE 8518 UJ</v>
      </c>
      <c r="AD129" s="48" t="str">
        <f>IFERROR(__xludf.DUMMYFUNCTION("""COMPUTED_VALUE"""),"TLPG TJ PERAK")</f>
        <v>TLPG TJ PERAK</v>
      </c>
      <c r="AE129" s="17">
        <f>IFERROR(__xludf.DUMMYFUNCTION("""COMPUTED_VALUE"""),1.0)</f>
        <v>1</v>
      </c>
    </row>
    <row r="130">
      <c r="A130" s="12">
        <v>128.0</v>
      </c>
      <c r="B130" s="9" t="s">
        <v>159</v>
      </c>
      <c r="C130" s="9" t="s">
        <v>25</v>
      </c>
      <c r="D130" s="9" t="s">
        <v>414</v>
      </c>
      <c r="E130" s="49">
        <v>125.5</v>
      </c>
      <c r="F130" s="23" t="s">
        <v>454</v>
      </c>
      <c r="G130" s="9" t="str">
        <f>IFERROR(VLOOKUP(C130,'MASTER TLPG'!A:B,2,FALSE),"")</f>
        <v>-7.109201954744449, 112.62272164861744</v>
      </c>
      <c r="H130" s="9" t="str">
        <f>IFERROR(VLOOKUP(D130,'MASTER PERUSAHAAN'!A:B,2,FALSE),"")</f>
        <v>-7.670250551206744, 111.91302374089334</v>
      </c>
      <c r="J130" s="9" t="str">
        <f t="shared" si="1"/>
        <v>SEDANG</v>
      </c>
      <c r="K130" s="11">
        <f t="shared" si="2"/>
        <v>2</v>
      </c>
      <c r="M130" s="17">
        <v>5.0</v>
      </c>
      <c r="N130" s="17"/>
      <c r="O130" s="17"/>
      <c r="P130" s="17"/>
      <c r="Q130" s="17"/>
      <c r="R130" s="17"/>
      <c r="S130" s="17"/>
      <c r="T130" s="17" t="str">
        <f>IFERROR(__xludf.DUMMYFUNCTION("""COMPUTED_VALUE"""),"AG 8093 EI")</f>
        <v>AG 8093 EI</v>
      </c>
      <c r="U130" s="17" t="str">
        <f>IFERROR(__xludf.DUMMYFUNCTION("""COMPUTED_VALUE"""),"TLPG MEM GRESIK")</f>
        <v>TLPG MEM GRESIK</v>
      </c>
      <c r="V130" s="17" t="str">
        <f>IFERROR(__xludf.DUMMYFUNCTION("""COMPUTED_VALUE"""),"PT RADIMA JAYA KEDIRI")</f>
        <v>PT RADIMA JAYA KEDIRI</v>
      </c>
      <c r="W130" s="17">
        <f>IFERROR(__xludf.DUMMYFUNCTION("""COMPUTED_VALUE"""),108.9)</f>
        <v>108.9</v>
      </c>
      <c r="X130" s="17" t="str">
        <f>IFERROR(__xludf.DUMMYFUNCTION("""COMPUTED_VALUE"""),"SEDANG")</f>
        <v>SEDANG</v>
      </c>
      <c r="Y130" s="17">
        <f>IFERROR(__xludf.DUMMYFUNCTION("""COMPUTED_VALUE"""),2.0)</f>
        <v>2</v>
      </c>
      <c r="Z130" s="17">
        <f>IFERROR(__xludf.DUMMYFUNCTION("""COMPUTED_VALUE"""),1.0)</f>
        <v>1</v>
      </c>
      <c r="AB130" s="48" t="str">
        <f>IFERROR(__xludf.DUMMYFUNCTION("""COMPUTED_VALUE"""),"PT NUR WISTARA ABADI")</f>
        <v>PT NUR WISTARA ABADI</v>
      </c>
      <c r="AC130" s="48" t="str">
        <f>IFERROR(__xludf.DUMMYFUNCTION("""COMPUTED_VALUE"""),"AE 8546 UJ")</f>
        <v>AE 8546 UJ</v>
      </c>
      <c r="AD130" s="48" t="str">
        <f>IFERROR(__xludf.DUMMYFUNCTION("""COMPUTED_VALUE"""),"TLPG TJ PERAK")</f>
        <v>TLPG TJ PERAK</v>
      </c>
      <c r="AE130" s="17">
        <f>IFERROR(__xludf.DUMMYFUNCTION("""COMPUTED_VALUE"""),1.0)</f>
        <v>1</v>
      </c>
    </row>
    <row r="131">
      <c r="A131" s="12">
        <v>129.0</v>
      </c>
      <c r="B131" s="9" t="s">
        <v>160</v>
      </c>
      <c r="C131" s="9" t="s">
        <v>7</v>
      </c>
      <c r="D131" s="9" t="s">
        <v>376</v>
      </c>
      <c r="E131" s="49">
        <v>109.9</v>
      </c>
      <c r="F131" s="23" t="s">
        <v>454</v>
      </c>
      <c r="G131" s="9" t="str">
        <f>IFERROR(VLOOKUP(C131,'MASTER TLPG'!A:B,2,FALSE),"")</f>
        <v>-7.203807110524606, 112.71950675497641</v>
      </c>
      <c r="H131" s="9" t="str">
        <f>IFERROR(VLOOKUP(D131,'MASTER PERUSAHAAN'!A:B,2,FALSE),"")</f>
        <v>-7.604701007496426, 111.99527190426026</v>
      </c>
      <c r="J131" s="9" t="str">
        <f t="shared" si="1"/>
        <v>SEDANG</v>
      </c>
      <c r="K131" s="11">
        <f t="shared" si="2"/>
        <v>2</v>
      </c>
      <c r="M131" s="17">
        <v>5.0</v>
      </c>
      <c r="N131" s="17"/>
      <c r="O131" s="17"/>
      <c r="P131" s="17"/>
      <c r="Q131" s="17"/>
      <c r="R131" s="17"/>
      <c r="S131" s="17"/>
      <c r="T131" s="17" t="str">
        <f>IFERROR(__xludf.DUMMYFUNCTION("""COMPUTED_VALUE"""),"L 8083 CA")</f>
        <v>L 8083 CA</v>
      </c>
      <c r="U131" s="17" t="str">
        <f>IFERROR(__xludf.DUMMYFUNCTION("""COMPUTED_VALUE"""),"TLPG TJ WANGI")</f>
        <v>TLPG TJ WANGI</v>
      </c>
      <c r="V131" s="17" t="str">
        <f>IFERROR(__xludf.DUMMYFUNCTION("""COMPUTED_VALUE"""),"PT KARYA GEMILANG GAS SEJAHTERA")</f>
        <v>PT KARYA GEMILANG GAS SEJAHTERA</v>
      </c>
      <c r="W131" s="17">
        <f>IFERROR(__xludf.DUMMYFUNCTION("""COMPUTED_VALUE"""),107.5)</f>
        <v>107.5</v>
      </c>
      <c r="X131" s="17" t="str">
        <f>IFERROR(__xludf.DUMMYFUNCTION("""COMPUTED_VALUE"""),"SEDANG")</f>
        <v>SEDANG</v>
      </c>
      <c r="Y131" s="17">
        <f>IFERROR(__xludf.DUMMYFUNCTION("""COMPUTED_VALUE"""),2.0)</f>
        <v>2</v>
      </c>
      <c r="Z131" s="17">
        <f>IFERROR(__xludf.DUMMYFUNCTION("""COMPUTED_VALUE"""),3.0)</f>
        <v>3</v>
      </c>
      <c r="AB131" s="48" t="str">
        <f>IFERROR(__xludf.DUMMYFUNCTION("""COMPUTED_VALUE"""),"PT NUR WISTARA ABADI")</f>
        <v>PT NUR WISTARA ABADI</v>
      </c>
      <c r="AC131" s="48" t="str">
        <f>IFERROR(__xludf.DUMMYFUNCTION("""COMPUTED_VALUE"""),"AE 9061 UJ")</f>
        <v>AE 9061 UJ</v>
      </c>
      <c r="AD131" s="48" t="str">
        <f>IFERROR(__xludf.DUMMYFUNCTION("""COMPUTED_VALUE"""),"TLPG TJ PERAK")</f>
        <v>TLPG TJ PERAK</v>
      </c>
      <c r="AE131" s="17">
        <f>IFERROR(__xludf.DUMMYFUNCTION("""COMPUTED_VALUE"""),1.0)</f>
        <v>1</v>
      </c>
    </row>
    <row r="132">
      <c r="A132" s="12">
        <v>130.0</v>
      </c>
      <c r="B132" s="9" t="s">
        <v>162</v>
      </c>
      <c r="C132" s="9" t="s">
        <v>25</v>
      </c>
      <c r="D132" s="9" t="s">
        <v>83</v>
      </c>
      <c r="E132" s="9"/>
      <c r="G132" s="9" t="str">
        <f>IFERROR(VLOOKUP(C132,'MASTER TLPG'!A:B,2,FALSE),"")</f>
        <v>-7.109201954744449, 112.62272164861744</v>
      </c>
      <c r="H132" s="9" t="str">
        <f>IFERROR(VLOOKUP(D132,'MASTER PERUSAHAAN'!A:B,2,FALSE),"")</f>
        <v/>
      </c>
      <c r="J132" s="9" t="str">
        <f t="shared" si="1"/>
        <v/>
      </c>
      <c r="K132" s="11" t="str">
        <f t="shared" si="2"/>
        <v/>
      </c>
      <c r="M132" s="17">
        <v>5.0</v>
      </c>
      <c r="N132" s="17"/>
      <c r="O132" s="17"/>
      <c r="P132" s="17"/>
      <c r="Q132" s="17"/>
      <c r="R132" s="17"/>
      <c r="S132" s="17"/>
      <c r="T132" s="17" t="str">
        <f>IFERROR(__xludf.DUMMYFUNCTION("""COMPUTED_VALUE"""),"DR 8105 LJ")</f>
        <v>DR 8105 LJ</v>
      </c>
      <c r="U132" s="17" t="str">
        <f>IFERROR(__xludf.DUMMYFUNCTION("""COMPUTED_VALUE"""),"TLPG LOMBOK")</f>
        <v>TLPG LOMBOK</v>
      </c>
      <c r="V132" s="17" t="str">
        <f>IFERROR(__xludf.DUMMYFUNCTION("""COMPUTED_VALUE"""),"SPPBE-PT. Anugrah Narwastu Raya")</f>
        <v>SPPBE-PT. Anugrah Narwastu Raya</v>
      </c>
      <c r="W132" s="17">
        <f>IFERROR(__xludf.DUMMYFUNCTION("""COMPUTED_VALUE"""),104.3)</f>
        <v>104.3</v>
      </c>
      <c r="X132" s="17" t="str">
        <f>IFERROR(__xludf.DUMMYFUNCTION("""COMPUTED_VALUE"""),"SEDANG")</f>
        <v>SEDANG</v>
      </c>
      <c r="Y132" s="17">
        <f>IFERROR(__xludf.DUMMYFUNCTION("""COMPUTED_VALUE"""),2.0)</f>
        <v>2</v>
      </c>
      <c r="Z132" s="17">
        <f>IFERROR(__xludf.DUMMYFUNCTION("""COMPUTED_VALUE"""),4.0)</f>
        <v>4</v>
      </c>
      <c r="AB132" s="48" t="str">
        <f>IFERROR(__xludf.DUMMYFUNCTION("""COMPUTED_VALUE"""),"PT OM AGUS")</f>
        <v>PT OM AGUS</v>
      </c>
      <c r="AC132" s="48" t="str">
        <f>IFERROR(__xludf.DUMMYFUNCTION("""COMPUTED_VALUE"""),"DR 8772 DC")</f>
        <v>DR 8772 DC</v>
      </c>
      <c r="AD132" s="48" t="str">
        <f>IFERROR(__xludf.DUMMYFUNCTION("""COMPUTED_VALUE"""),"TLPG LOMBOK")</f>
        <v>TLPG LOMBOK</v>
      </c>
      <c r="AE132" s="17">
        <f>IFERROR(__xludf.DUMMYFUNCTION("""COMPUTED_VALUE"""),4.0)</f>
        <v>4</v>
      </c>
    </row>
    <row r="133">
      <c r="A133" s="12">
        <v>131.0</v>
      </c>
      <c r="B133" s="9" t="s">
        <v>163</v>
      </c>
      <c r="C133" s="9" t="s">
        <v>25</v>
      </c>
      <c r="D133" s="9" t="s">
        <v>83</v>
      </c>
      <c r="E133" s="9"/>
      <c r="G133" s="9" t="str">
        <f>IFERROR(VLOOKUP(C133,'MASTER TLPG'!A:B,2,FALSE),"")</f>
        <v>-7.109201954744449, 112.62272164861744</v>
      </c>
      <c r="H133" s="9" t="str">
        <f>IFERROR(VLOOKUP(D133,'MASTER PERUSAHAAN'!A:B,2,FALSE),"")</f>
        <v/>
      </c>
      <c r="J133" s="9" t="str">
        <f t="shared" si="1"/>
        <v/>
      </c>
      <c r="K133" s="11" t="str">
        <f t="shared" si="2"/>
        <v/>
      </c>
      <c r="M133" s="17">
        <v>5.0</v>
      </c>
      <c r="N133" s="17"/>
      <c r="O133" s="17"/>
      <c r="P133" s="17"/>
      <c r="Q133" s="17"/>
      <c r="R133" s="17"/>
      <c r="S133" s="17"/>
      <c r="T133" s="17" t="str">
        <f>IFERROR(__xludf.DUMMYFUNCTION("""COMPUTED_VALUE"""),"DR 8792 KC")</f>
        <v>DR 8792 KC</v>
      </c>
      <c r="U133" s="17" t="str">
        <f>IFERROR(__xludf.DUMMYFUNCTION("""COMPUTED_VALUE"""),"TLPG LOMBOK")</f>
        <v>TLPG LOMBOK</v>
      </c>
      <c r="V133" s="17" t="str">
        <f>IFERROR(__xludf.DUMMYFUNCTION("""COMPUTED_VALUE"""),"SPPBE-PT. Anugrah Narwastu Raya")</f>
        <v>SPPBE-PT. Anugrah Narwastu Raya</v>
      </c>
      <c r="W133" s="17">
        <f>IFERROR(__xludf.DUMMYFUNCTION("""COMPUTED_VALUE"""),104.3)</f>
        <v>104.3</v>
      </c>
      <c r="X133" s="17" t="str">
        <f>IFERROR(__xludf.DUMMYFUNCTION("""COMPUTED_VALUE"""),"SEDANG")</f>
        <v>SEDANG</v>
      </c>
      <c r="Y133" s="17">
        <f>IFERROR(__xludf.DUMMYFUNCTION("""COMPUTED_VALUE"""),2.0)</f>
        <v>2</v>
      </c>
      <c r="Z133" s="17">
        <f>IFERROR(__xludf.DUMMYFUNCTION("""COMPUTED_VALUE"""),10.0)</f>
        <v>10</v>
      </c>
      <c r="AB133" s="48" t="str">
        <f>IFERROR(__xludf.DUMMYFUNCTION("""COMPUTED_VALUE"""),"PT PANDU MANUNGGAL KARSA")</f>
        <v>PT PANDU MANUNGGAL KARSA</v>
      </c>
      <c r="AC133" s="48" t="str">
        <f>IFERROR(__xludf.DUMMYFUNCTION("""COMPUTED_VALUE"""),"AG 8374 UG")</f>
        <v>AG 8374 UG</v>
      </c>
      <c r="AD133" s="48" t="str">
        <f>IFERROR(__xludf.DUMMYFUNCTION("""COMPUTED_VALUE"""),"TLPG TJ PERAK")</f>
        <v>TLPG TJ PERAK</v>
      </c>
      <c r="AE133" s="17">
        <f>IFERROR(__xludf.DUMMYFUNCTION("""COMPUTED_VALUE"""),3.0)</f>
        <v>3</v>
      </c>
    </row>
    <row r="134">
      <c r="A134" s="12">
        <v>132.0</v>
      </c>
      <c r="B134" s="9" t="s">
        <v>164</v>
      </c>
      <c r="C134" s="9" t="s">
        <v>7</v>
      </c>
      <c r="D134" s="9" t="s">
        <v>415</v>
      </c>
      <c r="E134" s="49">
        <v>69.2</v>
      </c>
      <c r="F134" s="23" t="s">
        <v>454</v>
      </c>
      <c r="G134" s="9" t="str">
        <f>IFERROR(VLOOKUP(C134,'MASTER TLPG'!A:B,2,FALSE),"")</f>
        <v>-7.203807110524606, 112.71950675497641</v>
      </c>
      <c r="H134" s="9" t="str">
        <f>IFERROR(VLOOKUP(D134,'MASTER PERUSAHAAN'!A:B,2,FALSE),"")</f>
        <v>-7.60490472138835, 112.82201980955189</v>
      </c>
      <c r="J134" s="9" t="str">
        <f t="shared" si="1"/>
        <v>SEDANG</v>
      </c>
      <c r="K134" s="11">
        <f t="shared" si="2"/>
        <v>2</v>
      </c>
      <c r="M134" s="17">
        <v>5.0</v>
      </c>
      <c r="N134" s="17"/>
      <c r="O134" s="17"/>
      <c r="P134" s="17"/>
      <c r="Q134" s="17"/>
      <c r="R134" s="17"/>
      <c r="S134" s="17"/>
      <c r="T134" s="17" t="str">
        <f>IFERROR(__xludf.DUMMYFUNCTION("""COMPUTED_VALUE"""),"S 8316 AI")</f>
        <v>S 8316 AI</v>
      </c>
      <c r="U134" s="17" t="str">
        <f>IFERROR(__xludf.DUMMYFUNCTION("""COMPUTED_VALUE"""),"TLPG TJ PERAK")</f>
        <v>TLPG TJ PERAK</v>
      </c>
      <c r="V134" s="17" t="str">
        <f>IFERROR(__xludf.DUMMYFUNCTION("""COMPUTED_VALUE"""),"PT SWARNA BINA UTAMA")</f>
        <v>PT SWARNA BINA UTAMA</v>
      </c>
      <c r="W134" s="17">
        <f>IFERROR(__xludf.DUMMYFUNCTION("""COMPUTED_VALUE"""),104.1)</f>
        <v>104.1</v>
      </c>
      <c r="X134" s="17" t="str">
        <f>IFERROR(__xludf.DUMMYFUNCTION("""COMPUTED_VALUE"""),"SEDANG")</f>
        <v>SEDANG</v>
      </c>
      <c r="Y134" s="17">
        <f>IFERROR(__xludf.DUMMYFUNCTION("""COMPUTED_VALUE"""),2.0)</f>
        <v>2</v>
      </c>
      <c r="Z134" s="17">
        <f>IFERROR(__xludf.DUMMYFUNCTION("""COMPUTED_VALUE"""),1.0)</f>
        <v>1</v>
      </c>
      <c r="AB134" s="48" t="str">
        <f>IFERROR(__xludf.DUMMYFUNCTION("""COMPUTED_VALUE"""),"PT PATERMAN PETRONIAGA")</f>
        <v>PT PATERMAN PETRONIAGA</v>
      </c>
      <c r="AC134" s="48" t="str">
        <f>IFERROR(__xludf.DUMMYFUNCTION("""COMPUTED_VALUE"""),"S 9010 NI")</f>
        <v>S 9010 NI</v>
      </c>
      <c r="AD134" s="48" t="str">
        <f>IFERROR(__xludf.DUMMYFUNCTION("""COMPUTED_VALUE"""),"TLPG TJ PERAK")</f>
        <v>TLPG TJ PERAK</v>
      </c>
      <c r="AE134" s="17">
        <f>IFERROR(__xludf.DUMMYFUNCTION("""COMPUTED_VALUE"""),12.0)</f>
        <v>12</v>
      </c>
    </row>
    <row r="135">
      <c r="A135" s="12">
        <v>133.0</v>
      </c>
      <c r="B135" s="9" t="s">
        <v>165</v>
      </c>
      <c r="C135" s="9" t="s">
        <v>7</v>
      </c>
      <c r="D135" s="9" t="s">
        <v>401</v>
      </c>
      <c r="E135" s="9"/>
      <c r="G135" s="9" t="str">
        <f>IFERROR(VLOOKUP(C135,'MASTER TLPG'!A:B,2,FALSE),"")</f>
        <v>-7.203807110524606, 112.71950675497641</v>
      </c>
      <c r="H135" s="9" t="str">
        <f>IFERROR(VLOOKUP(D135,'MASTER PERUSAHAAN'!A:B,2,FALSE),"")</f>
        <v/>
      </c>
      <c r="J135" s="9" t="str">
        <f t="shared" si="1"/>
        <v/>
      </c>
      <c r="K135" s="11" t="str">
        <f t="shared" si="2"/>
        <v/>
      </c>
      <c r="M135" s="17">
        <v>5.0</v>
      </c>
      <c r="N135" s="17"/>
      <c r="O135" s="17"/>
      <c r="P135" s="17"/>
      <c r="Q135" s="17"/>
      <c r="R135" s="17"/>
      <c r="S135" s="17"/>
      <c r="T135" s="17" t="str">
        <f>IFERROR(__xludf.DUMMYFUNCTION("""COMPUTED_VALUE"""),"N 8661 UR")</f>
        <v>N 8661 UR</v>
      </c>
      <c r="U135" s="17" t="str">
        <f>IFERROR(__xludf.DUMMYFUNCTION("""COMPUTED_VALUE"""),"TLPG TJ PERAK")</f>
        <v>TLPG TJ PERAK</v>
      </c>
      <c r="V135" s="17" t="str">
        <f>IFERROR(__xludf.DUMMYFUNCTION("""COMPUTED_VALUE"""),"PT SUMBER GAS INTI UTAMA")</f>
        <v>PT SUMBER GAS INTI UTAMA</v>
      </c>
      <c r="W135" s="17">
        <f>IFERROR(__xludf.DUMMYFUNCTION("""COMPUTED_VALUE"""),103.5)</f>
        <v>103.5</v>
      </c>
      <c r="X135" s="17" t="str">
        <f>IFERROR(__xludf.DUMMYFUNCTION("""COMPUTED_VALUE"""),"SEDANG")</f>
        <v>SEDANG</v>
      </c>
      <c r="Y135" s="17">
        <f>IFERROR(__xludf.DUMMYFUNCTION("""COMPUTED_VALUE"""),2.0)</f>
        <v>2</v>
      </c>
      <c r="Z135" s="17">
        <f>IFERROR(__xludf.DUMMYFUNCTION("""COMPUTED_VALUE"""),8.0)</f>
        <v>8</v>
      </c>
      <c r="AB135" s="48" t="str">
        <f>IFERROR(__xludf.DUMMYFUNCTION("""COMPUTED_VALUE"""),"PT PATERMAN PETRONIAGA")</f>
        <v>PT PATERMAN PETRONIAGA</v>
      </c>
      <c r="AC135" s="48" t="str">
        <f>IFERROR(__xludf.DUMMYFUNCTION("""COMPUTED_VALUE"""),"S 9973 UQ")</f>
        <v>S 9973 UQ</v>
      </c>
      <c r="AD135" s="48" t="str">
        <f>IFERROR(__xludf.DUMMYFUNCTION("""COMPUTED_VALUE"""),"TLPG TJ PERAK")</f>
        <v>TLPG TJ PERAK</v>
      </c>
      <c r="AE135" s="17">
        <f>IFERROR(__xludf.DUMMYFUNCTION("""COMPUTED_VALUE"""),12.0)</f>
        <v>12</v>
      </c>
    </row>
    <row r="136">
      <c r="A136" s="12">
        <v>134.0</v>
      </c>
      <c r="B136" s="9" t="s">
        <v>166</v>
      </c>
      <c r="C136" s="9" t="s">
        <v>7</v>
      </c>
      <c r="D136" s="9" t="s">
        <v>420</v>
      </c>
      <c r="E136" s="49">
        <v>12.7</v>
      </c>
      <c r="F136" s="23" t="s">
        <v>454</v>
      </c>
      <c r="G136" s="9" t="str">
        <f>IFERROR(VLOOKUP(C136,'MASTER TLPG'!A:B,2,FALSE),"")</f>
        <v>-7.203807110524606, 112.71950675497641</v>
      </c>
      <c r="H136" s="9" t="str">
        <f>IFERROR(VLOOKUP(D136,'MASTER PERUSAHAAN'!A:B,2,FALSE),"")</f>
        <v>-7.2423822066941215, 112.69447788891884</v>
      </c>
      <c r="J136" s="9" t="str">
        <f t="shared" si="1"/>
        <v>DEKAT</v>
      </c>
      <c r="K136" s="11">
        <f t="shared" si="2"/>
        <v>1</v>
      </c>
      <c r="M136" s="17">
        <v>5.0</v>
      </c>
      <c r="N136" s="17"/>
      <c r="O136" s="17"/>
      <c r="P136" s="17"/>
      <c r="Q136" s="17"/>
      <c r="R136" s="17"/>
      <c r="S136" s="17"/>
      <c r="T136" s="17" t="str">
        <f>IFERROR(__xludf.DUMMYFUNCTION("""COMPUTED_VALUE"""),"DK 8018 UF")</f>
        <v>DK 8018 UF</v>
      </c>
      <c r="U136" s="17" t="str">
        <f>IFERROR(__xludf.DUMMYFUNCTION("""COMPUTED_VALUE"""),"TLPG MANGGIS")</f>
        <v>TLPG MANGGIS</v>
      </c>
      <c r="V136" s="17" t="str">
        <f>IFERROR(__xludf.DUMMYFUNCTION("""COMPUTED_VALUE"""),"SPPBE-PT. Gaya Investama")</f>
        <v>SPPBE-PT. Gaya Investama</v>
      </c>
      <c r="W136" s="17">
        <f>IFERROR(__xludf.DUMMYFUNCTION("""COMPUTED_VALUE"""),102.0)</f>
        <v>102</v>
      </c>
      <c r="X136" s="17" t="str">
        <f>IFERROR(__xludf.DUMMYFUNCTION("""COMPUTED_VALUE"""),"SEDANG")</f>
        <v>SEDANG</v>
      </c>
      <c r="Y136" s="17">
        <f>IFERROR(__xludf.DUMMYFUNCTION("""COMPUTED_VALUE"""),2.0)</f>
        <v>2</v>
      </c>
      <c r="Z136" s="17">
        <f>IFERROR(__xludf.DUMMYFUNCTION("""COMPUTED_VALUE"""),1.0)</f>
        <v>1</v>
      </c>
      <c r="AB136" s="48" t="str">
        <f>IFERROR(__xludf.DUMMYFUNCTION("""COMPUTED_VALUE"""),"PT PATRA LOGISTIK")</f>
        <v>PT PATRA LOGISTIK</v>
      </c>
      <c r="AC136" s="48" t="str">
        <f>IFERROR(__xludf.DUMMYFUNCTION("""COMPUTED_VALUE"""),"B 9869 SFV")</f>
        <v>B 9869 SFV</v>
      </c>
      <c r="AD136" s="48" t="str">
        <f>IFERROR(__xludf.DUMMYFUNCTION("""COMPUTED_VALUE"""),"TLPG MEM GRESIK")</f>
        <v>TLPG MEM GRESIK</v>
      </c>
      <c r="AE136" s="17">
        <f>IFERROR(__xludf.DUMMYFUNCTION("""COMPUTED_VALUE"""),2.0)</f>
        <v>2</v>
      </c>
    </row>
    <row r="137">
      <c r="A137" s="12">
        <v>135.0</v>
      </c>
      <c r="B137" s="9" t="s">
        <v>167</v>
      </c>
      <c r="C137" s="9" t="s">
        <v>7</v>
      </c>
      <c r="D137" s="9" t="s">
        <v>422</v>
      </c>
      <c r="E137" s="49">
        <v>7.7</v>
      </c>
      <c r="F137" s="23" t="s">
        <v>454</v>
      </c>
      <c r="G137" s="9" t="str">
        <f>IFERROR(VLOOKUP(C137,'MASTER TLPG'!A:B,2,FALSE),"")</f>
        <v>-7.203807110524606, 112.71950675497641</v>
      </c>
      <c r="H137" s="9" t="str">
        <f>IFERROR(VLOOKUP(D137,'MASTER PERUSAHAAN'!A:B,2,FALSE),"")</f>
        <v>-7.224067725641867, 112.70418360475718</v>
      </c>
      <c r="J137" s="9" t="str">
        <f t="shared" si="1"/>
        <v>DEKAT</v>
      </c>
      <c r="K137" s="11">
        <f t="shared" si="2"/>
        <v>1</v>
      </c>
      <c r="M137" s="17">
        <v>5.0</v>
      </c>
      <c r="N137" s="17"/>
      <c r="O137" s="17"/>
      <c r="P137" s="17"/>
      <c r="Q137" s="17"/>
      <c r="R137" s="17"/>
      <c r="S137" s="17"/>
      <c r="T137" s="17" t="str">
        <f>IFERROR(__xludf.DUMMYFUNCTION("""COMPUTED_VALUE"""),"DK 8023 UK")</f>
        <v>DK 8023 UK</v>
      </c>
      <c r="U137" s="17" t="str">
        <f>IFERROR(__xludf.DUMMYFUNCTION("""COMPUTED_VALUE"""),"TLPG MANGGIS")</f>
        <v>TLPG MANGGIS</v>
      </c>
      <c r="V137" s="17" t="str">
        <f>IFERROR(__xludf.DUMMYFUNCTION("""COMPUTED_VALUE"""),"SPPBE-PT. Gaya Investama")</f>
        <v>SPPBE-PT. Gaya Investama</v>
      </c>
      <c r="W137" s="17">
        <f>IFERROR(__xludf.DUMMYFUNCTION("""COMPUTED_VALUE"""),102.0)</f>
        <v>102</v>
      </c>
      <c r="X137" s="17" t="str">
        <f>IFERROR(__xludf.DUMMYFUNCTION("""COMPUTED_VALUE"""),"SEDANG")</f>
        <v>SEDANG</v>
      </c>
      <c r="Y137" s="17">
        <f>IFERROR(__xludf.DUMMYFUNCTION("""COMPUTED_VALUE"""),2.0)</f>
        <v>2</v>
      </c>
      <c r="Z137" s="17">
        <f>IFERROR(__xludf.DUMMYFUNCTION("""COMPUTED_VALUE"""),2.0)</f>
        <v>2</v>
      </c>
      <c r="AB137" s="48" t="str">
        <f>IFERROR(__xludf.DUMMYFUNCTION("""COMPUTED_VALUE"""),"PT PATRA LOGISTIK")</f>
        <v>PT PATRA LOGISTIK</v>
      </c>
      <c r="AC137" s="48" t="str">
        <f>IFERROR(__xludf.DUMMYFUNCTION("""COMPUTED_VALUE"""),"B 9158 SFW")</f>
        <v>B 9158 SFW</v>
      </c>
      <c r="AD137" s="48" t="str">
        <f>IFERROR(__xludf.DUMMYFUNCTION("""COMPUTED_VALUE"""),"TLPG MEM GRESIK")</f>
        <v>TLPG MEM GRESIK</v>
      </c>
      <c r="AE137" s="17">
        <f>IFERROR(__xludf.DUMMYFUNCTION("""COMPUTED_VALUE"""),8.0)</f>
        <v>8</v>
      </c>
    </row>
    <row r="138">
      <c r="A138" s="12">
        <v>136.0</v>
      </c>
      <c r="B138" s="9" t="s">
        <v>169</v>
      </c>
      <c r="C138" s="9" t="s">
        <v>7</v>
      </c>
      <c r="D138" s="9" t="s">
        <v>359</v>
      </c>
      <c r="E138" s="49">
        <v>12.8</v>
      </c>
      <c r="F138" s="23" t="s">
        <v>454</v>
      </c>
      <c r="G138" s="9" t="str">
        <f>IFERROR(VLOOKUP(C138,'MASTER TLPG'!A:B,2,FALSE),"")</f>
        <v>-7.203807110524606, 112.71950675497641</v>
      </c>
      <c r="H138" s="9" t="str">
        <f>IFERROR(VLOOKUP(D138,'MASTER PERUSAHAAN'!A:B,2,FALSE),"")</f>
        <v>-7.242658423271152, 112.6945143648589</v>
      </c>
      <c r="J138" s="9" t="str">
        <f t="shared" si="1"/>
        <v>DEKAT</v>
      </c>
      <c r="K138" s="11">
        <f t="shared" si="2"/>
        <v>1</v>
      </c>
      <c r="M138" s="17">
        <v>5.0</v>
      </c>
      <c r="N138" s="17"/>
      <c r="O138" s="17"/>
      <c r="P138" s="17"/>
      <c r="Q138" s="17"/>
      <c r="R138" s="17"/>
      <c r="S138" s="17"/>
      <c r="T138" s="17" t="str">
        <f>IFERROR(__xludf.DUMMYFUNCTION("""COMPUTED_VALUE"""),"DK 8035 UI")</f>
        <v>DK 8035 UI</v>
      </c>
      <c r="U138" s="17" t="str">
        <f>IFERROR(__xludf.DUMMYFUNCTION("""COMPUTED_VALUE"""),"TLPG MANGGIS")</f>
        <v>TLPG MANGGIS</v>
      </c>
      <c r="V138" s="17" t="str">
        <f>IFERROR(__xludf.DUMMYFUNCTION("""COMPUTED_VALUE"""),"SPPBE-PT. Gaya Investama")</f>
        <v>SPPBE-PT. Gaya Investama</v>
      </c>
      <c r="W138" s="17">
        <f>IFERROR(__xludf.DUMMYFUNCTION("""COMPUTED_VALUE"""),102.0)</f>
        <v>102</v>
      </c>
      <c r="X138" s="17" t="str">
        <f>IFERROR(__xludf.DUMMYFUNCTION("""COMPUTED_VALUE"""),"SEDANG")</f>
        <v>SEDANG</v>
      </c>
      <c r="Y138" s="17">
        <f>IFERROR(__xludf.DUMMYFUNCTION("""COMPUTED_VALUE"""),2.0)</f>
        <v>2</v>
      </c>
      <c r="Z138" s="17">
        <f>IFERROR(__xludf.DUMMYFUNCTION("""COMPUTED_VALUE"""),2.0)</f>
        <v>2</v>
      </c>
      <c r="AB138" s="48" t="str">
        <f>IFERROR(__xludf.DUMMYFUNCTION("""COMPUTED_VALUE"""),"PT PATRA LOGISTIK")</f>
        <v>PT PATRA LOGISTIK</v>
      </c>
      <c r="AC138" s="48" t="str">
        <f>IFERROR(__xludf.DUMMYFUNCTION("""COMPUTED_VALUE"""),"B 9873 SFV")</f>
        <v>B 9873 SFV</v>
      </c>
      <c r="AD138" s="48" t="str">
        <f>IFERROR(__xludf.DUMMYFUNCTION("""COMPUTED_VALUE"""),"TLPG MEM GRESIK")</f>
        <v>TLPG MEM GRESIK</v>
      </c>
      <c r="AE138" s="17">
        <f>IFERROR(__xludf.DUMMYFUNCTION("""COMPUTED_VALUE"""),9.0)</f>
        <v>9</v>
      </c>
    </row>
    <row r="139">
      <c r="A139" s="12">
        <v>137.0</v>
      </c>
      <c r="B139" s="9" t="s">
        <v>170</v>
      </c>
      <c r="C139" s="9" t="s">
        <v>28</v>
      </c>
      <c r="D139" s="9" t="s">
        <v>423</v>
      </c>
      <c r="E139" s="49">
        <v>189.8</v>
      </c>
      <c r="F139" s="23" t="s">
        <v>454</v>
      </c>
      <c r="G139" s="9" t="str">
        <f>IFERROR(VLOOKUP(C139,'MASTER TLPG'!A:B,2,FALSE),"")</f>
        <v>-8.16862812274526, 114.38753900822569</v>
      </c>
      <c r="H139" s="9" t="str">
        <f>IFERROR(VLOOKUP(D139,'MASTER PERUSAHAAN'!A:B,2,FALSE),"")</f>
        <v>-7.822736134225171, 113.2274201718088</v>
      </c>
      <c r="J139" s="9" t="str">
        <f t="shared" si="1"/>
        <v>JAUH</v>
      </c>
      <c r="K139" s="11">
        <f t="shared" si="2"/>
        <v>3</v>
      </c>
      <c r="M139" s="17">
        <v>5.0</v>
      </c>
      <c r="N139" s="17"/>
      <c r="O139" s="17"/>
      <c r="P139" s="17"/>
      <c r="Q139" s="17"/>
      <c r="R139" s="17"/>
      <c r="S139" s="17"/>
      <c r="T139" s="17" t="str">
        <f>IFERROR(__xludf.DUMMYFUNCTION("""COMPUTED_VALUE"""),"DK 8902 UW")</f>
        <v>DK 8902 UW</v>
      </c>
      <c r="U139" s="17" t="str">
        <f>IFERROR(__xludf.DUMMYFUNCTION("""COMPUTED_VALUE"""),"TLPG MANGGIS")</f>
        <v>TLPG MANGGIS</v>
      </c>
      <c r="V139" s="17" t="str">
        <f>IFERROR(__xludf.DUMMYFUNCTION("""COMPUTED_VALUE"""),"PT. Gaya Investama")</f>
        <v>PT. Gaya Investama</v>
      </c>
      <c r="W139" s="17">
        <f>IFERROR(__xludf.DUMMYFUNCTION("""COMPUTED_VALUE"""),102.0)</f>
        <v>102</v>
      </c>
      <c r="X139" s="17" t="str">
        <f>IFERROR(__xludf.DUMMYFUNCTION("""COMPUTED_VALUE"""),"SEDANG")</f>
        <v>SEDANG</v>
      </c>
      <c r="Y139" s="17">
        <f>IFERROR(__xludf.DUMMYFUNCTION("""COMPUTED_VALUE"""),2.0)</f>
        <v>2</v>
      </c>
      <c r="Z139" s="17">
        <f>IFERROR(__xludf.DUMMYFUNCTION("""COMPUTED_VALUE"""),8.0)</f>
        <v>8</v>
      </c>
      <c r="AB139" s="48" t="str">
        <f>IFERROR(__xludf.DUMMYFUNCTION("""COMPUTED_VALUE"""),"PT PATRA LOGISTIK")</f>
        <v>PT PATRA LOGISTIK</v>
      </c>
      <c r="AC139" s="48" t="str">
        <f>IFERROR(__xludf.DUMMYFUNCTION("""COMPUTED_VALUE"""),"B 9874 SFV")</f>
        <v>B 9874 SFV</v>
      </c>
      <c r="AD139" s="48" t="str">
        <f>IFERROR(__xludf.DUMMYFUNCTION("""COMPUTED_VALUE"""),"TLPG MEM GRESIK")</f>
        <v>TLPG MEM GRESIK</v>
      </c>
      <c r="AE139" s="17">
        <f>IFERROR(__xludf.DUMMYFUNCTION("""COMPUTED_VALUE"""),9.0)</f>
        <v>9</v>
      </c>
    </row>
    <row r="140">
      <c r="A140" s="12">
        <v>138.0</v>
      </c>
      <c r="B140" s="9" t="s">
        <v>171</v>
      </c>
      <c r="C140" s="9" t="s">
        <v>28</v>
      </c>
      <c r="D140" s="9" t="s">
        <v>184</v>
      </c>
      <c r="E140" s="9"/>
      <c r="G140" s="9" t="str">
        <f>IFERROR(VLOOKUP(C140,'MASTER TLPG'!A:B,2,FALSE),"")</f>
        <v>-8.16862812274526, 114.38753900822569</v>
      </c>
      <c r="H140" s="9" t="str">
        <f>IFERROR(VLOOKUP(D140,'MASTER PERUSAHAAN'!A:B,2,FALSE),"")</f>
        <v/>
      </c>
      <c r="J140" s="9" t="str">
        <f t="shared" si="1"/>
        <v/>
      </c>
      <c r="K140" s="11" t="str">
        <f t="shared" si="2"/>
        <v/>
      </c>
      <c r="M140" s="17">
        <v>5.0</v>
      </c>
      <c r="N140" s="17"/>
      <c r="O140" s="17"/>
      <c r="P140" s="17"/>
      <c r="Q140" s="17"/>
      <c r="R140" s="17"/>
      <c r="S140" s="17"/>
      <c r="T140" s="17" t="str">
        <f>IFERROR(__xludf.DUMMYFUNCTION("""COMPUTED_VALUE"""),"AG 8263 UW")</f>
        <v>AG 8263 UW</v>
      </c>
      <c r="U140" s="17" t="str">
        <f>IFERROR(__xludf.DUMMYFUNCTION("""COMPUTED_VALUE"""),"TLPG TJ PERAK")</f>
        <v>TLPG TJ PERAK</v>
      </c>
      <c r="V140" s="17" t="str">
        <f>IFERROR(__xludf.DUMMYFUNCTION("""COMPUTED_VALUE"""),"PT LAMONGAN JOYO")</f>
        <v>PT LAMONGAN JOYO</v>
      </c>
      <c r="W140" s="17">
        <f>IFERROR(__xludf.DUMMYFUNCTION("""COMPUTED_VALUE"""),101.5)</f>
        <v>101.5</v>
      </c>
      <c r="X140" s="17" t="str">
        <f>IFERROR(__xludf.DUMMYFUNCTION("""COMPUTED_VALUE"""),"SEDANG")</f>
        <v>SEDANG</v>
      </c>
      <c r="Y140" s="17">
        <f>IFERROR(__xludf.DUMMYFUNCTION("""COMPUTED_VALUE"""),2.0)</f>
        <v>2</v>
      </c>
      <c r="Z140" s="17">
        <f>IFERROR(__xludf.DUMMYFUNCTION("""COMPUTED_VALUE"""),3.0)</f>
        <v>3</v>
      </c>
      <c r="AB140" s="48" t="str">
        <f>IFERROR(__xludf.DUMMYFUNCTION("""COMPUTED_VALUE"""),"PT PATRA LOGISTIK")</f>
        <v>PT PATRA LOGISTIK</v>
      </c>
      <c r="AC140" s="48" t="str">
        <f>IFERROR(__xludf.DUMMYFUNCTION("""COMPUTED_VALUE"""),"B 9870 SFV")</f>
        <v>B 9870 SFV</v>
      </c>
      <c r="AD140" s="48" t="str">
        <f>IFERROR(__xludf.DUMMYFUNCTION("""COMPUTED_VALUE"""),"TLPG MEM GRESIK")</f>
        <v>TLPG MEM GRESIK</v>
      </c>
      <c r="AE140" s="17">
        <f>IFERROR(__xludf.DUMMYFUNCTION("""COMPUTED_VALUE"""),10.0)</f>
        <v>10</v>
      </c>
    </row>
    <row r="141">
      <c r="A141" s="12">
        <v>139.0</v>
      </c>
      <c r="B141" s="9" t="s">
        <v>172</v>
      </c>
      <c r="C141" s="9" t="s">
        <v>7</v>
      </c>
      <c r="D141" s="9" t="s">
        <v>426</v>
      </c>
      <c r="E141" s="49">
        <v>11.9</v>
      </c>
      <c r="F141" s="23" t="s">
        <v>454</v>
      </c>
      <c r="G141" s="9" t="str">
        <f>IFERROR(VLOOKUP(C141,'MASTER TLPG'!A:B,2,FALSE),"")</f>
        <v>-7.203807110524606, 112.71950675497641</v>
      </c>
      <c r="H141" s="9" t="str">
        <f>IFERROR(VLOOKUP(D141,'MASTER PERUSAHAAN'!A:B,2,FALSE),"")</f>
        <v>-7.244034734594845, 112.68083884556799</v>
      </c>
      <c r="J141" s="9" t="str">
        <f t="shared" si="1"/>
        <v>DEKAT</v>
      </c>
      <c r="K141" s="11">
        <f t="shared" si="2"/>
        <v>1</v>
      </c>
      <c r="M141" s="17">
        <v>6.0</v>
      </c>
      <c r="N141" s="17"/>
      <c r="O141" s="17"/>
      <c r="P141" s="17"/>
      <c r="Q141" s="17"/>
      <c r="R141" s="17"/>
      <c r="S141" s="17"/>
      <c r="T141" s="17" t="str">
        <f>IFERROR(__xludf.DUMMYFUNCTION("""COMPUTED_VALUE"""),"M 8025 UN")</f>
        <v>M 8025 UN</v>
      </c>
      <c r="U141" s="17" t="str">
        <f>IFERROR(__xludf.DUMMYFUNCTION("""COMPUTED_VALUE"""),"TLPG TJ PERAK")</f>
        <v>TLPG TJ PERAK</v>
      </c>
      <c r="V141" s="17" t="str">
        <f>IFERROR(__xludf.DUMMYFUNCTION("""COMPUTED_VALUE"""),"PT ASAPERKASA ABIMULYA")</f>
        <v>PT ASAPERKASA ABIMULYA</v>
      </c>
      <c r="W141" s="17">
        <f>IFERROR(__xludf.DUMMYFUNCTION("""COMPUTED_VALUE"""),101.3)</f>
        <v>101.3</v>
      </c>
      <c r="X141" s="17" t="str">
        <f>IFERROR(__xludf.DUMMYFUNCTION("""COMPUTED_VALUE"""),"SEDANG")</f>
        <v>SEDANG</v>
      </c>
      <c r="Y141" s="17">
        <f>IFERROR(__xludf.DUMMYFUNCTION("""COMPUTED_VALUE"""),2.0)</f>
        <v>2</v>
      </c>
      <c r="Z141" s="17">
        <f>IFERROR(__xludf.DUMMYFUNCTION("""COMPUTED_VALUE"""),7.0)</f>
        <v>7</v>
      </c>
      <c r="AB141" s="48" t="str">
        <f>IFERROR(__xludf.DUMMYFUNCTION("""COMPUTED_VALUE"""),"PT PATRA LOGISTIK")</f>
        <v>PT PATRA LOGISTIK</v>
      </c>
      <c r="AC141" s="48" t="str">
        <f>IFERROR(__xludf.DUMMYFUNCTION("""COMPUTED_VALUE"""),"B 9868 SFV")</f>
        <v>B 9868 SFV</v>
      </c>
      <c r="AD141" s="48" t="str">
        <f>IFERROR(__xludf.DUMMYFUNCTION("""COMPUTED_VALUE"""),"TLPG MEM GRESIK")</f>
        <v>TLPG MEM GRESIK</v>
      </c>
      <c r="AE141" s="17">
        <f>IFERROR(__xludf.DUMMYFUNCTION("""COMPUTED_VALUE"""),11.0)</f>
        <v>11</v>
      </c>
    </row>
    <row r="142">
      <c r="A142" s="12">
        <v>140.0</v>
      </c>
      <c r="B142" s="9" t="s">
        <v>173</v>
      </c>
      <c r="C142" s="9" t="s">
        <v>7</v>
      </c>
      <c r="D142" s="9" t="s">
        <v>426</v>
      </c>
      <c r="E142" s="49">
        <v>11.9</v>
      </c>
      <c r="F142" s="23" t="s">
        <v>454</v>
      </c>
      <c r="G142" s="9" t="str">
        <f>IFERROR(VLOOKUP(C142,'MASTER TLPG'!A:B,2,FALSE),"")</f>
        <v>-7.203807110524606, 112.71950675497641</v>
      </c>
      <c r="H142" s="9" t="str">
        <f>IFERROR(VLOOKUP(D142,'MASTER PERUSAHAAN'!A:B,2,FALSE),"")</f>
        <v>-7.244034734594845, 112.68083884556799</v>
      </c>
      <c r="J142" s="9" t="str">
        <f t="shared" si="1"/>
        <v>DEKAT</v>
      </c>
      <c r="K142" s="11">
        <f t="shared" si="2"/>
        <v>1</v>
      </c>
      <c r="M142" s="17">
        <v>6.0</v>
      </c>
      <c r="N142" s="17"/>
      <c r="O142" s="17"/>
      <c r="P142" s="17"/>
      <c r="Q142" s="17"/>
      <c r="R142" s="17"/>
      <c r="S142" s="17"/>
      <c r="T142" s="17" t="str">
        <f>IFERROR(__xludf.DUMMYFUNCTION("""COMPUTED_VALUE"""),"M 9489 UN")</f>
        <v>M 9489 UN</v>
      </c>
      <c r="U142" s="17" t="str">
        <f>IFERROR(__xludf.DUMMYFUNCTION("""COMPUTED_VALUE"""),"TLPG TJ PERAK")</f>
        <v>TLPG TJ PERAK</v>
      </c>
      <c r="V142" s="17" t="str">
        <f>IFERROR(__xludf.DUMMYFUNCTION("""COMPUTED_VALUE"""),"PT ASAPERKASA ABIMULYA")</f>
        <v>PT ASAPERKASA ABIMULYA</v>
      </c>
      <c r="W142" s="17">
        <f>IFERROR(__xludf.DUMMYFUNCTION("""COMPUTED_VALUE"""),101.3)</f>
        <v>101.3</v>
      </c>
      <c r="X142" s="17" t="str">
        <f>IFERROR(__xludf.DUMMYFUNCTION("""COMPUTED_VALUE"""),"SEDANG")</f>
        <v>SEDANG</v>
      </c>
      <c r="Y142" s="17">
        <f>IFERROR(__xludf.DUMMYFUNCTION("""COMPUTED_VALUE"""),2.0)</f>
        <v>2</v>
      </c>
      <c r="Z142" s="17">
        <f>IFERROR(__xludf.DUMMYFUNCTION("""COMPUTED_VALUE"""),7.0)</f>
        <v>7</v>
      </c>
      <c r="AB142" s="48" t="str">
        <f>IFERROR(__xludf.DUMMYFUNCTION("""COMPUTED_VALUE"""),"PT PATRA LOGISTIK")</f>
        <v>PT PATRA LOGISTIK</v>
      </c>
      <c r="AC142" s="48" t="str">
        <f>IFERROR(__xludf.DUMMYFUNCTION("""COMPUTED_VALUE"""),"B 9871 SFV")</f>
        <v>B 9871 SFV</v>
      </c>
      <c r="AD142" s="48" t="str">
        <f>IFERROR(__xludf.DUMMYFUNCTION("""COMPUTED_VALUE"""),"TLPG MEM GRESIK")</f>
        <v>TLPG MEM GRESIK</v>
      </c>
      <c r="AE142" s="17">
        <f>IFERROR(__xludf.DUMMYFUNCTION("""COMPUTED_VALUE"""),11.0)</f>
        <v>11</v>
      </c>
    </row>
    <row r="143">
      <c r="A143" s="12">
        <v>141.0</v>
      </c>
      <c r="B143" s="9" t="s">
        <v>174</v>
      </c>
      <c r="C143" s="9" t="s">
        <v>25</v>
      </c>
      <c r="D143" s="9" t="s">
        <v>83</v>
      </c>
      <c r="E143" s="9"/>
      <c r="G143" s="9" t="str">
        <f>IFERROR(VLOOKUP(C143,'MASTER TLPG'!A:B,2,FALSE),"")</f>
        <v>-7.109201954744449, 112.62272164861744</v>
      </c>
      <c r="H143" s="9" t="str">
        <f>IFERROR(VLOOKUP(D143,'MASTER PERUSAHAAN'!A:B,2,FALSE),"")</f>
        <v/>
      </c>
      <c r="J143" s="9" t="str">
        <f t="shared" si="1"/>
        <v/>
      </c>
      <c r="K143" s="11" t="str">
        <f t="shared" si="2"/>
        <v/>
      </c>
      <c r="M143" s="17">
        <v>6.0</v>
      </c>
      <c r="N143" s="17"/>
      <c r="O143" s="17"/>
      <c r="P143" s="17"/>
      <c r="Q143" s="17"/>
      <c r="R143" s="17"/>
      <c r="S143" s="17"/>
      <c r="T143" s="17" t="str">
        <f>IFERROR(__xludf.DUMMYFUNCTION("""COMPUTED_VALUE"""),"S 8052 UZ")</f>
        <v>S 8052 UZ</v>
      </c>
      <c r="U143" s="17" t="str">
        <f>IFERROR(__xludf.DUMMYFUNCTION("""COMPUTED_VALUE"""),"TLPG TJ PERAK")</f>
        <v>TLPG TJ PERAK</v>
      </c>
      <c r="V143" s="17" t="str">
        <f>IFERROR(__xludf.DUMMYFUNCTION("""COMPUTED_VALUE"""),"PT SUMBER BINA USAHA MANDIRI")</f>
        <v>PT SUMBER BINA USAHA MANDIRI</v>
      </c>
      <c r="W143" s="17">
        <f>IFERROR(__xludf.DUMMYFUNCTION("""COMPUTED_VALUE"""),98.5)</f>
        <v>98.5</v>
      </c>
      <c r="X143" s="17" t="str">
        <f>IFERROR(__xludf.DUMMYFUNCTION("""COMPUTED_VALUE"""),"SEDANG")</f>
        <v>SEDANG</v>
      </c>
      <c r="Y143" s="17">
        <f>IFERROR(__xludf.DUMMYFUNCTION("""COMPUTED_VALUE"""),2.0)</f>
        <v>2</v>
      </c>
      <c r="Z143" s="17">
        <f>IFERROR(__xludf.DUMMYFUNCTION("""COMPUTED_VALUE"""),10.0)</f>
        <v>10</v>
      </c>
      <c r="AB143" s="48" t="str">
        <f>IFERROR(__xludf.DUMMYFUNCTION("""COMPUTED_VALUE"""),"PT PATRA LOGISTIK")</f>
        <v>PT PATRA LOGISTIK</v>
      </c>
      <c r="AC143" s="48" t="str">
        <f>IFERROR(__xludf.DUMMYFUNCTION("""COMPUTED_VALUE"""),"B 9872 SFV")</f>
        <v>B 9872 SFV</v>
      </c>
      <c r="AD143" s="48" t="str">
        <f>IFERROR(__xludf.DUMMYFUNCTION("""COMPUTED_VALUE"""),"TLPG MEM GRESIK")</f>
        <v>TLPG MEM GRESIK</v>
      </c>
      <c r="AE143" s="17">
        <f>IFERROR(__xludf.DUMMYFUNCTION("""COMPUTED_VALUE"""),12.0)</f>
        <v>12</v>
      </c>
    </row>
    <row r="144">
      <c r="A144" s="12">
        <v>142.0</v>
      </c>
      <c r="B144" s="9" t="s">
        <v>176</v>
      </c>
      <c r="C144" s="9" t="s">
        <v>32</v>
      </c>
      <c r="D144" s="9" t="s">
        <v>421</v>
      </c>
      <c r="E144" s="49">
        <v>55.1</v>
      </c>
      <c r="F144" s="23" t="s">
        <v>454</v>
      </c>
      <c r="G144" s="9" t="str">
        <f>IFERROR(VLOOKUP(C144,'MASTER TLPG'!A:B,2,FALSE),"")</f>
        <v>-8.509457097470957, 115.50344705076587</v>
      </c>
      <c r="H144" s="9" t="str">
        <f>IFERROR(VLOOKUP(D144,'MASTER PERUSAHAAN'!A:B,2,FALSE),"")</f>
        <v>-8.582360747970581, 115.12620459535853</v>
      </c>
      <c r="J144" s="9" t="str">
        <f t="shared" si="1"/>
        <v>SEDANG</v>
      </c>
      <c r="K144" s="11">
        <f t="shared" si="2"/>
        <v>2</v>
      </c>
      <c r="M144" s="17">
        <v>6.0</v>
      </c>
      <c r="N144" s="17"/>
      <c r="O144" s="17"/>
      <c r="P144" s="17"/>
      <c r="Q144" s="17"/>
      <c r="R144" s="17"/>
      <c r="S144" s="17"/>
      <c r="T144" s="17" t="str">
        <f>IFERROR(__xludf.DUMMYFUNCTION("""COMPUTED_VALUE"""),"S 8141 UZ")</f>
        <v>S 8141 UZ</v>
      </c>
      <c r="U144" s="17" t="str">
        <f>IFERROR(__xludf.DUMMYFUNCTION("""COMPUTED_VALUE"""),"TLPG TJ PERAK")</f>
        <v>TLPG TJ PERAK</v>
      </c>
      <c r="V144" s="17" t="str">
        <f>IFERROR(__xludf.DUMMYFUNCTION("""COMPUTED_VALUE"""),"PT SUMBER BINA USAHA MANDIRI")</f>
        <v>PT SUMBER BINA USAHA MANDIRI</v>
      </c>
      <c r="W144" s="17">
        <f>IFERROR(__xludf.DUMMYFUNCTION("""COMPUTED_VALUE"""),98.5)</f>
        <v>98.5</v>
      </c>
      <c r="X144" s="17" t="str">
        <f>IFERROR(__xludf.DUMMYFUNCTION("""COMPUTED_VALUE"""),"SEDANG")</f>
        <v>SEDANG</v>
      </c>
      <c r="Y144" s="17">
        <f>IFERROR(__xludf.DUMMYFUNCTION("""COMPUTED_VALUE"""),2.0)</f>
        <v>2</v>
      </c>
      <c r="Z144" s="17">
        <f>IFERROR(__xludf.DUMMYFUNCTION("""COMPUTED_VALUE"""),10.0)</f>
        <v>10</v>
      </c>
      <c r="AB144" s="48" t="str">
        <f>IFERROR(__xludf.DUMMYFUNCTION("""COMPUTED_VALUE"""),"PT PATRA NIAGA")</f>
        <v>PT PATRA NIAGA</v>
      </c>
      <c r="AC144" s="48" t="str">
        <f>IFERROR(__xludf.DUMMYFUNCTION("""COMPUTED_VALUE"""),"B 9089 SEI")</f>
        <v>B 9089 SEI</v>
      </c>
      <c r="AD144" s="48" t="str">
        <f>IFERROR(__xludf.DUMMYFUNCTION("""COMPUTED_VALUE"""),"TLPG MEM GRESIK")</f>
        <v>TLPG MEM GRESIK</v>
      </c>
      <c r="AE144" s="17">
        <f>IFERROR(__xludf.DUMMYFUNCTION("""COMPUTED_VALUE"""),1.0)</f>
        <v>1</v>
      </c>
    </row>
    <row r="145">
      <c r="A145" s="12">
        <v>143.0</v>
      </c>
      <c r="B145" s="9" t="s">
        <v>177</v>
      </c>
      <c r="C145" s="9" t="s">
        <v>32</v>
      </c>
      <c r="D145" s="9" t="s">
        <v>421</v>
      </c>
      <c r="E145" s="49">
        <v>55.1</v>
      </c>
      <c r="F145" s="23" t="s">
        <v>454</v>
      </c>
      <c r="G145" s="9" t="str">
        <f>IFERROR(VLOOKUP(C145,'MASTER TLPG'!A:B,2,FALSE),"")</f>
        <v>-8.509457097470957, 115.50344705076587</v>
      </c>
      <c r="H145" s="9" t="str">
        <f>IFERROR(VLOOKUP(D145,'MASTER PERUSAHAAN'!A:B,2,FALSE),"")</f>
        <v>-8.582360747970581, 115.12620459535853</v>
      </c>
      <c r="J145" s="9" t="str">
        <f t="shared" si="1"/>
        <v>SEDANG</v>
      </c>
      <c r="K145" s="11">
        <f t="shared" si="2"/>
        <v>2</v>
      </c>
      <c r="M145" s="17">
        <v>6.0</v>
      </c>
      <c r="N145" s="17"/>
      <c r="O145" s="17"/>
      <c r="P145" s="17"/>
      <c r="Q145" s="17"/>
      <c r="R145" s="17"/>
      <c r="S145" s="17"/>
      <c r="T145" s="17" t="str">
        <f>IFERROR(__xludf.DUMMYFUNCTION("""COMPUTED_VALUE"""),"L 9161 UB")</f>
        <v>L 9161 UB</v>
      </c>
      <c r="U145" s="17" t="str">
        <f>IFERROR(__xludf.DUMMYFUNCTION("""COMPUTED_VALUE"""),"TLPG TJ PERAK")</f>
        <v>TLPG TJ PERAK</v>
      </c>
      <c r="V145" s="17" t="str">
        <f>IFERROR(__xludf.DUMMYFUNCTION("""COMPUTED_VALUE"""),"PT GEHA INTI CITRA")</f>
        <v>PT GEHA INTI CITRA</v>
      </c>
      <c r="W145" s="17">
        <f>IFERROR(__xludf.DUMMYFUNCTION("""COMPUTED_VALUE"""),98.1)</f>
        <v>98.1</v>
      </c>
      <c r="X145" s="17" t="str">
        <f>IFERROR(__xludf.DUMMYFUNCTION("""COMPUTED_VALUE"""),"SEDANG")</f>
        <v>SEDANG</v>
      </c>
      <c r="Y145" s="17">
        <f>IFERROR(__xludf.DUMMYFUNCTION("""COMPUTED_VALUE"""),2.0)</f>
        <v>2</v>
      </c>
      <c r="Z145" s="17">
        <f>IFERROR(__xludf.DUMMYFUNCTION("""COMPUTED_VALUE"""),6.0)</f>
        <v>6</v>
      </c>
      <c r="AB145" s="48" t="str">
        <f>IFERROR(__xludf.DUMMYFUNCTION("""COMPUTED_VALUE"""),"PT PATRA NIAGA")</f>
        <v>PT PATRA NIAGA</v>
      </c>
      <c r="AC145" s="48" t="str">
        <f>IFERROR(__xludf.DUMMYFUNCTION("""COMPUTED_VALUE"""),"B 9098 SEI")</f>
        <v>B 9098 SEI</v>
      </c>
      <c r="AD145" s="48" t="str">
        <f>IFERROR(__xludf.DUMMYFUNCTION("""COMPUTED_VALUE"""),"TLPG MEM GRESIK")</f>
        <v>TLPG MEM GRESIK</v>
      </c>
      <c r="AE145" s="17">
        <f>IFERROR(__xludf.DUMMYFUNCTION("""COMPUTED_VALUE"""),2.0)</f>
        <v>2</v>
      </c>
    </row>
    <row r="146">
      <c r="A146" s="12">
        <v>144.0</v>
      </c>
      <c r="B146" s="9" t="s">
        <v>178</v>
      </c>
      <c r="C146" s="9" t="s">
        <v>32</v>
      </c>
      <c r="D146" s="9" t="s">
        <v>417</v>
      </c>
      <c r="E146" s="49">
        <v>3.0</v>
      </c>
      <c r="F146" s="23" t="s">
        <v>454</v>
      </c>
      <c r="G146" s="9" t="str">
        <f>IFERROR(VLOOKUP(C146,'MASTER TLPG'!A:B,2,FALSE),"")</f>
        <v>-8.509457097470957, 115.50344705076587</v>
      </c>
      <c r="H146" s="9" t="str">
        <f>IFERROR(VLOOKUP(D146,'MASTER PERUSAHAAN'!A:B,2,FALSE),"")</f>
        <v>-8.531027437564893, 115.4957452294829</v>
      </c>
      <c r="J146" s="9" t="str">
        <f t="shared" si="1"/>
        <v>DEKAT</v>
      </c>
      <c r="K146" s="11">
        <f t="shared" si="2"/>
        <v>1</v>
      </c>
      <c r="M146" s="17">
        <v>6.0</v>
      </c>
      <c r="N146" s="17"/>
      <c r="O146" s="17"/>
      <c r="P146" s="17"/>
      <c r="Q146" s="17"/>
      <c r="R146" s="17"/>
      <c r="S146" s="17"/>
      <c r="T146" s="17" t="str">
        <f>IFERROR(__xludf.DUMMYFUNCTION("""COMPUTED_VALUE"""),"L 9290 UQ")</f>
        <v>L 9290 UQ</v>
      </c>
      <c r="U146" s="17" t="str">
        <f>IFERROR(__xludf.DUMMYFUNCTION("""COMPUTED_VALUE"""),"TLPG TJ PERAK")</f>
        <v>TLPG TJ PERAK</v>
      </c>
      <c r="V146" s="17" t="str">
        <f>IFERROR(__xludf.DUMMYFUNCTION("""COMPUTED_VALUE"""),"PT GEHA INTI CITRA")</f>
        <v>PT GEHA INTI CITRA</v>
      </c>
      <c r="W146" s="17">
        <f>IFERROR(__xludf.DUMMYFUNCTION("""COMPUTED_VALUE"""),98.1)</f>
        <v>98.1</v>
      </c>
      <c r="X146" s="17" t="str">
        <f>IFERROR(__xludf.DUMMYFUNCTION("""COMPUTED_VALUE"""),"SEDANG")</f>
        <v>SEDANG</v>
      </c>
      <c r="Y146" s="17">
        <f>IFERROR(__xludf.DUMMYFUNCTION("""COMPUTED_VALUE"""),2.0)</f>
        <v>2</v>
      </c>
      <c r="Z146" s="17">
        <f>IFERROR(__xludf.DUMMYFUNCTION("""COMPUTED_VALUE"""),6.0)</f>
        <v>6</v>
      </c>
      <c r="AB146" s="48" t="str">
        <f>IFERROR(__xludf.DUMMYFUNCTION("""COMPUTED_VALUE"""),"PT PATRA NIAGA")</f>
        <v>PT PATRA NIAGA</v>
      </c>
      <c r="AC146" s="48" t="str">
        <f>IFERROR(__xludf.DUMMYFUNCTION("""COMPUTED_VALUE"""),"B 9099 SEI")</f>
        <v>B 9099 SEI</v>
      </c>
      <c r="AD146" s="48" t="str">
        <f>IFERROR(__xludf.DUMMYFUNCTION("""COMPUTED_VALUE"""),"TLPG MEM GRESIK")</f>
        <v>TLPG MEM GRESIK</v>
      </c>
      <c r="AE146" s="17">
        <f>IFERROR(__xludf.DUMMYFUNCTION("""COMPUTED_VALUE"""),2.0)</f>
        <v>2</v>
      </c>
    </row>
    <row r="147">
      <c r="A147" s="12">
        <v>145.0</v>
      </c>
      <c r="B147" s="9" t="s">
        <v>179</v>
      </c>
      <c r="C147" s="9" t="s">
        <v>5</v>
      </c>
      <c r="D147" s="9" t="s">
        <v>184</v>
      </c>
      <c r="E147" s="9"/>
      <c r="G147" s="9" t="str">
        <f>IFERROR(VLOOKUP(C147,'MASTER TLPG'!A:B,2,FALSE),"")</f>
        <v>-8.749911797697688, 116.03590255003817</v>
      </c>
      <c r="H147" s="9" t="str">
        <f>IFERROR(VLOOKUP(D147,'MASTER PERUSAHAAN'!A:B,2,FALSE),"")</f>
        <v/>
      </c>
      <c r="J147" s="9" t="str">
        <f t="shared" si="1"/>
        <v/>
      </c>
      <c r="K147" s="11" t="str">
        <f t="shared" si="2"/>
        <v/>
      </c>
      <c r="M147" s="17">
        <v>6.0</v>
      </c>
      <c r="N147" s="17"/>
      <c r="O147" s="17"/>
      <c r="P147" s="17"/>
      <c r="Q147" s="17"/>
      <c r="R147" s="17"/>
      <c r="S147" s="17"/>
      <c r="T147" s="17" t="str">
        <f>IFERROR(__xludf.DUMMYFUNCTION("""COMPUTED_VALUE"""),"L 8333 UCA")</f>
        <v>L 8333 UCA</v>
      </c>
      <c r="U147" s="17" t="str">
        <f>IFERROR(__xludf.DUMMYFUNCTION("""COMPUTED_VALUE"""),"TLPG TJ PERAK")</f>
        <v>TLPG TJ PERAK</v>
      </c>
      <c r="V147" s="17" t="str">
        <f>IFERROR(__xludf.DUMMYFUNCTION("""COMPUTED_VALUE"""),"PT GEHA INTI CITRA")</f>
        <v>PT GEHA INTI CITRA</v>
      </c>
      <c r="W147" s="17">
        <f>IFERROR(__xludf.DUMMYFUNCTION("""COMPUTED_VALUE"""),98.1)</f>
        <v>98.1</v>
      </c>
      <c r="X147" s="17" t="str">
        <f>IFERROR(__xludf.DUMMYFUNCTION("""COMPUTED_VALUE"""),"SEDANG")</f>
        <v>SEDANG</v>
      </c>
      <c r="Y147" s="17">
        <f>IFERROR(__xludf.DUMMYFUNCTION("""COMPUTED_VALUE"""),2.0)</f>
        <v>2</v>
      </c>
      <c r="Z147" s="17">
        <f>IFERROR(__xludf.DUMMYFUNCTION("""COMPUTED_VALUE"""),8.0)</f>
        <v>8</v>
      </c>
      <c r="AB147" s="48" t="str">
        <f>IFERROR(__xludf.DUMMYFUNCTION("""COMPUTED_VALUE"""),"PT PATRA NIAGA")</f>
        <v>PT PATRA NIAGA</v>
      </c>
      <c r="AC147" s="48" t="str">
        <f>IFERROR(__xludf.DUMMYFUNCTION("""COMPUTED_VALUE"""),"N 8857 UR")</f>
        <v>N 8857 UR</v>
      </c>
      <c r="AD147" s="48" t="str">
        <f>IFERROR(__xludf.DUMMYFUNCTION("""COMPUTED_VALUE"""),"TLPG MEM GRESIK")</f>
        <v>TLPG MEM GRESIK</v>
      </c>
      <c r="AE147" s="17">
        <f>IFERROR(__xludf.DUMMYFUNCTION("""COMPUTED_VALUE"""),2.0)</f>
        <v>2</v>
      </c>
    </row>
    <row r="148">
      <c r="A148" s="12">
        <v>146.0</v>
      </c>
      <c r="B148" s="9" t="s">
        <v>181</v>
      </c>
      <c r="C148" s="9" t="s">
        <v>5</v>
      </c>
      <c r="D148" s="9" t="s">
        <v>385</v>
      </c>
      <c r="E148" s="49">
        <v>74.3</v>
      </c>
      <c r="F148" s="23" t="s">
        <v>454</v>
      </c>
      <c r="G148" s="9" t="str">
        <f>IFERROR(VLOOKUP(C148,'MASTER TLPG'!A:B,2,FALSE),"")</f>
        <v>-8.749911797697688, 116.03590255003817</v>
      </c>
      <c r="H148" s="9" t="str">
        <f>IFERROR(VLOOKUP(D148,'MASTER PERUSAHAAN'!A:B,2,FALSE),"")</f>
        <v>-8.63352462568205, 116.43790941602066</v>
      </c>
      <c r="J148" s="9" t="str">
        <f t="shared" si="1"/>
        <v>SEDANG</v>
      </c>
      <c r="K148" s="11">
        <f t="shared" si="2"/>
        <v>2</v>
      </c>
      <c r="M148" s="17">
        <v>6.0</v>
      </c>
      <c r="N148" s="17"/>
      <c r="O148" s="17"/>
      <c r="P148" s="17"/>
      <c r="Q148" s="17"/>
      <c r="R148" s="17"/>
      <c r="S148" s="17"/>
      <c r="T148" s="17" t="str">
        <f>IFERROR(__xludf.DUMMYFUNCTION("""COMPUTED_VALUE"""),"DR 8653 AG")</f>
        <v>DR 8653 AG</v>
      </c>
      <c r="U148" s="17" t="str">
        <f>IFERROR(__xludf.DUMMYFUNCTION("""COMPUTED_VALUE"""),"TLPG LOMBOK")</f>
        <v>TLPG LOMBOK</v>
      </c>
      <c r="V148" s="17" t="str">
        <f>IFERROR(__xludf.DUMMYFUNCTION("""COMPUTED_VALUE"""),"SPPBE-PT. Dinamika Utama Karya")</f>
        <v>SPPBE-PT. Dinamika Utama Karya</v>
      </c>
      <c r="W148" s="17">
        <f>IFERROR(__xludf.DUMMYFUNCTION("""COMPUTED_VALUE"""),95.2)</f>
        <v>95.2</v>
      </c>
      <c r="X148" s="17" t="str">
        <f>IFERROR(__xludf.DUMMYFUNCTION("""COMPUTED_VALUE"""),"SEDANG")</f>
        <v>SEDANG</v>
      </c>
      <c r="Y148" s="17">
        <f>IFERROR(__xludf.DUMMYFUNCTION("""COMPUTED_VALUE"""),2.0)</f>
        <v>2</v>
      </c>
      <c r="Z148" s="17">
        <f>IFERROR(__xludf.DUMMYFUNCTION("""COMPUTED_VALUE"""),8.0)</f>
        <v>8</v>
      </c>
      <c r="AB148" s="48" t="str">
        <f>IFERROR(__xludf.DUMMYFUNCTION("""COMPUTED_VALUE"""),"PT PATRA NIAGA")</f>
        <v>PT PATRA NIAGA</v>
      </c>
      <c r="AC148" s="48" t="str">
        <f>IFERROR(__xludf.DUMMYFUNCTION("""COMPUTED_VALUE"""),"B 9884 SFU")</f>
        <v>B 9884 SFU</v>
      </c>
      <c r="AD148" s="48" t="str">
        <f>IFERROR(__xludf.DUMMYFUNCTION("""COMPUTED_VALUE"""),"TLPG MEM GRESIK")</f>
        <v>TLPG MEM GRESIK</v>
      </c>
      <c r="AE148" s="17">
        <f>IFERROR(__xludf.DUMMYFUNCTION("""COMPUTED_VALUE"""),2.0)</f>
        <v>2</v>
      </c>
    </row>
    <row r="149">
      <c r="A149" s="12">
        <v>147.0</v>
      </c>
      <c r="B149" s="9" t="s">
        <v>182</v>
      </c>
      <c r="C149" s="9" t="s">
        <v>25</v>
      </c>
      <c r="D149" s="9" t="s">
        <v>83</v>
      </c>
      <c r="E149" s="9"/>
      <c r="G149" s="9" t="str">
        <f>IFERROR(VLOOKUP(C149,'MASTER TLPG'!A:B,2,FALSE),"")</f>
        <v>-7.109201954744449, 112.62272164861744</v>
      </c>
      <c r="H149" s="9" t="str">
        <f>IFERROR(VLOOKUP(D149,'MASTER PERUSAHAAN'!A:B,2,FALSE),"")</f>
        <v/>
      </c>
      <c r="J149" s="9" t="str">
        <f t="shared" si="1"/>
        <v/>
      </c>
      <c r="K149" s="11" t="str">
        <f t="shared" si="2"/>
        <v/>
      </c>
      <c r="M149" s="17">
        <v>6.0</v>
      </c>
      <c r="N149" s="17"/>
      <c r="O149" s="17"/>
      <c r="P149" s="17"/>
      <c r="Q149" s="17"/>
      <c r="R149" s="17"/>
      <c r="S149" s="17"/>
      <c r="T149" s="17" t="str">
        <f>IFERROR(__xludf.DUMMYFUNCTION("""COMPUTED_VALUE"""),"DR 8751 AF")</f>
        <v>DR 8751 AF</v>
      </c>
      <c r="U149" s="17" t="str">
        <f>IFERROR(__xludf.DUMMYFUNCTION("""COMPUTED_VALUE"""),"TLPG LOMBOK")</f>
        <v>TLPG LOMBOK</v>
      </c>
      <c r="V149" s="17" t="str">
        <f>IFERROR(__xludf.DUMMYFUNCTION("""COMPUTED_VALUE"""),"SPPBE-PT. Dinamika Utama Karya")</f>
        <v>SPPBE-PT. Dinamika Utama Karya</v>
      </c>
      <c r="W149" s="17">
        <f>IFERROR(__xludf.DUMMYFUNCTION("""COMPUTED_VALUE"""),95.2)</f>
        <v>95.2</v>
      </c>
      <c r="X149" s="17" t="str">
        <f>IFERROR(__xludf.DUMMYFUNCTION("""COMPUTED_VALUE"""),"SEDANG")</f>
        <v>SEDANG</v>
      </c>
      <c r="Y149" s="17">
        <f>IFERROR(__xludf.DUMMYFUNCTION("""COMPUTED_VALUE"""),2.0)</f>
        <v>2</v>
      </c>
      <c r="Z149" s="17">
        <f>IFERROR(__xludf.DUMMYFUNCTION("""COMPUTED_VALUE"""),9.0)</f>
        <v>9</v>
      </c>
      <c r="AB149" s="48" t="str">
        <f>IFERROR(__xludf.DUMMYFUNCTION("""COMPUTED_VALUE"""),"PT PATRA NIAGA")</f>
        <v>PT PATRA NIAGA</v>
      </c>
      <c r="AC149" s="48" t="str">
        <f>IFERROR(__xludf.DUMMYFUNCTION("""COMPUTED_VALUE"""),"B 9115 SEI")</f>
        <v>B 9115 SEI</v>
      </c>
      <c r="AD149" s="48" t="str">
        <f>IFERROR(__xludf.DUMMYFUNCTION("""COMPUTED_VALUE"""),"TLPG MEM GRESIK")</f>
        <v>TLPG MEM GRESIK</v>
      </c>
      <c r="AE149" s="17">
        <f>IFERROR(__xludf.DUMMYFUNCTION("""COMPUTED_VALUE"""),3.0)</f>
        <v>3</v>
      </c>
    </row>
    <row r="150">
      <c r="A150" s="12">
        <v>148.0</v>
      </c>
      <c r="B150" s="9" t="s">
        <v>183</v>
      </c>
      <c r="C150" s="9" t="s">
        <v>25</v>
      </c>
      <c r="D150" s="9" t="s">
        <v>83</v>
      </c>
      <c r="E150" s="9"/>
      <c r="G150" s="9" t="str">
        <f>IFERROR(VLOOKUP(C150,'MASTER TLPG'!A:B,2,FALSE),"")</f>
        <v>-7.109201954744449, 112.62272164861744</v>
      </c>
      <c r="H150" s="9" t="str">
        <f>IFERROR(VLOOKUP(D150,'MASTER PERUSAHAAN'!A:B,2,FALSE),"")</f>
        <v/>
      </c>
      <c r="J150" s="9" t="str">
        <f t="shared" si="1"/>
        <v/>
      </c>
      <c r="K150" s="11" t="str">
        <f t="shared" si="2"/>
        <v/>
      </c>
      <c r="M150" s="17">
        <v>6.0</v>
      </c>
      <c r="N150" s="17"/>
      <c r="O150" s="17"/>
      <c r="P150" s="17"/>
      <c r="Q150" s="17"/>
      <c r="R150" s="17"/>
      <c r="S150" s="17"/>
      <c r="T150" s="17" t="str">
        <f>IFERROR(__xludf.DUMMYFUNCTION("""COMPUTED_VALUE"""),"S 8236 UZ")</f>
        <v>S 8236 UZ</v>
      </c>
      <c r="U150" s="17" t="str">
        <f>IFERROR(__xludf.DUMMYFUNCTION("""COMPUTED_VALUE"""),"TLPG TJ PERAK")</f>
        <v>TLPG TJ PERAK</v>
      </c>
      <c r="V150" s="17" t="str">
        <f>IFERROR(__xludf.DUMMYFUNCTION("""COMPUTED_VALUE"""),"PT GAS BUMI NUSANTARA JAYA")</f>
        <v>PT GAS BUMI NUSANTARA JAYA</v>
      </c>
      <c r="W150" s="17">
        <f>IFERROR(__xludf.DUMMYFUNCTION("""COMPUTED_VALUE"""),94.9)</f>
        <v>94.9</v>
      </c>
      <c r="X150" s="17" t="str">
        <f>IFERROR(__xludf.DUMMYFUNCTION("""COMPUTED_VALUE"""),"SEDANG")</f>
        <v>SEDANG</v>
      </c>
      <c r="Y150" s="17">
        <f>IFERROR(__xludf.DUMMYFUNCTION("""COMPUTED_VALUE"""),2.0)</f>
        <v>2</v>
      </c>
      <c r="Z150" s="17">
        <f>IFERROR(__xludf.DUMMYFUNCTION("""COMPUTED_VALUE"""),10.0)</f>
        <v>10</v>
      </c>
      <c r="AB150" s="48" t="str">
        <f>IFERROR(__xludf.DUMMYFUNCTION("""COMPUTED_VALUE"""),"PT PATRA NIAGA")</f>
        <v>PT PATRA NIAGA</v>
      </c>
      <c r="AC150" s="48" t="str">
        <f>IFERROR(__xludf.DUMMYFUNCTION("""COMPUTED_VALUE"""),"B 9712 SFU")</f>
        <v>B 9712 SFU</v>
      </c>
      <c r="AD150" s="48" t="str">
        <f>IFERROR(__xludf.DUMMYFUNCTION("""COMPUTED_VALUE"""),"TLPG MEM GRESIK")</f>
        <v>TLPG MEM GRESIK</v>
      </c>
      <c r="AE150" s="17">
        <f>IFERROR(__xludf.DUMMYFUNCTION("""COMPUTED_VALUE"""),3.0)</f>
        <v>3</v>
      </c>
    </row>
    <row r="151">
      <c r="A151" s="12">
        <v>149.0</v>
      </c>
      <c r="B151" s="9" t="s">
        <v>185</v>
      </c>
      <c r="C151" s="9" t="s">
        <v>25</v>
      </c>
      <c r="D151" s="9" t="s">
        <v>83</v>
      </c>
      <c r="E151" s="9"/>
      <c r="G151" s="9" t="str">
        <f>IFERROR(VLOOKUP(C151,'MASTER TLPG'!A:B,2,FALSE),"")</f>
        <v>-7.109201954744449, 112.62272164861744</v>
      </c>
      <c r="H151" s="9" t="str">
        <f>IFERROR(VLOOKUP(D151,'MASTER PERUSAHAAN'!A:B,2,FALSE),"")</f>
        <v/>
      </c>
      <c r="J151" s="9" t="str">
        <f t="shared" si="1"/>
        <v/>
      </c>
      <c r="K151" s="11" t="str">
        <f t="shared" si="2"/>
        <v/>
      </c>
      <c r="M151" s="17">
        <v>6.0</v>
      </c>
      <c r="N151" s="17"/>
      <c r="O151" s="17"/>
      <c r="P151" s="17"/>
      <c r="Q151" s="17"/>
      <c r="R151" s="17"/>
      <c r="S151" s="17"/>
      <c r="T151" s="17" t="str">
        <f>IFERROR(__xludf.DUMMYFUNCTION("""COMPUTED_VALUE"""),"S 8237 UZ")</f>
        <v>S 8237 UZ</v>
      </c>
      <c r="U151" s="17" t="str">
        <f>IFERROR(__xludf.DUMMYFUNCTION("""COMPUTED_VALUE"""),"TLPG TJ PERAK")</f>
        <v>TLPG TJ PERAK</v>
      </c>
      <c r="V151" s="17" t="str">
        <f>IFERROR(__xludf.DUMMYFUNCTION("""COMPUTED_VALUE"""),"PT GAS BUMI NUSANTARA JAYA")</f>
        <v>PT GAS BUMI NUSANTARA JAYA</v>
      </c>
      <c r="W151" s="17">
        <f>IFERROR(__xludf.DUMMYFUNCTION("""COMPUTED_VALUE"""),94.9)</f>
        <v>94.9</v>
      </c>
      <c r="X151" s="17" t="str">
        <f>IFERROR(__xludf.DUMMYFUNCTION("""COMPUTED_VALUE"""),"SEDANG")</f>
        <v>SEDANG</v>
      </c>
      <c r="Y151" s="17">
        <f>IFERROR(__xludf.DUMMYFUNCTION("""COMPUTED_VALUE"""),2.0)</f>
        <v>2</v>
      </c>
      <c r="Z151" s="17">
        <f>IFERROR(__xludf.DUMMYFUNCTION("""COMPUTED_VALUE"""),11.0)</f>
        <v>11</v>
      </c>
      <c r="AB151" s="48" t="str">
        <f>IFERROR(__xludf.DUMMYFUNCTION("""COMPUTED_VALUE"""),"PT PATRA NIAGA")</f>
        <v>PT PATRA NIAGA</v>
      </c>
      <c r="AC151" s="48" t="str">
        <f>IFERROR(__xludf.DUMMYFUNCTION("""COMPUTED_VALUE"""),"B 9880 SFU")</f>
        <v>B 9880 SFU</v>
      </c>
      <c r="AD151" s="48" t="str">
        <f>IFERROR(__xludf.DUMMYFUNCTION("""COMPUTED_VALUE"""),"TLPG MEM GRESIK")</f>
        <v>TLPG MEM GRESIK</v>
      </c>
      <c r="AE151" s="17">
        <f>IFERROR(__xludf.DUMMYFUNCTION("""COMPUTED_VALUE"""),3.0)</f>
        <v>3</v>
      </c>
    </row>
    <row r="152">
      <c r="A152" s="12">
        <v>150.0</v>
      </c>
      <c r="B152" s="9" t="s">
        <v>186</v>
      </c>
      <c r="C152" s="9" t="s">
        <v>25</v>
      </c>
      <c r="D152" s="9" t="s">
        <v>226</v>
      </c>
      <c r="E152" s="49">
        <v>17.0</v>
      </c>
      <c r="F152" s="23" t="s">
        <v>454</v>
      </c>
      <c r="G152" s="9" t="str">
        <f>IFERROR(VLOOKUP(C152,'MASTER TLPG'!A:B,2,FALSE),"")</f>
        <v>-7.109201954744449, 112.62272164861744</v>
      </c>
      <c r="H152" s="9" t="str">
        <f>IFERROR(VLOOKUP(D152,'MASTER PERUSAHAAN'!A:B,2,FALSE),"")</f>
        <v>-7.199690597978902, 112.63913107063003</v>
      </c>
      <c r="J152" s="9" t="str">
        <f t="shared" si="1"/>
        <v>DEKAT</v>
      </c>
      <c r="K152" s="11">
        <f t="shared" si="2"/>
        <v>1</v>
      </c>
      <c r="M152" s="17">
        <v>6.0</v>
      </c>
      <c r="N152" s="17"/>
      <c r="O152" s="17"/>
      <c r="P152" s="17"/>
      <c r="Q152" s="17"/>
      <c r="R152" s="17"/>
      <c r="S152" s="17"/>
      <c r="T152" s="17" t="str">
        <f>IFERROR(__xludf.DUMMYFUNCTION("""COMPUTED_VALUE"""),"DK 8146 BZ")</f>
        <v>DK 8146 BZ</v>
      </c>
      <c r="U152" s="17" t="str">
        <f>IFERROR(__xludf.DUMMYFUNCTION("""COMPUTED_VALUE"""),"TLPG MANGGIS")</f>
        <v>TLPG MANGGIS</v>
      </c>
      <c r="V152" s="17" t="str">
        <f>IFERROR(__xludf.DUMMYFUNCTION("""COMPUTED_VALUE"""),"SPPBE-PT. Pande Agung Dewata")</f>
        <v>SPPBE-PT. Pande Agung Dewata</v>
      </c>
      <c r="W152" s="17">
        <f>IFERROR(__xludf.DUMMYFUNCTION("""COMPUTED_VALUE"""),93.9)</f>
        <v>93.9</v>
      </c>
      <c r="X152" s="17" t="str">
        <f>IFERROR(__xludf.DUMMYFUNCTION("""COMPUTED_VALUE"""),"SEDANG")</f>
        <v>SEDANG</v>
      </c>
      <c r="Y152" s="17">
        <f>IFERROR(__xludf.DUMMYFUNCTION("""COMPUTED_VALUE"""),2.0)</f>
        <v>2</v>
      </c>
      <c r="Z152" s="17">
        <f>IFERROR(__xludf.DUMMYFUNCTION("""COMPUTED_VALUE"""),3.0)</f>
        <v>3</v>
      </c>
      <c r="AB152" s="48" t="str">
        <f>IFERROR(__xludf.DUMMYFUNCTION("""COMPUTED_VALUE"""),"PT PATRA NIAGA")</f>
        <v>PT PATRA NIAGA</v>
      </c>
      <c r="AC152" s="48" t="str">
        <f>IFERROR(__xludf.DUMMYFUNCTION("""COMPUTED_VALUE"""),"L 9837 UJ")</f>
        <v>L 9837 UJ</v>
      </c>
      <c r="AD152" s="48" t="str">
        <f>IFERROR(__xludf.DUMMYFUNCTION("""COMPUTED_VALUE"""),"TLPG MEM GRESIK")</f>
        <v>TLPG MEM GRESIK</v>
      </c>
      <c r="AE152" s="17">
        <f>IFERROR(__xludf.DUMMYFUNCTION("""COMPUTED_VALUE"""),3.0)</f>
        <v>3</v>
      </c>
    </row>
    <row r="153">
      <c r="A153" s="12">
        <v>151.0</v>
      </c>
      <c r="B153" s="9" t="s">
        <v>187</v>
      </c>
      <c r="C153" s="9" t="s">
        <v>7</v>
      </c>
      <c r="D153" s="9" t="s">
        <v>246</v>
      </c>
      <c r="E153" s="49">
        <v>161.5</v>
      </c>
      <c r="F153" s="23" t="s">
        <v>454</v>
      </c>
      <c r="G153" s="9" t="str">
        <f>IFERROR(VLOOKUP(C153,'MASTER TLPG'!A:B,2,FALSE),"")</f>
        <v>-7.203807110524606, 112.71950675497641</v>
      </c>
      <c r="H153" s="9" t="str">
        <f>IFERROR(VLOOKUP(D153,'MASTER PERUSAHAAN'!A:B,2,FALSE),"")</f>
        <v>-8.084367375389595, 111.96057633481439</v>
      </c>
      <c r="J153" s="9" t="str">
        <f t="shared" si="1"/>
        <v>JAUH</v>
      </c>
      <c r="K153" s="11">
        <f t="shared" si="2"/>
        <v>3</v>
      </c>
      <c r="M153" s="17">
        <v>6.0</v>
      </c>
      <c r="N153" s="17"/>
      <c r="O153" s="17"/>
      <c r="P153" s="17"/>
      <c r="Q153" s="17"/>
      <c r="R153" s="17"/>
      <c r="S153" s="17"/>
      <c r="T153" s="17" t="str">
        <f>IFERROR(__xludf.DUMMYFUNCTION("""COMPUTED_VALUE"""),"DK 8859 CK")</f>
        <v>DK 8859 CK</v>
      </c>
      <c r="U153" s="17" t="str">
        <f>IFERROR(__xludf.DUMMYFUNCTION("""COMPUTED_VALUE"""),"TLPG MANGGIS")</f>
        <v>TLPG MANGGIS</v>
      </c>
      <c r="V153" s="17" t="str">
        <f>IFERROR(__xludf.DUMMYFUNCTION("""COMPUTED_VALUE"""),"SPPBE-PT. Pande Agung Dewata")</f>
        <v>SPPBE-PT. Pande Agung Dewata</v>
      </c>
      <c r="W153" s="17">
        <f>IFERROR(__xludf.DUMMYFUNCTION("""COMPUTED_VALUE"""),93.9)</f>
        <v>93.9</v>
      </c>
      <c r="X153" s="17" t="str">
        <f>IFERROR(__xludf.DUMMYFUNCTION("""COMPUTED_VALUE"""),"SEDANG")</f>
        <v>SEDANG</v>
      </c>
      <c r="Y153" s="17">
        <f>IFERROR(__xludf.DUMMYFUNCTION("""COMPUTED_VALUE"""),2.0)</f>
        <v>2</v>
      </c>
      <c r="Z153" s="17">
        <f>IFERROR(__xludf.DUMMYFUNCTION("""COMPUTED_VALUE"""),5.0)</f>
        <v>5</v>
      </c>
      <c r="AB153" s="48" t="str">
        <f>IFERROR(__xludf.DUMMYFUNCTION("""COMPUTED_VALUE"""),"PT PATRA NIAGA")</f>
        <v>PT PATRA NIAGA</v>
      </c>
      <c r="AC153" s="48" t="str">
        <f>IFERROR(__xludf.DUMMYFUNCTION("""COMPUTED_VALUE"""),"B 9088 SEI")</f>
        <v>B 9088 SEI</v>
      </c>
      <c r="AD153" s="48" t="str">
        <f>IFERROR(__xludf.DUMMYFUNCTION("""COMPUTED_VALUE"""),"TLPG MEM GRESIK")</f>
        <v>TLPG MEM GRESIK</v>
      </c>
      <c r="AE153" s="17">
        <f>IFERROR(__xludf.DUMMYFUNCTION("""COMPUTED_VALUE"""),4.0)</f>
        <v>4</v>
      </c>
    </row>
    <row r="154">
      <c r="A154" s="12">
        <v>152.0</v>
      </c>
      <c r="B154" s="9" t="s">
        <v>188</v>
      </c>
      <c r="C154" s="9" t="s">
        <v>7</v>
      </c>
      <c r="D154" s="9" t="s">
        <v>260</v>
      </c>
      <c r="E154" s="49">
        <v>10.1</v>
      </c>
      <c r="F154" s="23" t="s">
        <v>454</v>
      </c>
      <c r="G154" s="9" t="str">
        <f>IFERROR(VLOOKUP(C154,'MASTER TLPG'!A:B,2,FALSE),"")</f>
        <v>-7.203807110524606, 112.71950675497641</v>
      </c>
      <c r="H154" s="9" t="str">
        <f>IFERROR(VLOOKUP(D154,'MASTER PERUSAHAAN'!A:B,2,FALSE),"")</f>
        <v>-7.264626816889317, 112.70067502631132</v>
      </c>
      <c r="J154" s="9" t="str">
        <f t="shared" si="1"/>
        <v>DEKAT</v>
      </c>
      <c r="K154" s="11">
        <f t="shared" si="2"/>
        <v>1</v>
      </c>
      <c r="M154" s="17">
        <v>6.0</v>
      </c>
      <c r="N154" s="17"/>
      <c r="O154" s="17"/>
      <c r="P154" s="17"/>
      <c r="Q154" s="17"/>
      <c r="R154" s="17"/>
      <c r="S154" s="17"/>
      <c r="T154" s="17" t="str">
        <f>IFERROR(__xludf.DUMMYFUNCTION("""COMPUTED_VALUE"""),"DK 8565 BS")</f>
        <v>DK 8565 BS</v>
      </c>
      <c r="U154" s="17" t="str">
        <f>IFERROR(__xludf.DUMMYFUNCTION("""COMPUTED_VALUE"""),"TLPG MANGGIS")</f>
        <v>TLPG MANGGIS</v>
      </c>
      <c r="V154" s="17" t="str">
        <f>IFERROR(__xludf.DUMMYFUNCTION("""COMPUTED_VALUE"""),"SPPBE-PT. Pande Agung Dewata")</f>
        <v>SPPBE-PT. Pande Agung Dewata</v>
      </c>
      <c r="W154" s="17">
        <f>IFERROR(__xludf.DUMMYFUNCTION("""COMPUTED_VALUE"""),93.9)</f>
        <v>93.9</v>
      </c>
      <c r="X154" s="17" t="str">
        <f>IFERROR(__xludf.DUMMYFUNCTION("""COMPUTED_VALUE"""),"SEDANG")</f>
        <v>SEDANG</v>
      </c>
      <c r="Y154" s="17">
        <f>IFERROR(__xludf.DUMMYFUNCTION("""COMPUTED_VALUE"""),2.0)</f>
        <v>2</v>
      </c>
      <c r="Z154" s="17">
        <f>IFERROR(__xludf.DUMMYFUNCTION("""COMPUTED_VALUE"""),9.0)</f>
        <v>9</v>
      </c>
      <c r="AB154" s="48" t="str">
        <f>IFERROR(__xludf.DUMMYFUNCTION("""COMPUTED_VALUE"""),"PT PATRA NIAGA")</f>
        <v>PT PATRA NIAGA</v>
      </c>
      <c r="AC154" s="48" t="str">
        <f>IFERROR(__xludf.DUMMYFUNCTION("""COMPUTED_VALUE"""),"B 9882 SFU")</f>
        <v>B 9882 SFU</v>
      </c>
      <c r="AD154" s="48" t="str">
        <f>IFERROR(__xludf.DUMMYFUNCTION("""COMPUTED_VALUE"""),"TLPG MEM GRESIK")</f>
        <v>TLPG MEM GRESIK</v>
      </c>
      <c r="AE154" s="17">
        <f>IFERROR(__xludf.DUMMYFUNCTION("""COMPUTED_VALUE"""),4.0)</f>
        <v>4</v>
      </c>
    </row>
    <row r="155">
      <c r="A155" s="12">
        <v>153.0</v>
      </c>
      <c r="B155" s="9" t="s">
        <v>189</v>
      </c>
      <c r="C155" s="9" t="s">
        <v>7</v>
      </c>
      <c r="D155" s="9" t="s">
        <v>273</v>
      </c>
      <c r="E155" s="49">
        <v>98.1</v>
      </c>
      <c r="F155" s="23" t="s">
        <v>454</v>
      </c>
      <c r="G155" s="9" t="str">
        <f>IFERROR(VLOOKUP(C155,'MASTER TLPG'!A:B,2,FALSE),"")</f>
        <v>-7.203807110524606, 112.71950675497641</v>
      </c>
      <c r="H155" s="9" t="str">
        <f>IFERROR(VLOOKUP(D155,'MASTER PERUSAHAAN'!A:B,2,FALSE),"")</f>
        <v>-7.910804213977124, 112.6211504585962</v>
      </c>
      <c r="J155" s="9" t="str">
        <f t="shared" si="1"/>
        <v>SEDANG</v>
      </c>
      <c r="K155" s="11">
        <f t="shared" si="2"/>
        <v>2</v>
      </c>
      <c r="M155" s="17">
        <v>6.0</v>
      </c>
      <c r="N155" s="17"/>
      <c r="O155" s="17"/>
      <c r="P155" s="17"/>
      <c r="Q155" s="17"/>
      <c r="R155" s="17"/>
      <c r="S155" s="17"/>
      <c r="T155" s="17" t="str">
        <f>IFERROR(__xludf.DUMMYFUNCTION("""COMPUTED_VALUE"""),"S 9343 UZ")</f>
        <v>S 9343 UZ</v>
      </c>
      <c r="U155" s="17" t="str">
        <f>IFERROR(__xludf.DUMMYFUNCTION("""COMPUTED_VALUE"""),"TLPG TJ PERAK")</f>
        <v>TLPG TJ PERAK</v>
      </c>
      <c r="V155" s="17" t="str">
        <f>IFERROR(__xludf.DUMMYFUNCTION("""COMPUTED_VALUE"""),"PT DIVA GAS")</f>
        <v>PT DIVA GAS</v>
      </c>
      <c r="W155" s="17">
        <f>IFERROR(__xludf.DUMMYFUNCTION("""COMPUTED_VALUE"""),92.0)</f>
        <v>92</v>
      </c>
      <c r="X155" s="17" t="str">
        <f>IFERROR(__xludf.DUMMYFUNCTION("""COMPUTED_VALUE"""),"SEDANG")</f>
        <v>SEDANG</v>
      </c>
      <c r="Y155" s="17">
        <f>IFERROR(__xludf.DUMMYFUNCTION("""COMPUTED_VALUE"""),2.0)</f>
        <v>2</v>
      </c>
      <c r="Z155" s="17">
        <f>IFERROR(__xludf.DUMMYFUNCTION("""COMPUTED_VALUE"""),12.0)</f>
        <v>12</v>
      </c>
      <c r="AB155" s="48" t="str">
        <f>IFERROR(__xludf.DUMMYFUNCTION("""COMPUTED_VALUE"""),"PT PATRA NIAGA")</f>
        <v>PT PATRA NIAGA</v>
      </c>
      <c r="AC155" s="48" t="str">
        <f>IFERROR(__xludf.DUMMYFUNCTION("""COMPUTED_VALUE"""),"B 9883 SFU")</f>
        <v>B 9883 SFU</v>
      </c>
      <c r="AD155" s="48" t="str">
        <f>IFERROR(__xludf.DUMMYFUNCTION("""COMPUTED_VALUE"""),"TLPG MEM GRESIK")</f>
        <v>TLPG MEM GRESIK</v>
      </c>
      <c r="AE155" s="17">
        <f>IFERROR(__xludf.DUMMYFUNCTION("""COMPUTED_VALUE"""),4.0)</f>
        <v>4</v>
      </c>
    </row>
    <row r="156">
      <c r="A156" s="12">
        <v>154.0</v>
      </c>
      <c r="B156" s="9" t="s">
        <v>190</v>
      </c>
      <c r="C156" s="9" t="s">
        <v>7</v>
      </c>
      <c r="D156" s="9" t="s">
        <v>273</v>
      </c>
      <c r="E156" s="49">
        <v>98.1</v>
      </c>
      <c r="F156" s="23" t="s">
        <v>454</v>
      </c>
      <c r="G156" s="9" t="str">
        <f>IFERROR(VLOOKUP(C156,'MASTER TLPG'!A:B,2,FALSE),"")</f>
        <v>-7.203807110524606, 112.71950675497641</v>
      </c>
      <c r="H156" s="9" t="str">
        <f>IFERROR(VLOOKUP(D156,'MASTER PERUSAHAAN'!A:B,2,FALSE),"")</f>
        <v>-7.910804213977124, 112.6211504585962</v>
      </c>
      <c r="J156" s="9" t="str">
        <f t="shared" si="1"/>
        <v>SEDANG</v>
      </c>
      <c r="K156" s="11">
        <f t="shared" si="2"/>
        <v>2</v>
      </c>
      <c r="M156" s="17">
        <v>6.0</v>
      </c>
      <c r="N156" s="17"/>
      <c r="O156" s="17"/>
      <c r="P156" s="17"/>
      <c r="Q156" s="17"/>
      <c r="R156" s="17"/>
      <c r="S156" s="17"/>
      <c r="T156" s="17" t="str">
        <f>IFERROR(__xludf.DUMMYFUNCTION("""COMPUTED_VALUE"""),"S 8061 UC")</f>
        <v>S 8061 UC</v>
      </c>
      <c r="U156" s="17" t="str">
        <f>IFERROR(__xludf.DUMMYFUNCTION("""COMPUTED_VALUE"""),"TLPG TJ PERAK")</f>
        <v>TLPG TJ PERAK</v>
      </c>
      <c r="V156" s="17" t="str">
        <f>IFERROR(__xludf.DUMMYFUNCTION("""COMPUTED_VALUE"""),"PT LA TUNSA")</f>
        <v>PT LA TUNSA</v>
      </c>
      <c r="W156" s="17">
        <f>IFERROR(__xludf.DUMMYFUNCTION("""COMPUTED_VALUE"""),90.2)</f>
        <v>90.2</v>
      </c>
      <c r="X156" s="17" t="str">
        <f>IFERROR(__xludf.DUMMYFUNCTION("""COMPUTED_VALUE"""),"SEDANG")</f>
        <v>SEDANG</v>
      </c>
      <c r="Y156" s="17">
        <f>IFERROR(__xludf.DUMMYFUNCTION("""COMPUTED_VALUE"""),2.0)</f>
        <v>2</v>
      </c>
      <c r="Z156" s="17">
        <f>IFERROR(__xludf.DUMMYFUNCTION("""COMPUTED_VALUE"""),10.0)</f>
        <v>10</v>
      </c>
      <c r="AB156" s="48" t="str">
        <f>IFERROR(__xludf.DUMMYFUNCTION("""COMPUTED_VALUE"""),"PT PATRA NIAGA")</f>
        <v>PT PATRA NIAGA</v>
      </c>
      <c r="AC156" s="48" t="str">
        <f>IFERROR(__xludf.DUMMYFUNCTION("""COMPUTED_VALUE"""),"B 9717 SFU")</f>
        <v>B 9717 SFU</v>
      </c>
      <c r="AD156" s="48" t="str">
        <f>IFERROR(__xludf.DUMMYFUNCTION("""COMPUTED_VALUE"""),"TLPG MEM GRESIK")</f>
        <v>TLPG MEM GRESIK</v>
      </c>
      <c r="AE156" s="17">
        <f>IFERROR(__xludf.DUMMYFUNCTION("""COMPUTED_VALUE"""),5.0)</f>
        <v>5</v>
      </c>
    </row>
    <row r="157">
      <c r="A157" s="12">
        <v>155.0</v>
      </c>
      <c r="B157" s="9" t="s">
        <v>191</v>
      </c>
      <c r="C157" s="9" t="s">
        <v>7</v>
      </c>
      <c r="D157" s="9" t="s">
        <v>313</v>
      </c>
      <c r="E157" s="49">
        <v>161.5</v>
      </c>
      <c r="F157" s="23" t="s">
        <v>454</v>
      </c>
      <c r="G157" s="9" t="str">
        <f>IFERROR(VLOOKUP(C157,'MASTER TLPG'!A:B,2,FALSE),"")</f>
        <v>-7.203807110524606, 112.71950675497641</v>
      </c>
      <c r="H157" s="9" t="str">
        <f>IFERROR(VLOOKUP(D157,'MASTER PERUSAHAAN'!A:B,2,FALSE),"")</f>
        <v>-8.084457637552449, 111.96056645007089</v>
      </c>
      <c r="J157" s="9" t="str">
        <f t="shared" si="1"/>
        <v>JAUH</v>
      </c>
      <c r="K157" s="11">
        <f t="shared" si="2"/>
        <v>3</v>
      </c>
      <c r="M157" s="17">
        <v>6.0</v>
      </c>
      <c r="N157" s="17"/>
      <c r="O157" s="17"/>
      <c r="P157" s="17"/>
      <c r="Q157" s="17"/>
      <c r="R157" s="17"/>
      <c r="S157" s="17"/>
      <c r="T157" s="17" t="str">
        <f>IFERROR(__xludf.DUMMYFUNCTION("""COMPUTED_VALUE"""),"S 8752 UC")</f>
        <v>S 8752 UC</v>
      </c>
      <c r="U157" s="17" t="str">
        <f>IFERROR(__xludf.DUMMYFUNCTION("""COMPUTED_VALUE"""),"TLPG TJ PERAK")</f>
        <v>TLPG TJ PERAK</v>
      </c>
      <c r="V157" s="17" t="str">
        <f>IFERROR(__xludf.DUMMYFUNCTION("""COMPUTED_VALUE"""),"PT LA TUNSA")</f>
        <v>PT LA TUNSA</v>
      </c>
      <c r="W157" s="17">
        <f>IFERROR(__xludf.DUMMYFUNCTION("""COMPUTED_VALUE"""),90.2)</f>
        <v>90.2</v>
      </c>
      <c r="X157" s="17" t="str">
        <f>IFERROR(__xludf.DUMMYFUNCTION("""COMPUTED_VALUE"""),"SEDANG")</f>
        <v>SEDANG</v>
      </c>
      <c r="Y157" s="17">
        <f>IFERROR(__xludf.DUMMYFUNCTION("""COMPUTED_VALUE"""),2.0)</f>
        <v>2</v>
      </c>
      <c r="Z157" s="17">
        <f>IFERROR(__xludf.DUMMYFUNCTION("""COMPUTED_VALUE"""),11.0)</f>
        <v>11</v>
      </c>
      <c r="AB157" s="48" t="str">
        <f>IFERROR(__xludf.DUMMYFUNCTION("""COMPUTED_VALUE"""),"PT PATRA NIAGA")</f>
        <v>PT PATRA NIAGA</v>
      </c>
      <c r="AC157" s="48" t="str">
        <f>IFERROR(__xludf.DUMMYFUNCTION("""COMPUTED_VALUE"""),"B 9881 SFU")</f>
        <v>B 9881 SFU</v>
      </c>
      <c r="AD157" s="48" t="str">
        <f>IFERROR(__xludf.DUMMYFUNCTION("""COMPUTED_VALUE"""),"TLPG MEM GRESIK")</f>
        <v>TLPG MEM GRESIK</v>
      </c>
      <c r="AE157" s="17">
        <f>IFERROR(__xludf.DUMMYFUNCTION("""COMPUTED_VALUE"""),5.0)</f>
        <v>5</v>
      </c>
    </row>
    <row r="158">
      <c r="A158" s="12">
        <v>156.0</v>
      </c>
      <c r="B158" s="9" t="s">
        <v>192</v>
      </c>
      <c r="C158" s="9" t="s">
        <v>7</v>
      </c>
      <c r="D158" s="9" t="s">
        <v>313</v>
      </c>
      <c r="E158" s="49">
        <v>161.5</v>
      </c>
      <c r="F158" s="23" t="s">
        <v>454</v>
      </c>
      <c r="G158" s="9" t="str">
        <f>IFERROR(VLOOKUP(C158,'MASTER TLPG'!A:B,2,FALSE),"")</f>
        <v>-7.203807110524606, 112.71950675497641</v>
      </c>
      <c r="H158" s="9" t="str">
        <f>IFERROR(VLOOKUP(D158,'MASTER PERUSAHAAN'!A:B,2,FALSE),"")</f>
        <v>-8.084457637552449, 111.96056645007089</v>
      </c>
      <c r="J158" s="9" t="str">
        <f t="shared" si="1"/>
        <v>JAUH</v>
      </c>
      <c r="K158" s="11">
        <f t="shared" si="2"/>
        <v>3</v>
      </c>
      <c r="M158" s="17">
        <v>6.0</v>
      </c>
      <c r="N158" s="17"/>
      <c r="O158" s="17"/>
      <c r="P158" s="17"/>
      <c r="Q158" s="17"/>
      <c r="R158" s="17"/>
      <c r="S158" s="17"/>
      <c r="T158" s="17" t="str">
        <f>IFERROR(__xludf.DUMMYFUNCTION("""COMPUTED_VALUE"""),"N 8582 UE")</f>
        <v>N 8582 UE</v>
      </c>
      <c r="U158" s="17" t="str">
        <f>IFERROR(__xludf.DUMMYFUNCTION("""COMPUTED_VALUE"""),"TLPG TJ PERAK")</f>
        <v>TLPG TJ PERAK</v>
      </c>
      <c r="V158" s="17" t="str">
        <f>IFERROR(__xludf.DUMMYFUNCTION("""COMPUTED_VALUE"""),"PT TRIEN GASMIKU")</f>
        <v>PT TRIEN GASMIKU</v>
      </c>
      <c r="W158" s="17">
        <f>IFERROR(__xludf.DUMMYFUNCTION("""COMPUTED_VALUE"""),88.9)</f>
        <v>88.9</v>
      </c>
      <c r="X158" s="17" t="str">
        <f>IFERROR(__xludf.DUMMYFUNCTION("""COMPUTED_VALUE"""),"SEDANG")</f>
        <v>SEDANG</v>
      </c>
      <c r="Y158" s="17">
        <f>IFERROR(__xludf.DUMMYFUNCTION("""COMPUTED_VALUE"""),2.0)</f>
        <v>2</v>
      </c>
      <c r="Z158" s="17">
        <f>IFERROR(__xludf.DUMMYFUNCTION("""COMPUTED_VALUE"""),8.0)</f>
        <v>8</v>
      </c>
      <c r="AB158" s="48" t="str">
        <f>IFERROR(__xludf.DUMMYFUNCTION("""COMPUTED_VALUE"""),"PT PATRA NIAGA")</f>
        <v>PT PATRA NIAGA</v>
      </c>
      <c r="AC158" s="48" t="str">
        <f>IFERROR(__xludf.DUMMYFUNCTION("""COMPUTED_VALUE"""),"L 8079 UQ")</f>
        <v>L 8079 UQ</v>
      </c>
      <c r="AD158" s="48" t="str">
        <f>IFERROR(__xludf.DUMMYFUNCTION("""COMPUTED_VALUE"""),"TLPG MEM GRESIK")</f>
        <v>TLPG MEM GRESIK</v>
      </c>
      <c r="AE158" s="17">
        <f>IFERROR(__xludf.DUMMYFUNCTION("""COMPUTED_VALUE"""),5.0)</f>
        <v>5</v>
      </c>
    </row>
    <row r="159">
      <c r="A159" s="12">
        <v>157.0</v>
      </c>
      <c r="B159" s="9" t="s">
        <v>193</v>
      </c>
      <c r="C159" s="9" t="s">
        <v>7</v>
      </c>
      <c r="D159" s="9" t="s">
        <v>313</v>
      </c>
      <c r="E159" s="49">
        <v>161.5</v>
      </c>
      <c r="F159" s="23" t="s">
        <v>454</v>
      </c>
      <c r="G159" s="9" t="str">
        <f>IFERROR(VLOOKUP(C159,'MASTER TLPG'!A:B,2,FALSE),"")</f>
        <v>-7.203807110524606, 112.71950675497641</v>
      </c>
      <c r="H159" s="9" t="str">
        <f>IFERROR(VLOOKUP(D159,'MASTER PERUSAHAAN'!A:B,2,FALSE),"")</f>
        <v>-8.084457637552449, 111.96056645007089</v>
      </c>
      <c r="J159" s="9" t="str">
        <f t="shared" si="1"/>
        <v>JAUH</v>
      </c>
      <c r="K159" s="11">
        <f t="shared" si="2"/>
        <v>3</v>
      </c>
      <c r="M159" s="17">
        <v>6.0</v>
      </c>
      <c r="N159" s="17"/>
      <c r="O159" s="17"/>
      <c r="P159" s="17"/>
      <c r="Q159" s="17"/>
      <c r="R159" s="17"/>
      <c r="S159" s="17"/>
      <c r="T159" s="17" t="str">
        <f>IFERROR(__xludf.DUMMYFUNCTION("""COMPUTED_VALUE"""),"N 8660 UH")</f>
        <v>N 8660 UH</v>
      </c>
      <c r="U159" s="17" t="str">
        <f>IFERROR(__xludf.DUMMYFUNCTION("""COMPUTED_VALUE"""),"TLPG TJ PERAK")</f>
        <v>TLPG TJ PERAK</v>
      </c>
      <c r="V159" s="17" t="str">
        <f>IFERROR(__xludf.DUMMYFUNCTION("""COMPUTED_VALUE"""),"PT TRIEN GASMIKU")</f>
        <v>PT TRIEN GASMIKU</v>
      </c>
      <c r="W159" s="17">
        <f>IFERROR(__xludf.DUMMYFUNCTION("""COMPUTED_VALUE"""),88.9)</f>
        <v>88.9</v>
      </c>
      <c r="X159" s="17" t="str">
        <f>IFERROR(__xludf.DUMMYFUNCTION("""COMPUTED_VALUE"""),"SEDANG")</f>
        <v>SEDANG</v>
      </c>
      <c r="Y159" s="17">
        <f>IFERROR(__xludf.DUMMYFUNCTION("""COMPUTED_VALUE"""),2.0)</f>
        <v>2</v>
      </c>
      <c r="Z159" s="17">
        <f>IFERROR(__xludf.DUMMYFUNCTION("""COMPUTED_VALUE"""),8.0)</f>
        <v>8</v>
      </c>
      <c r="AB159" s="48" t="str">
        <f>IFERROR(__xludf.DUMMYFUNCTION("""COMPUTED_VALUE"""),"PT PATRA NIAGA")</f>
        <v>PT PATRA NIAGA</v>
      </c>
      <c r="AC159" s="48" t="str">
        <f>IFERROR(__xludf.DUMMYFUNCTION("""COMPUTED_VALUE"""),"L 8088 UR")</f>
        <v>L 8088 UR</v>
      </c>
      <c r="AD159" s="48" t="str">
        <f>IFERROR(__xludf.DUMMYFUNCTION("""COMPUTED_VALUE"""),"TLPG MEM GRESIK")</f>
        <v>TLPG MEM GRESIK</v>
      </c>
      <c r="AE159" s="17">
        <f>IFERROR(__xludf.DUMMYFUNCTION("""COMPUTED_VALUE"""),5.0)</f>
        <v>5</v>
      </c>
    </row>
    <row r="160">
      <c r="A160" s="12">
        <v>158.0</v>
      </c>
      <c r="B160" s="9" t="s">
        <v>194</v>
      </c>
      <c r="C160" s="9" t="s">
        <v>7</v>
      </c>
      <c r="D160" s="9" t="s">
        <v>313</v>
      </c>
      <c r="E160" s="49">
        <v>161.5</v>
      </c>
      <c r="F160" s="23" t="s">
        <v>454</v>
      </c>
      <c r="G160" s="9" t="str">
        <f>IFERROR(VLOOKUP(C160,'MASTER TLPG'!A:B,2,FALSE),"")</f>
        <v>-7.203807110524606, 112.71950675497641</v>
      </c>
      <c r="H160" s="9" t="str">
        <f>IFERROR(VLOOKUP(D160,'MASTER PERUSAHAAN'!A:B,2,FALSE),"")</f>
        <v>-8.084457637552449, 111.96056645007089</v>
      </c>
      <c r="J160" s="9" t="str">
        <f t="shared" si="1"/>
        <v>JAUH</v>
      </c>
      <c r="K160" s="11">
        <f t="shared" si="2"/>
        <v>3</v>
      </c>
      <c r="M160" s="17">
        <v>6.0</v>
      </c>
      <c r="N160" s="17"/>
      <c r="O160" s="17"/>
      <c r="P160" s="17"/>
      <c r="Q160" s="17"/>
      <c r="R160" s="17"/>
      <c r="S160" s="17"/>
      <c r="T160" s="17" t="str">
        <f>IFERROR(__xludf.DUMMYFUNCTION("""COMPUTED_VALUE"""),"L 8063 UUA")</f>
        <v>L 8063 UUA</v>
      </c>
      <c r="U160" s="17" t="str">
        <f>IFERROR(__xludf.DUMMYFUNCTION("""COMPUTED_VALUE"""),"TLPG TJ PERAK")</f>
        <v>TLPG TJ PERAK</v>
      </c>
      <c r="V160" s="17" t="str">
        <f>IFERROR(__xludf.DUMMYFUNCTION("""COMPUTED_VALUE"""),"PT TRIEN GASMIKU")</f>
        <v>PT TRIEN GASMIKU</v>
      </c>
      <c r="W160" s="17">
        <f>IFERROR(__xludf.DUMMYFUNCTION("""COMPUTED_VALUE"""),88.9)</f>
        <v>88.9</v>
      </c>
      <c r="X160" s="17" t="str">
        <f>IFERROR(__xludf.DUMMYFUNCTION("""COMPUTED_VALUE"""),"SEDANG")</f>
        <v>SEDANG</v>
      </c>
      <c r="Y160" s="17">
        <f>IFERROR(__xludf.DUMMYFUNCTION("""COMPUTED_VALUE"""),2.0)</f>
        <v>2</v>
      </c>
      <c r="Z160" s="17">
        <f>IFERROR(__xludf.DUMMYFUNCTION("""COMPUTED_VALUE"""),10.0)</f>
        <v>10</v>
      </c>
      <c r="AB160" s="48" t="str">
        <f>IFERROR(__xludf.DUMMYFUNCTION("""COMPUTED_VALUE"""),"PT PATRA NIAGA")</f>
        <v>PT PATRA NIAGA</v>
      </c>
      <c r="AC160" s="48" t="str">
        <f>IFERROR(__xludf.DUMMYFUNCTION("""COMPUTED_VALUE"""),"B 9123 SEI")</f>
        <v>B 9123 SEI</v>
      </c>
      <c r="AD160" s="48" t="str">
        <f>IFERROR(__xludf.DUMMYFUNCTION("""COMPUTED_VALUE"""),"TLPG MEM GRESIK")</f>
        <v>TLPG MEM GRESIK</v>
      </c>
      <c r="AE160" s="17">
        <f>IFERROR(__xludf.DUMMYFUNCTION("""COMPUTED_VALUE"""),6.0)</f>
        <v>6</v>
      </c>
    </row>
    <row r="161">
      <c r="A161" s="12">
        <v>159.0</v>
      </c>
      <c r="B161" s="9" t="s">
        <v>195</v>
      </c>
      <c r="C161" s="9" t="s">
        <v>7</v>
      </c>
      <c r="D161" s="9" t="s">
        <v>313</v>
      </c>
      <c r="E161" s="49">
        <v>161.5</v>
      </c>
      <c r="F161" s="23" t="s">
        <v>454</v>
      </c>
      <c r="G161" s="9" t="str">
        <f>IFERROR(VLOOKUP(C161,'MASTER TLPG'!A:B,2,FALSE),"")</f>
        <v>-7.203807110524606, 112.71950675497641</v>
      </c>
      <c r="H161" s="9" t="str">
        <f>IFERROR(VLOOKUP(D161,'MASTER PERUSAHAAN'!A:B,2,FALSE),"")</f>
        <v>-8.084457637552449, 111.96056645007089</v>
      </c>
      <c r="J161" s="9" t="str">
        <f t="shared" si="1"/>
        <v>JAUH</v>
      </c>
      <c r="K161" s="11">
        <f t="shared" si="2"/>
        <v>3</v>
      </c>
      <c r="M161" s="17">
        <v>6.0</v>
      </c>
      <c r="N161" s="17"/>
      <c r="O161" s="17"/>
      <c r="P161" s="17"/>
      <c r="Q161" s="17"/>
      <c r="R161" s="17"/>
      <c r="S161" s="17"/>
      <c r="T161" s="17" t="str">
        <f>IFERROR(__xludf.DUMMYFUNCTION("""COMPUTED_VALUE"""),"N 8469 US")</f>
        <v>N 8469 US</v>
      </c>
      <c r="U161" s="17" t="str">
        <f>IFERROR(__xludf.DUMMYFUNCTION("""COMPUTED_VALUE"""),"TLPG TJ PERAK")</f>
        <v>TLPG TJ PERAK</v>
      </c>
      <c r="V161" s="17" t="str">
        <f>IFERROR(__xludf.DUMMYFUNCTION("""COMPUTED_VALUE"""),"PT TRIEN GASMIKU")</f>
        <v>PT TRIEN GASMIKU</v>
      </c>
      <c r="W161" s="17">
        <f>IFERROR(__xludf.DUMMYFUNCTION("""COMPUTED_VALUE"""),88.9)</f>
        <v>88.9</v>
      </c>
      <c r="X161" s="17" t="str">
        <f>IFERROR(__xludf.DUMMYFUNCTION("""COMPUTED_VALUE"""),"SEDANG")</f>
        <v>SEDANG</v>
      </c>
      <c r="Y161" s="17">
        <f>IFERROR(__xludf.DUMMYFUNCTION("""COMPUTED_VALUE"""),2.0)</f>
        <v>2</v>
      </c>
      <c r="Z161" s="17">
        <f>IFERROR(__xludf.DUMMYFUNCTION("""COMPUTED_VALUE"""),10.0)</f>
        <v>10</v>
      </c>
      <c r="AB161" s="48" t="str">
        <f>IFERROR(__xludf.DUMMYFUNCTION("""COMPUTED_VALUE"""),"PT PATRA NIAGA")</f>
        <v>PT PATRA NIAGA</v>
      </c>
      <c r="AC161" s="48" t="str">
        <f>IFERROR(__xludf.DUMMYFUNCTION("""COMPUTED_VALUE"""),"L 8088 UO")</f>
        <v>L 8088 UO</v>
      </c>
      <c r="AD161" s="48" t="str">
        <f>IFERROR(__xludf.DUMMYFUNCTION("""COMPUTED_VALUE"""),"TLPG MEM GRESIK")</f>
        <v>TLPG MEM GRESIK</v>
      </c>
      <c r="AE161" s="17">
        <f>IFERROR(__xludf.DUMMYFUNCTION("""COMPUTED_VALUE"""),6.0)</f>
        <v>6</v>
      </c>
    </row>
    <row r="162">
      <c r="A162" s="12">
        <v>160.0</v>
      </c>
      <c r="B162" s="9" t="s">
        <v>196</v>
      </c>
      <c r="C162" s="9" t="s">
        <v>7</v>
      </c>
      <c r="D162" s="9" t="s">
        <v>359</v>
      </c>
      <c r="E162" s="49">
        <v>12.8</v>
      </c>
      <c r="F162" s="23" t="s">
        <v>454</v>
      </c>
      <c r="G162" s="9" t="str">
        <f>IFERROR(VLOOKUP(C162,'MASTER TLPG'!A:B,2,FALSE),"")</f>
        <v>-7.203807110524606, 112.71950675497641</v>
      </c>
      <c r="H162" s="9" t="str">
        <f>IFERROR(VLOOKUP(D162,'MASTER PERUSAHAAN'!A:B,2,FALSE),"")</f>
        <v>-7.242658423271152, 112.6945143648589</v>
      </c>
      <c r="J162" s="9" t="str">
        <f t="shared" si="1"/>
        <v>DEKAT</v>
      </c>
      <c r="K162" s="11">
        <f t="shared" si="2"/>
        <v>1</v>
      </c>
      <c r="M162" s="17">
        <v>6.0</v>
      </c>
      <c r="N162" s="17"/>
      <c r="O162" s="17"/>
      <c r="P162" s="17"/>
      <c r="Q162" s="17"/>
      <c r="R162" s="17"/>
      <c r="S162" s="17"/>
      <c r="T162" s="17" t="str">
        <f>IFERROR(__xludf.DUMMYFUNCTION("""COMPUTED_VALUE"""),"S 8104 UH")</f>
        <v>S 8104 UH</v>
      </c>
      <c r="U162" s="17" t="str">
        <f>IFERROR(__xludf.DUMMYFUNCTION("""COMPUTED_VALUE"""),"TLPG TJ PERAK")</f>
        <v>TLPG TJ PERAK</v>
      </c>
      <c r="V162" s="17" t="str">
        <f>IFERROR(__xludf.DUMMYFUNCTION("""COMPUTED_VALUE"""),"PT SEMBILAN SEMBILAN TUBAN PERDANA")</f>
        <v>PT SEMBILAN SEMBILAN TUBAN PERDANA</v>
      </c>
      <c r="W162" s="17">
        <f>IFERROR(__xludf.DUMMYFUNCTION("""COMPUTED_VALUE"""),84.5)</f>
        <v>84.5</v>
      </c>
      <c r="X162" s="17" t="str">
        <f>IFERROR(__xludf.DUMMYFUNCTION("""COMPUTED_VALUE"""),"SEDANG")</f>
        <v>SEDANG</v>
      </c>
      <c r="Y162" s="17">
        <f>IFERROR(__xludf.DUMMYFUNCTION("""COMPUTED_VALUE"""),2.0)</f>
        <v>2</v>
      </c>
      <c r="Z162" s="17">
        <f>IFERROR(__xludf.DUMMYFUNCTION("""COMPUTED_VALUE"""),10.0)</f>
        <v>10</v>
      </c>
      <c r="AB162" s="48" t="str">
        <f>IFERROR(__xludf.DUMMYFUNCTION("""COMPUTED_VALUE"""),"PT PATRA NIAGA")</f>
        <v>PT PATRA NIAGA</v>
      </c>
      <c r="AC162" s="48" t="str">
        <f>IFERROR(__xludf.DUMMYFUNCTION("""COMPUTED_VALUE"""),"L 8088 UZ")</f>
        <v>L 8088 UZ</v>
      </c>
      <c r="AD162" s="48" t="str">
        <f>IFERROR(__xludf.DUMMYFUNCTION("""COMPUTED_VALUE"""),"TLPG MEM GRESIK")</f>
        <v>TLPG MEM GRESIK</v>
      </c>
      <c r="AE162" s="17">
        <f>IFERROR(__xludf.DUMMYFUNCTION("""COMPUTED_VALUE"""),6.0)</f>
        <v>6</v>
      </c>
    </row>
    <row r="163">
      <c r="A163" s="12">
        <v>161.0</v>
      </c>
      <c r="B163" s="9" t="s">
        <v>197</v>
      </c>
      <c r="C163" s="9" t="s">
        <v>7</v>
      </c>
      <c r="D163" s="9" t="s">
        <v>376</v>
      </c>
      <c r="E163" s="49">
        <v>109.9</v>
      </c>
      <c r="F163" s="23" t="s">
        <v>454</v>
      </c>
      <c r="G163" s="9" t="str">
        <f>IFERROR(VLOOKUP(C163,'MASTER TLPG'!A:B,2,FALSE),"")</f>
        <v>-7.203807110524606, 112.71950675497641</v>
      </c>
      <c r="H163" s="9" t="str">
        <f>IFERROR(VLOOKUP(D163,'MASTER PERUSAHAAN'!A:B,2,FALSE),"")</f>
        <v>-7.604701007496426, 111.99527190426026</v>
      </c>
      <c r="J163" s="9" t="str">
        <f t="shared" si="1"/>
        <v>SEDANG</v>
      </c>
      <c r="K163" s="11">
        <f t="shared" si="2"/>
        <v>2</v>
      </c>
      <c r="M163" s="17">
        <v>6.0</v>
      </c>
      <c r="N163" s="17"/>
      <c r="O163" s="17"/>
      <c r="P163" s="17"/>
      <c r="Q163" s="17"/>
      <c r="R163" s="17"/>
      <c r="S163" s="17"/>
      <c r="T163" s="17" t="str">
        <f>IFERROR(__xludf.DUMMYFUNCTION("""COMPUTED_VALUE"""),"S 9096 UH")</f>
        <v>S 9096 UH</v>
      </c>
      <c r="U163" s="17" t="str">
        <f>IFERROR(__xludf.DUMMYFUNCTION("""COMPUTED_VALUE"""),"TLPG TJ PERAK")</f>
        <v>TLPG TJ PERAK</v>
      </c>
      <c r="V163" s="17" t="str">
        <f>IFERROR(__xludf.DUMMYFUNCTION("""COMPUTED_VALUE"""),"PT PURBAYA BAGELEN MANDIRI")</f>
        <v>PT PURBAYA BAGELEN MANDIRI</v>
      </c>
      <c r="W163" s="17">
        <f>IFERROR(__xludf.DUMMYFUNCTION("""COMPUTED_VALUE"""),84.3)</f>
        <v>84.3</v>
      </c>
      <c r="X163" s="17" t="str">
        <f>IFERROR(__xludf.DUMMYFUNCTION("""COMPUTED_VALUE"""),"SEDANG")</f>
        <v>SEDANG</v>
      </c>
      <c r="Y163" s="17">
        <f>IFERROR(__xludf.DUMMYFUNCTION("""COMPUTED_VALUE"""),2.0)</f>
        <v>2</v>
      </c>
      <c r="Z163" s="17">
        <f>IFERROR(__xludf.DUMMYFUNCTION("""COMPUTED_VALUE"""),12.0)</f>
        <v>12</v>
      </c>
      <c r="AB163" s="48" t="str">
        <f>IFERROR(__xludf.DUMMYFUNCTION("""COMPUTED_VALUE"""),"PT PATRA NIAGA")</f>
        <v>PT PATRA NIAGA</v>
      </c>
      <c r="AC163" s="48" t="str">
        <f>IFERROR(__xludf.DUMMYFUNCTION("""COMPUTED_VALUE"""),"L 8099 UR")</f>
        <v>L 8099 UR</v>
      </c>
      <c r="AD163" s="48" t="str">
        <f>IFERROR(__xludf.DUMMYFUNCTION("""COMPUTED_VALUE"""),"TLPG MEM GRESIK")</f>
        <v>TLPG MEM GRESIK</v>
      </c>
      <c r="AE163" s="17">
        <f>IFERROR(__xludf.DUMMYFUNCTION("""COMPUTED_VALUE"""),6.0)</f>
        <v>6</v>
      </c>
    </row>
    <row r="164">
      <c r="A164" s="12">
        <v>162.0</v>
      </c>
      <c r="B164" s="9" t="s">
        <v>198</v>
      </c>
      <c r="C164" s="9" t="s">
        <v>28</v>
      </c>
      <c r="D164" s="9" t="s">
        <v>184</v>
      </c>
      <c r="E164" s="9"/>
      <c r="G164" s="9" t="str">
        <f>IFERROR(VLOOKUP(C164,'MASTER TLPG'!A:B,2,FALSE),"")</f>
        <v>-8.16862812274526, 114.38753900822569</v>
      </c>
      <c r="H164" s="9" t="str">
        <f>IFERROR(VLOOKUP(D164,'MASTER PERUSAHAAN'!A:B,2,FALSE),"")</f>
        <v/>
      </c>
      <c r="J164" s="9" t="str">
        <f t="shared" si="1"/>
        <v/>
      </c>
      <c r="K164" s="11" t="str">
        <f t="shared" si="2"/>
        <v/>
      </c>
      <c r="M164" s="17">
        <v>6.0</v>
      </c>
      <c r="N164" s="17"/>
      <c r="O164" s="17"/>
      <c r="P164" s="17"/>
      <c r="Q164" s="17"/>
      <c r="R164" s="17"/>
      <c r="S164" s="17"/>
      <c r="T164" s="17" t="str">
        <f>IFERROR(__xludf.DUMMYFUNCTION("""COMPUTED_VALUE"""),"S 9650 UE")</f>
        <v>S 9650 UE</v>
      </c>
      <c r="U164" s="17" t="str">
        <f>IFERROR(__xludf.DUMMYFUNCTION("""COMPUTED_VALUE"""),"TLPG TJ PERAK")</f>
        <v>TLPG TJ PERAK</v>
      </c>
      <c r="V164" s="17" t="str">
        <f>IFERROR(__xludf.DUMMYFUNCTION("""COMPUTED_VALUE"""),"PT PURBAYA BAGELEN MANDIRI")</f>
        <v>PT PURBAYA BAGELEN MANDIRI</v>
      </c>
      <c r="W164" s="17">
        <f>IFERROR(__xludf.DUMMYFUNCTION("""COMPUTED_VALUE"""),84.3)</f>
        <v>84.3</v>
      </c>
      <c r="X164" s="17" t="str">
        <f>IFERROR(__xludf.DUMMYFUNCTION("""COMPUTED_VALUE"""),"SEDANG")</f>
        <v>SEDANG</v>
      </c>
      <c r="Y164" s="17">
        <f>IFERROR(__xludf.DUMMYFUNCTION("""COMPUTED_VALUE"""),2.0)</f>
        <v>2</v>
      </c>
      <c r="Z164" s="17">
        <f>IFERROR(__xludf.DUMMYFUNCTION("""COMPUTED_VALUE"""),12.0)</f>
        <v>12</v>
      </c>
      <c r="AB164" s="48" t="str">
        <f>IFERROR(__xludf.DUMMYFUNCTION("""COMPUTED_VALUE"""),"PT PATRA NIAGA")</f>
        <v>PT PATRA NIAGA</v>
      </c>
      <c r="AC164" s="48" t="str">
        <f>IFERROR(__xludf.DUMMYFUNCTION("""COMPUTED_VALUE"""),"L 9819 UJ")</f>
        <v>L 9819 UJ</v>
      </c>
      <c r="AD164" s="48" t="str">
        <f>IFERROR(__xludf.DUMMYFUNCTION("""COMPUTED_VALUE"""),"TLPG MEM GRESIK")</f>
        <v>TLPG MEM GRESIK</v>
      </c>
      <c r="AE164" s="17">
        <f>IFERROR(__xludf.DUMMYFUNCTION("""COMPUTED_VALUE"""),8.0)</f>
        <v>8</v>
      </c>
    </row>
    <row r="165">
      <c r="A165" s="12">
        <v>163.0</v>
      </c>
      <c r="B165" s="9" t="s">
        <v>199</v>
      </c>
      <c r="C165" s="9" t="s">
        <v>28</v>
      </c>
      <c r="D165" s="9" t="s">
        <v>184</v>
      </c>
      <c r="E165" s="9"/>
      <c r="G165" s="9" t="str">
        <f>IFERROR(VLOOKUP(C165,'MASTER TLPG'!A:B,2,FALSE),"")</f>
        <v>-8.16862812274526, 114.38753900822569</v>
      </c>
      <c r="H165" s="9" t="str">
        <f>IFERROR(VLOOKUP(D165,'MASTER PERUSAHAAN'!A:B,2,FALSE),"")</f>
        <v/>
      </c>
      <c r="J165" s="9" t="str">
        <f t="shared" si="1"/>
        <v/>
      </c>
      <c r="K165" s="11" t="str">
        <f t="shared" si="2"/>
        <v/>
      </c>
      <c r="M165" s="17">
        <v>6.0</v>
      </c>
      <c r="N165" s="17"/>
      <c r="O165" s="17"/>
      <c r="P165" s="17"/>
      <c r="Q165" s="17"/>
      <c r="R165" s="17"/>
      <c r="S165" s="17"/>
      <c r="T165" s="17" t="str">
        <f>IFERROR(__xludf.DUMMYFUNCTION("""COMPUTED_VALUE"""),"N 8657 UV")</f>
        <v>N 8657 UV</v>
      </c>
      <c r="U165" s="17" t="str">
        <f>IFERROR(__xludf.DUMMYFUNCTION("""COMPUTED_VALUE"""),"TLPG TJ PERAK")</f>
        <v>TLPG TJ PERAK</v>
      </c>
      <c r="V165" s="17" t="str">
        <f>IFERROR(__xludf.DUMMYFUNCTION("""COMPUTED_VALUE"""),"PT SURYA MITRA IMPREZA PRATAMA")</f>
        <v>PT SURYA MITRA IMPREZA PRATAMA</v>
      </c>
      <c r="W165" s="17">
        <f>IFERROR(__xludf.DUMMYFUNCTION("""COMPUTED_VALUE"""),80.2)</f>
        <v>80.2</v>
      </c>
      <c r="X165" s="17" t="str">
        <f>IFERROR(__xludf.DUMMYFUNCTION("""COMPUTED_VALUE"""),"SEDANG")</f>
        <v>SEDANG</v>
      </c>
      <c r="Y165" s="17">
        <f>IFERROR(__xludf.DUMMYFUNCTION("""COMPUTED_VALUE"""),2.0)</f>
        <v>2</v>
      </c>
      <c r="Z165" s="17">
        <f>IFERROR(__xludf.DUMMYFUNCTION("""COMPUTED_VALUE"""),8.0)</f>
        <v>8</v>
      </c>
      <c r="AB165" s="48" t="str">
        <f>IFERROR(__xludf.DUMMYFUNCTION("""COMPUTED_VALUE"""),"PT PATRA NIAGA")</f>
        <v>PT PATRA NIAGA</v>
      </c>
      <c r="AC165" s="48" t="str">
        <f>IFERROR(__xludf.DUMMYFUNCTION("""COMPUTED_VALUE"""),"L 9820 UJ")</f>
        <v>L 9820 UJ</v>
      </c>
      <c r="AD165" s="48" t="str">
        <f>IFERROR(__xludf.DUMMYFUNCTION("""COMPUTED_VALUE"""),"TLPG MEM GRESIK")</f>
        <v>TLPG MEM GRESIK</v>
      </c>
      <c r="AE165" s="17">
        <f>IFERROR(__xludf.DUMMYFUNCTION("""COMPUTED_VALUE"""),8.0)</f>
        <v>8</v>
      </c>
    </row>
    <row r="166">
      <c r="A166" s="12">
        <v>164.0</v>
      </c>
      <c r="B166" s="9" t="s">
        <v>200</v>
      </c>
      <c r="C166" s="9" t="s">
        <v>28</v>
      </c>
      <c r="D166" s="9" t="s">
        <v>408</v>
      </c>
      <c r="E166" s="49">
        <v>118.0</v>
      </c>
      <c r="F166" s="23" t="s">
        <v>454</v>
      </c>
      <c r="G166" s="9" t="str">
        <f>IFERROR(VLOOKUP(C166,'MASTER TLPG'!A:B,2,FALSE),"")</f>
        <v>-8.16862812274526, 114.38753900822569</v>
      </c>
      <c r="H166" s="9" t="str">
        <f>IFERROR(VLOOKUP(D166,'MASTER PERUSAHAAN'!A:B,2,FALSE),"")</f>
        <v>-8.228732828135726, 113.65583502155648</v>
      </c>
      <c r="J166" s="9" t="str">
        <f t="shared" si="1"/>
        <v>SEDANG</v>
      </c>
      <c r="K166" s="11">
        <f t="shared" si="2"/>
        <v>2</v>
      </c>
      <c r="M166" s="17">
        <v>6.0</v>
      </c>
      <c r="N166" s="17"/>
      <c r="O166" s="17"/>
      <c r="P166" s="17"/>
      <c r="Q166" s="17"/>
      <c r="R166" s="17"/>
      <c r="S166" s="17"/>
      <c r="T166" s="17" t="str">
        <f>IFERROR(__xludf.DUMMYFUNCTION("""COMPUTED_VALUE"""),"N 8673 UV")</f>
        <v>N 8673 UV</v>
      </c>
      <c r="U166" s="17" t="str">
        <f>IFERROR(__xludf.DUMMYFUNCTION("""COMPUTED_VALUE"""),"TLPG TJ PERAK")</f>
        <v>TLPG TJ PERAK</v>
      </c>
      <c r="V166" s="17" t="str">
        <f>IFERROR(__xludf.DUMMYFUNCTION("""COMPUTED_VALUE"""),"PT BUANATAMA CAHAYA LESTARI")</f>
        <v>PT BUANATAMA CAHAYA LESTARI</v>
      </c>
      <c r="W166" s="17">
        <f>IFERROR(__xludf.DUMMYFUNCTION("""COMPUTED_VALUE"""),80.2)</f>
        <v>80.2</v>
      </c>
      <c r="X166" s="17" t="str">
        <f>IFERROR(__xludf.DUMMYFUNCTION("""COMPUTED_VALUE"""),"SEDANG")</f>
        <v>SEDANG</v>
      </c>
      <c r="Y166" s="17">
        <f>IFERROR(__xludf.DUMMYFUNCTION("""COMPUTED_VALUE"""),2.0)</f>
        <v>2</v>
      </c>
      <c r="Z166" s="17">
        <f>IFERROR(__xludf.DUMMYFUNCTION("""COMPUTED_VALUE"""),8.0)</f>
        <v>8</v>
      </c>
      <c r="AB166" s="48" t="str">
        <f>IFERROR(__xludf.DUMMYFUNCTION("""COMPUTED_VALUE"""),"PT PATRA NIAGA")</f>
        <v>PT PATRA NIAGA</v>
      </c>
      <c r="AC166" s="48" t="str">
        <f>IFERROR(__xludf.DUMMYFUNCTION("""COMPUTED_VALUE"""),"B 9113 SEI")</f>
        <v>B 9113 SEI</v>
      </c>
      <c r="AD166" s="48" t="str">
        <f>IFERROR(__xludf.DUMMYFUNCTION("""COMPUTED_VALUE"""),"TLPG MEM GRESIK")</f>
        <v>TLPG MEM GRESIK</v>
      </c>
      <c r="AE166" s="17">
        <f>IFERROR(__xludf.DUMMYFUNCTION("""COMPUTED_VALUE"""),11.0)</f>
        <v>11</v>
      </c>
    </row>
    <row r="167">
      <c r="A167" s="12">
        <v>165.0</v>
      </c>
      <c r="B167" s="9" t="s">
        <v>201</v>
      </c>
      <c r="C167" s="9" t="s">
        <v>7</v>
      </c>
      <c r="D167" s="9" t="s">
        <v>416</v>
      </c>
      <c r="E167" s="49">
        <v>24.2</v>
      </c>
      <c r="F167" s="23" t="s">
        <v>454</v>
      </c>
      <c r="G167" s="9" t="str">
        <f>IFERROR(VLOOKUP(C167,'MASTER TLPG'!A:B,2,FALSE),"")</f>
        <v>-7.203807110524606, 112.71950675497641</v>
      </c>
      <c r="H167" s="9" t="str">
        <f>IFERROR(VLOOKUP(D167,'MASTER PERUSAHAAN'!A:B,2,FALSE),"")</f>
        <v>-7.343775163586886, 112.75869639278233</v>
      </c>
      <c r="J167" s="9" t="str">
        <f t="shared" si="1"/>
        <v>DEKAT</v>
      </c>
      <c r="K167" s="11">
        <f t="shared" si="2"/>
        <v>1</v>
      </c>
      <c r="M167" s="17">
        <v>6.0</v>
      </c>
      <c r="N167" s="17"/>
      <c r="O167" s="17"/>
      <c r="P167" s="17"/>
      <c r="Q167" s="17"/>
      <c r="R167" s="17"/>
      <c r="S167" s="17"/>
      <c r="T167" s="17" t="str">
        <f>IFERROR(__xludf.DUMMYFUNCTION("""COMPUTED_VALUE"""),"N 8674 UV")</f>
        <v>N 8674 UV</v>
      </c>
      <c r="U167" s="17" t="str">
        <f>IFERROR(__xludf.DUMMYFUNCTION("""COMPUTED_VALUE"""),"TLPG TJ PERAK")</f>
        <v>TLPG TJ PERAK</v>
      </c>
      <c r="V167" s="17" t="str">
        <f>IFERROR(__xludf.DUMMYFUNCTION("""COMPUTED_VALUE"""),"PT BUANATAMA CAHAYA LESTARI")</f>
        <v>PT BUANATAMA CAHAYA LESTARI</v>
      </c>
      <c r="W167" s="17">
        <f>IFERROR(__xludf.DUMMYFUNCTION("""COMPUTED_VALUE"""),80.2)</f>
        <v>80.2</v>
      </c>
      <c r="X167" s="17" t="str">
        <f>IFERROR(__xludf.DUMMYFUNCTION("""COMPUTED_VALUE"""),"SEDANG")</f>
        <v>SEDANG</v>
      </c>
      <c r="Y167" s="17">
        <f>IFERROR(__xludf.DUMMYFUNCTION("""COMPUTED_VALUE"""),2.0)</f>
        <v>2</v>
      </c>
      <c r="Z167" s="17">
        <f>IFERROR(__xludf.DUMMYFUNCTION("""COMPUTED_VALUE"""),8.0)</f>
        <v>8</v>
      </c>
      <c r="AB167" s="48" t="str">
        <f>IFERROR(__xludf.DUMMYFUNCTION("""COMPUTED_VALUE"""),"PT PATRA NIAGA")</f>
        <v>PT PATRA NIAGA</v>
      </c>
      <c r="AC167" s="48" t="str">
        <f>IFERROR(__xludf.DUMMYFUNCTION("""COMPUTED_VALUE"""),"L 9828 UJ")</f>
        <v>L 9828 UJ</v>
      </c>
      <c r="AD167" s="48" t="str">
        <f>IFERROR(__xludf.DUMMYFUNCTION("""COMPUTED_VALUE"""),"TLPG MEM GRESIK")</f>
        <v>TLPG MEM GRESIK</v>
      </c>
      <c r="AE167" s="17">
        <f>IFERROR(__xludf.DUMMYFUNCTION("""COMPUTED_VALUE"""),12.0)</f>
        <v>12</v>
      </c>
    </row>
    <row r="168">
      <c r="A168" s="12">
        <v>166.0</v>
      </c>
      <c r="B168" s="9" t="s">
        <v>202</v>
      </c>
      <c r="C168" s="9" t="s">
        <v>7</v>
      </c>
      <c r="D168" s="9" t="s">
        <v>215</v>
      </c>
      <c r="E168" s="49">
        <v>201.0</v>
      </c>
      <c r="F168" s="23" t="s">
        <v>454</v>
      </c>
      <c r="G168" s="9" t="str">
        <f>IFERROR(VLOOKUP(C168,'MASTER TLPG'!A:B,2,FALSE),"")</f>
        <v>-7.203807110524606, 112.71950675497641</v>
      </c>
      <c r="H168" s="9" t="str">
        <f>IFERROR(VLOOKUP(D168,'MASTER PERUSAHAAN'!A:B,2,FALSE),"")</f>
        <v>-7.879247280950652, 111.48568793157652</v>
      </c>
      <c r="J168" s="9" t="str">
        <f t="shared" si="1"/>
        <v>JAUH</v>
      </c>
      <c r="K168" s="11">
        <f t="shared" si="2"/>
        <v>3</v>
      </c>
      <c r="M168" s="17">
        <v>7.0</v>
      </c>
      <c r="N168" s="17"/>
      <c r="O168" s="17"/>
      <c r="P168" s="17"/>
      <c r="Q168" s="17"/>
      <c r="R168" s="17"/>
      <c r="S168" s="17"/>
      <c r="T168" s="17" t="str">
        <f>IFERROR(__xludf.DUMMYFUNCTION("""COMPUTED_VALUE"""),"S 8319 UZ")</f>
        <v>S 8319 UZ</v>
      </c>
      <c r="U168" s="17" t="str">
        <f>IFERROR(__xludf.DUMMYFUNCTION("""COMPUTED_VALUE"""),"TLPG TJ PERAK")</f>
        <v>TLPG TJ PERAK</v>
      </c>
      <c r="V168" s="17" t="str">
        <f>IFERROR(__xludf.DUMMYFUNCTION("""COMPUTED_VALUE"""),"PT TRIJAYA ADYMIX MANDIRI")</f>
        <v>PT TRIJAYA ADYMIX MANDIRI</v>
      </c>
      <c r="W168" s="17">
        <f>IFERROR(__xludf.DUMMYFUNCTION("""COMPUTED_VALUE"""),77.9)</f>
        <v>77.9</v>
      </c>
      <c r="X168" s="17" t="str">
        <f>IFERROR(__xludf.DUMMYFUNCTION("""COMPUTED_VALUE"""),"SEDANG")</f>
        <v>SEDANG</v>
      </c>
      <c r="Y168" s="17">
        <f>IFERROR(__xludf.DUMMYFUNCTION("""COMPUTED_VALUE"""),2.0)</f>
        <v>2</v>
      </c>
      <c r="Z168" s="17">
        <f>IFERROR(__xludf.DUMMYFUNCTION("""COMPUTED_VALUE"""),11.0)</f>
        <v>11</v>
      </c>
      <c r="AB168" s="48" t="str">
        <f>IFERROR(__xludf.DUMMYFUNCTION("""COMPUTED_VALUE"""),"PT PATRA NIAGA 1")</f>
        <v>PT PATRA NIAGA 1</v>
      </c>
      <c r="AC168" s="48" t="str">
        <f>IFERROR(__xludf.DUMMYFUNCTION("""COMPUTED_VALUE"""),"B 9080 SEI")</f>
        <v>B 9080 SEI</v>
      </c>
      <c r="AD168" s="48" t="str">
        <f>IFERROR(__xludf.DUMMYFUNCTION("""COMPUTED_VALUE"""),"TLPG TJ WANGI")</f>
        <v>TLPG TJ WANGI</v>
      </c>
      <c r="AE168" s="17">
        <f>IFERROR(__xludf.DUMMYFUNCTION("""COMPUTED_VALUE"""),1.0)</f>
        <v>1</v>
      </c>
    </row>
    <row r="169">
      <c r="A169" s="12">
        <v>167.0</v>
      </c>
      <c r="B169" s="9" t="s">
        <v>203</v>
      </c>
      <c r="C169" s="9" t="s">
        <v>32</v>
      </c>
      <c r="D169" s="9" t="s">
        <v>417</v>
      </c>
      <c r="E169" s="49">
        <v>3.0</v>
      </c>
      <c r="F169" s="23" t="s">
        <v>454</v>
      </c>
      <c r="G169" s="9" t="str">
        <f>IFERROR(VLOOKUP(C169,'MASTER TLPG'!A:B,2,FALSE),"")</f>
        <v>-8.509457097470957, 115.50344705076587</v>
      </c>
      <c r="H169" s="9" t="str">
        <f>IFERROR(VLOOKUP(D169,'MASTER PERUSAHAAN'!A:B,2,FALSE),"")</f>
        <v>-8.531027437564893, 115.4957452294829</v>
      </c>
      <c r="J169" s="9" t="str">
        <f t="shared" si="1"/>
        <v>DEKAT</v>
      </c>
      <c r="K169" s="11">
        <f t="shared" si="2"/>
        <v>1</v>
      </c>
      <c r="M169" s="17">
        <v>7.0</v>
      </c>
      <c r="N169" s="17"/>
      <c r="O169" s="17"/>
      <c r="P169" s="17"/>
      <c r="Q169" s="17"/>
      <c r="R169" s="17"/>
      <c r="S169" s="17"/>
      <c r="T169" s="17" t="str">
        <f>IFERROR(__xludf.DUMMYFUNCTION("""COMPUTED_VALUE"""),"N 8079 US")</f>
        <v>N 8079 US</v>
      </c>
      <c r="U169" s="17" t="str">
        <f>IFERROR(__xludf.DUMMYFUNCTION("""COMPUTED_VALUE"""),"TLPG TJ PERAK")</f>
        <v>TLPG TJ PERAK</v>
      </c>
      <c r="V169" s="17" t="str">
        <f>IFERROR(__xludf.DUMMYFUNCTION("""COMPUTED_VALUE"""),"PT ANUGERAH SUMBER BERKAT")</f>
        <v>PT ANUGERAH SUMBER BERKAT</v>
      </c>
      <c r="W169" s="17">
        <f>IFERROR(__xludf.DUMMYFUNCTION("""COMPUTED_VALUE"""),75.7)</f>
        <v>75.7</v>
      </c>
      <c r="X169" s="17" t="str">
        <f>IFERROR(__xludf.DUMMYFUNCTION("""COMPUTED_VALUE"""),"SEDANG")</f>
        <v>SEDANG</v>
      </c>
      <c r="Y169" s="17">
        <f>IFERROR(__xludf.DUMMYFUNCTION("""COMPUTED_VALUE"""),2.0)</f>
        <v>2</v>
      </c>
      <c r="Z169" s="17">
        <f>IFERROR(__xludf.DUMMYFUNCTION("""COMPUTED_VALUE"""),9.0)</f>
        <v>9</v>
      </c>
      <c r="AB169" s="48" t="str">
        <f>IFERROR(__xludf.DUMMYFUNCTION("""COMPUTED_VALUE"""),"PT PATRA NIAGA 1")</f>
        <v>PT PATRA NIAGA 1</v>
      </c>
      <c r="AC169" s="48" t="str">
        <f>IFERROR(__xludf.DUMMYFUNCTION("""COMPUTED_VALUE"""),"B 9711 SFU")</f>
        <v>B 9711 SFU</v>
      </c>
      <c r="AD169" s="48" t="str">
        <f>IFERROR(__xludf.DUMMYFUNCTION("""COMPUTED_VALUE"""),"TLPG TJ WANGI")</f>
        <v>TLPG TJ WANGI</v>
      </c>
      <c r="AE169" s="17">
        <f>IFERROR(__xludf.DUMMYFUNCTION("""COMPUTED_VALUE"""),1.0)</f>
        <v>1</v>
      </c>
    </row>
    <row r="170">
      <c r="A170" s="12">
        <v>168.0</v>
      </c>
      <c r="B170" s="9" t="s">
        <v>205</v>
      </c>
      <c r="C170" s="9" t="s">
        <v>32</v>
      </c>
      <c r="D170" s="9" t="s">
        <v>421</v>
      </c>
      <c r="E170" s="49">
        <v>55.1</v>
      </c>
      <c r="F170" s="23" t="s">
        <v>454</v>
      </c>
      <c r="G170" s="9" t="str">
        <f>IFERROR(VLOOKUP(C170,'MASTER TLPG'!A:B,2,FALSE),"")</f>
        <v>-8.509457097470957, 115.50344705076587</v>
      </c>
      <c r="H170" s="9" t="str">
        <f>IFERROR(VLOOKUP(D170,'MASTER PERUSAHAAN'!A:B,2,FALSE),"")</f>
        <v>-8.582360747970581, 115.12620459535853</v>
      </c>
      <c r="J170" s="9" t="str">
        <f t="shared" si="1"/>
        <v>SEDANG</v>
      </c>
      <c r="K170" s="11">
        <f t="shared" si="2"/>
        <v>2</v>
      </c>
      <c r="M170" s="17">
        <v>7.0</v>
      </c>
      <c r="N170" s="17"/>
      <c r="O170" s="17"/>
      <c r="P170" s="17"/>
      <c r="Q170" s="17"/>
      <c r="R170" s="17"/>
      <c r="S170" s="17"/>
      <c r="T170" s="17" t="str">
        <f>IFERROR(__xludf.DUMMYFUNCTION("""COMPUTED_VALUE"""),"N 8799 UG")</f>
        <v>N 8799 UG</v>
      </c>
      <c r="U170" s="17" t="str">
        <f>IFERROR(__xludf.DUMMYFUNCTION("""COMPUTED_VALUE"""),"TLPG TJ PERAK")</f>
        <v>TLPG TJ PERAK</v>
      </c>
      <c r="V170" s="17" t="str">
        <f>IFERROR(__xludf.DUMMYFUNCTION("""COMPUTED_VALUE"""),"PT ANUGERAH SUMBER BERKAT")</f>
        <v>PT ANUGERAH SUMBER BERKAT</v>
      </c>
      <c r="W170" s="17">
        <f>IFERROR(__xludf.DUMMYFUNCTION("""COMPUTED_VALUE"""),75.7)</f>
        <v>75.7</v>
      </c>
      <c r="X170" s="17" t="str">
        <f>IFERROR(__xludf.DUMMYFUNCTION("""COMPUTED_VALUE"""),"SEDANG")</f>
        <v>SEDANG</v>
      </c>
      <c r="Y170" s="17">
        <f>IFERROR(__xludf.DUMMYFUNCTION("""COMPUTED_VALUE"""),2.0)</f>
        <v>2</v>
      </c>
      <c r="Z170" s="17">
        <f>IFERROR(__xludf.DUMMYFUNCTION("""COMPUTED_VALUE"""),9.0)</f>
        <v>9</v>
      </c>
      <c r="AB170" s="48" t="str">
        <f>IFERROR(__xludf.DUMMYFUNCTION("""COMPUTED_VALUE"""),"PT PATRA NIAGA 1")</f>
        <v>PT PATRA NIAGA 1</v>
      </c>
      <c r="AC170" s="48" t="str">
        <f>IFERROR(__xludf.DUMMYFUNCTION("""COMPUTED_VALUE"""),"B 9713 SFU")</f>
        <v>B 9713 SFU</v>
      </c>
      <c r="AD170" s="48" t="str">
        <f>IFERROR(__xludf.DUMMYFUNCTION("""COMPUTED_VALUE"""),"TLPG TJ WANGI")</f>
        <v>TLPG TJ WANGI</v>
      </c>
      <c r="AE170" s="17">
        <f>IFERROR(__xludf.DUMMYFUNCTION("""COMPUTED_VALUE"""),2.0)</f>
        <v>2</v>
      </c>
    </row>
    <row r="171">
      <c r="A171" s="12">
        <v>169.0</v>
      </c>
      <c r="B171" s="9" t="s">
        <v>207</v>
      </c>
      <c r="C171" s="9" t="s">
        <v>32</v>
      </c>
      <c r="D171" s="9" t="s">
        <v>127</v>
      </c>
      <c r="E171" s="49">
        <v>67.4</v>
      </c>
      <c r="F171" s="23" t="s">
        <v>454</v>
      </c>
      <c r="G171" s="9" t="str">
        <f>IFERROR(VLOOKUP(C171,'MASTER TLPG'!A:B,2,FALSE),"")</f>
        <v>-8.509457097470957, 115.50344705076587</v>
      </c>
      <c r="H171" s="9" t="str">
        <f>IFERROR(VLOOKUP(D171,'MASTER PERUSAHAAN'!A:B,2,FALSE),"")</f>
        <v>-8.362243075746033, 115.1904744944812</v>
      </c>
      <c r="J171" s="9" t="str">
        <f t="shared" si="1"/>
        <v>SEDANG</v>
      </c>
      <c r="K171" s="11">
        <f t="shared" si="2"/>
        <v>2</v>
      </c>
      <c r="M171" s="17">
        <v>7.0</v>
      </c>
      <c r="N171" s="17"/>
      <c r="O171" s="17"/>
      <c r="P171" s="17"/>
      <c r="Q171" s="17"/>
      <c r="R171" s="17"/>
      <c r="S171" s="17"/>
      <c r="T171" s="17" t="str">
        <f>IFERROR(__xludf.DUMMYFUNCTION("""COMPUTED_VALUE"""),"DR 8309 LH")</f>
        <v>DR 8309 LH</v>
      </c>
      <c r="U171" s="17" t="str">
        <f>IFERROR(__xludf.DUMMYFUNCTION("""COMPUTED_VALUE"""),"TLPG LOMBOK")</f>
        <v>TLPG LOMBOK</v>
      </c>
      <c r="V171" s="17" t="str">
        <f>IFERROR(__xludf.DUMMYFUNCTION("""COMPUTED_VALUE"""),"SPPBE-PT. Bintang Energi Abadi")</f>
        <v>SPPBE-PT. Bintang Energi Abadi</v>
      </c>
      <c r="W171" s="17">
        <f>IFERROR(__xludf.DUMMYFUNCTION("""COMPUTED_VALUE"""),74.3)</f>
        <v>74.3</v>
      </c>
      <c r="X171" s="17" t="str">
        <f>IFERROR(__xludf.DUMMYFUNCTION("""COMPUTED_VALUE"""),"SEDANG")</f>
        <v>SEDANG</v>
      </c>
      <c r="Y171" s="17">
        <f>IFERROR(__xludf.DUMMYFUNCTION("""COMPUTED_VALUE"""),2.0)</f>
        <v>2</v>
      </c>
      <c r="Z171" s="17">
        <f>IFERROR(__xludf.DUMMYFUNCTION("""COMPUTED_VALUE"""),5.0)</f>
        <v>5</v>
      </c>
      <c r="AB171" s="48" t="str">
        <f>IFERROR(__xludf.DUMMYFUNCTION("""COMPUTED_VALUE"""),"PT PERAK POLANA ALOMAMPA")</f>
        <v>PT PERAK POLANA ALOMAMPA</v>
      </c>
      <c r="AC171" s="48" t="str">
        <f>IFERROR(__xludf.DUMMYFUNCTION("""COMPUTED_VALUE"""),"M 8978 UV")</f>
        <v>M 8978 UV</v>
      </c>
      <c r="AD171" s="48" t="str">
        <f>IFERROR(__xludf.DUMMYFUNCTION("""COMPUTED_VALUE"""),"TLPG TJ PERAK")</f>
        <v>TLPG TJ PERAK</v>
      </c>
      <c r="AE171" s="17">
        <f>IFERROR(__xludf.DUMMYFUNCTION("""COMPUTED_VALUE"""),7.0)</f>
        <v>7</v>
      </c>
    </row>
    <row r="172">
      <c r="A172" s="12">
        <v>170.0</v>
      </c>
      <c r="B172" s="9" t="s">
        <v>208</v>
      </c>
      <c r="C172" s="9" t="s">
        <v>39</v>
      </c>
      <c r="D172" s="9" t="s">
        <v>184</v>
      </c>
      <c r="E172" s="9"/>
      <c r="G172" s="9" t="str">
        <f>IFERROR(VLOOKUP(C172,'MASTER TLPG'!A:B,2,FALSE),"")</f>
        <v>-8.477696591405829, 118.71143008615176</v>
      </c>
      <c r="H172" s="9" t="str">
        <f>IFERROR(VLOOKUP(D172,'MASTER PERUSAHAAN'!A:B,2,FALSE),"")</f>
        <v/>
      </c>
      <c r="J172" s="9" t="str">
        <f t="shared" si="1"/>
        <v/>
      </c>
      <c r="K172" s="11" t="str">
        <f t="shared" si="2"/>
        <v/>
      </c>
      <c r="M172" s="17">
        <v>7.0</v>
      </c>
      <c r="N172" s="17"/>
      <c r="O172" s="17"/>
      <c r="P172" s="17"/>
      <c r="Q172" s="17"/>
      <c r="R172" s="17"/>
      <c r="S172" s="17"/>
      <c r="T172" s="17" t="str">
        <f>IFERROR(__xludf.DUMMYFUNCTION("""COMPUTED_VALUE"""),"DR 8527 KC")</f>
        <v>DR 8527 KC</v>
      </c>
      <c r="U172" s="17" t="str">
        <f>IFERROR(__xludf.DUMMYFUNCTION("""COMPUTED_VALUE"""),"TLPG LOMBOK")</f>
        <v>TLPG LOMBOK</v>
      </c>
      <c r="V172" s="17" t="str">
        <f>IFERROR(__xludf.DUMMYFUNCTION("""COMPUTED_VALUE"""),"SPPBE-PT. Bintang Energi Abadi")</f>
        <v>SPPBE-PT. Bintang Energi Abadi</v>
      </c>
      <c r="W172" s="17">
        <f>IFERROR(__xludf.DUMMYFUNCTION("""COMPUTED_VALUE"""),74.3)</f>
        <v>74.3</v>
      </c>
      <c r="X172" s="17" t="str">
        <f>IFERROR(__xludf.DUMMYFUNCTION("""COMPUTED_VALUE"""),"SEDANG")</f>
        <v>SEDANG</v>
      </c>
      <c r="Y172" s="17">
        <f>IFERROR(__xludf.DUMMYFUNCTION("""COMPUTED_VALUE"""),2.0)</f>
        <v>2</v>
      </c>
      <c r="Z172" s="17">
        <f>IFERROR(__xludf.DUMMYFUNCTION("""COMPUTED_VALUE"""),6.0)</f>
        <v>6</v>
      </c>
      <c r="AB172" s="48" t="str">
        <f>IFERROR(__xludf.DUMMYFUNCTION("""COMPUTED_VALUE"""),"PT PERAK POLANA ALOMAMPA")</f>
        <v>PT PERAK POLANA ALOMAMPA</v>
      </c>
      <c r="AC172" s="48" t="str">
        <f>IFERROR(__xludf.DUMMYFUNCTION("""COMPUTED_VALUE"""),"M 9006 UV")</f>
        <v>M 9006 UV</v>
      </c>
      <c r="AD172" s="48" t="str">
        <f>IFERROR(__xludf.DUMMYFUNCTION("""COMPUTED_VALUE"""),"TLPG TJ PERAK")</f>
        <v>TLPG TJ PERAK</v>
      </c>
      <c r="AE172" s="17">
        <f>IFERROR(__xludf.DUMMYFUNCTION("""COMPUTED_VALUE"""),7.0)</f>
        <v>7</v>
      </c>
    </row>
    <row r="173">
      <c r="A173" s="12">
        <v>171.0</v>
      </c>
      <c r="B173" s="9" t="s">
        <v>209</v>
      </c>
      <c r="C173" s="9" t="s">
        <v>5</v>
      </c>
      <c r="D173" s="9" t="s">
        <v>385</v>
      </c>
      <c r="E173" s="49">
        <v>74.3</v>
      </c>
      <c r="F173" s="23" t="s">
        <v>454</v>
      </c>
      <c r="G173" s="9" t="str">
        <f>IFERROR(VLOOKUP(C173,'MASTER TLPG'!A:B,2,FALSE),"")</f>
        <v>-8.749911797697688, 116.03590255003817</v>
      </c>
      <c r="H173" s="9" t="str">
        <f>IFERROR(VLOOKUP(D173,'MASTER PERUSAHAAN'!A:B,2,FALSE),"")</f>
        <v>-8.63352462568205, 116.43790941602066</v>
      </c>
      <c r="J173" s="9" t="str">
        <f t="shared" si="1"/>
        <v>SEDANG</v>
      </c>
      <c r="K173" s="11">
        <f t="shared" si="2"/>
        <v>2</v>
      </c>
      <c r="M173" s="17">
        <v>7.0</v>
      </c>
      <c r="N173" s="17"/>
      <c r="O173" s="17"/>
      <c r="P173" s="17"/>
      <c r="Q173" s="17"/>
      <c r="R173" s="17"/>
      <c r="S173" s="17"/>
      <c r="T173" s="17" t="str">
        <f>IFERROR(__xludf.DUMMYFUNCTION("""COMPUTED_VALUE"""),"DR 8528 KC")</f>
        <v>DR 8528 KC</v>
      </c>
      <c r="U173" s="17" t="str">
        <f>IFERROR(__xludf.DUMMYFUNCTION("""COMPUTED_VALUE"""),"TLPG LOMBOK")</f>
        <v>TLPG LOMBOK</v>
      </c>
      <c r="V173" s="17" t="str">
        <f>IFERROR(__xludf.DUMMYFUNCTION("""COMPUTED_VALUE"""),"SPPBE-PT. Bintang Energi Abadi")</f>
        <v>SPPBE-PT. Bintang Energi Abadi</v>
      </c>
      <c r="W173" s="17">
        <f>IFERROR(__xludf.DUMMYFUNCTION("""COMPUTED_VALUE"""),74.3)</f>
        <v>74.3</v>
      </c>
      <c r="X173" s="17" t="str">
        <f>IFERROR(__xludf.DUMMYFUNCTION("""COMPUTED_VALUE"""),"SEDANG")</f>
        <v>SEDANG</v>
      </c>
      <c r="Y173" s="17">
        <f>IFERROR(__xludf.DUMMYFUNCTION("""COMPUTED_VALUE"""),2.0)</f>
        <v>2</v>
      </c>
      <c r="Z173" s="17">
        <f>IFERROR(__xludf.DUMMYFUNCTION("""COMPUTED_VALUE"""),7.0)</f>
        <v>7</v>
      </c>
      <c r="AB173" s="48" t="str">
        <f>IFERROR(__xludf.DUMMYFUNCTION("""COMPUTED_VALUE"""),"PT PERAK POLANA ALOMAMPA")</f>
        <v>PT PERAK POLANA ALOMAMPA</v>
      </c>
      <c r="AC173" s="48" t="str">
        <f>IFERROR(__xludf.DUMMYFUNCTION("""COMPUTED_VALUE"""),"M 9321 UV")</f>
        <v>M 9321 UV</v>
      </c>
      <c r="AD173" s="48" t="str">
        <f>IFERROR(__xludf.DUMMYFUNCTION("""COMPUTED_VALUE"""),"TLPG TJ PERAK")</f>
        <v>TLPG TJ PERAK</v>
      </c>
      <c r="AE173" s="17">
        <f>IFERROR(__xludf.DUMMYFUNCTION("""COMPUTED_VALUE"""),7.0)</f>
        <v>7</v>
      </c>
    </row>
    <row r="174">
      <c r="A174" s="12">
        <v>172.0</v>
      </c>
      <c r="B174" s="9" t="s">
        <v>210</v>
      </c>
      <c r="C174" s="9" t="s">
        <v>5</v>
      </c>
      <c r="D174" s="9" t="s">
        <v>456</v>
      </c>
      <c r="E174" s="49">
        <v>31.3</v>
      </c>
      <c r="F174" s="23" t="s">
        <v>454</v>
      </c>
      <c r="G174" s="9" t="str">
        <f>IFERROR(VLOOKUP(C174,'MASTER TLPG'!A:B,2,FALSE),"")</f>
        <v>-8.749911797697688, 116.03590255003817</v>
      </c>
      <c r="H174" s="9" t="str">
        <f>IFERROR(VLOOKUP(D174,'MASTER PERUSAHAAN'!A:B,2,FALSE),"")</f>
        <v>-8.665169562935535, 116.15322287230633</v>
      </c>
      <c r="J174" s="9" t="str">
        <f t="shared" si="1"/>
        <v>DEKAT</v>
      </c>
      <c r="K174" s="11">
        <f t="shared" si="2"/>
        <v>1</v>
      </c>
      <c r="M174" s="17">
        <v>7.0</v>
      </c>
      <c r="N174" s="17"/>
      <c r="O174" s="17"/>
      <c r="P174" s="17"/>
      <c r="Q174" s="17"/>
      <c r="R174" s="17"/>
      <c r="S174" s="17"/>
      <c r="T174" s="17" t="str">
        <f>IFERROR(__xludf.DUMMYFUNCTION("""COMPUTED_VALUE"""),"L 8107 UUA")</f>
        <v>L 8107 UUA</v>
      </c>
      <c r="U174" s="17" t="str">
        <f>IFERROR(__xludf.DUMMYFUNCTION("""COMPUTED_VALUE"""),"TLPG TJ PERAK")</f>
        <v>TLPG TJ PERAK</v>
      </c>
      <c r="V174" s="17" t="str">
        <f>IFERROR(__xludf.DUMMYFUNCTION("""COMPUTED_VALUE"""),"PT GELORA MERATUS MANDIRI")</f>
        <v>PT GELORA MERATUS MANDIRI</v>
      </c>
      <c r="W174" s="17">
        <f>IFERROR(__xludf.DUMMYFUNCTION("""COMPUTED_VALUE"""),69.2)</f>
        <v>69.2</v>
      </c>
      <c r="X174" s="17" t="str">
        <f>IFERROR(__xludf.DUMMYFUNCTION("""COMPUTED_VALUE"""),"SEDANG")</f>
        <v>SEDANG</v>
      </c>
      <c r="Y174" s="17">
        <f>IFERROR(__xludf.DUMMYFUNCTION("""COMPUTED_VALUE"""),2.0)</f>
        <v>2</v>
      </c>
      <c r="Z174" s="17">
        <f>IFERROR(__xludf.DUMMYFUNCTION("""COMPUTED_VALUE"""),5.0)</f>
        <v>5</v>
      </c>
      <c r="AB174" s="48" t="str">
        <f>IFERROR(__xludf.DUMMYFUNCTION("""COMPUTED_VALUE"""),"PT PERMATA ENERGI BUMI INDONESIA")</f>
        <v>PT PERMATA ENERGI BUMI INDONESIA</v>
      </c>
      <c r="AC174" s="48" t="str">
        <f>IFERROR(__xludf.DUMMYFUNCTION("""COMPUTED_VALUE"""),"L 8013 UX")</f>
        <v>L 8013 UX</v>
      </c>
      <c r="AD174" s="48" t="str">
        <f>IFERROR(__xludf.DUMMYFUNCTION("""COMPUTED_VALUE"""),"TLPG MEM GRESIK")</f>
        <v>TLPG MEM GRESIK</v>
      </c>
      <c r="AE174" s="17">
        <f>IFERROR(__xludf.DUMMYFUNCTION("""COMPUTED_VALUE"""),4.0)</f>
        <v>4</v>
      </c>
    </row>
    <row r="175">
      <c r="A175" s="12">
        <v>173.0</v>
      </c>
      <c r="B175" s="9" t="s">
        <v>211</v>
      </c>
      <c r="C175" s="9" t="s">
        <v>25</v>
      </c>
      <c r="D175" s="9" t="s">
        <v>307</v>
      </c>
      <c r="E175" s="49">
        <v>12.2</v>
      </c>
      <c r="F175" s="23" t="s">
        <v>454</v>
      </c>
      <c r="G175" s="9" t="str">
        <f>IFERROR(VLOOKUP(C175,'MASTER TLPG'!A:B,2,FALSE),"")</f>
        <v>-7.109201954744449, 112.62272164861744</v>
      </c>
      <c r="H175" s="9" t="str">
        <f>IFERROR(VLOOKUP(D175,'MASTER PERUSAHAAN'!A:B,2,FALSE),"")</f>
        <v>-7.173746870643654, 112.62136808657895</v>
      </c>
      <c r="J175" s="9" t="str">
        <f t="shared" si="1"/>
        <v>DEKAT</v>
      </c>
      <c r="K175" s="11">
        <f t="shared" si="2"/>
        <v>1</v>
      </c>
      <c r="M175" s="17">
        <v>7.0</v>
      </c>
      <c r="N175" s="17"/>
      <c r="O175" s="17"/>
      <c r="P175" s="17"/>
      <c r="Q175" s="17"/>
      <c r="R175" s="17"/>
      <c r="S175" s="17"/>
      <c r="T175" s="17" t="str">
        <f>IFERROR(__xludf.DUMMYFUNCTION("""COMPUTED_VALUE"""),"DK 8837 HC")</f>
        <v>DK 8837 HC</v>
      </c>
      <c r="U175" s="17" t="str">
        <f>IFERROR(__xludf.DUMMYFUNCTION("""COMPUTED_VALUE"""),"TLPG MANGGIS")</f>
        <v>TLPG MANGGIS</v>
      </c>
      <c r="V175" s="17" t="str">
        <f>IFERROR(__xludf.DUMMYFUNCTION("""COMPUTED_VALUE"""),"SPPBE-PT. Sembilan Semangat")</f>
        <v>SPPBE-PT. Sembilan Semangat</v>
      </c>
      <c r="W175" s="17">
        <f>IFERROR(__xludf.DUMMYFUNCTION("""COMPUTED_VALUE"""),67.4)</f>
        <v>67.4</v>
      </c>
      <c r="X175" s="17" t="str">
        <f>IFERROR(__xludf.DUMMYFUNCTION("""COMPUTED_VALUE"""),"SEDANG")</f>
        <v>SEDANG</v>
      </c>
      <c r="Y175" s="17">
        <f>IFERROR(__xludf.DUMMYFUNCTION("""COMPUTED_VALUE"""),2.0)</f>
        <v>2</v>
      </c>
      <c r="Z175" s="17">
        <f>IFERROR(__xludf.DUMMYFUNCTION("""COMPUTED_VALUE"""),4.0)</f>
        <v>4</v>
      </c>
      <c r="AB175" s="48" t="str">
        <f>IFERROR(__xludf.DUMMYFUNCTION("""COMPUTED_VALUE"""),"PT PERMATA ENERGI BUMI INDONESIA")</f>
        <v>PT PERMATA ENERGI BUMI INDONESIA</v>
      </c>
      <c r="AC175" s="48" t="str">
        <f>IFERROR(__xludf.DUMMYFUNCTION("""COMPUTED_VALUE"""),"L 8192 UX")</f>
        <v>L 8192 UX</v>
      </c>
      <c r="AD175" s="48" t="str">
        <f>IFERROR(__xludf.DUMMYFUNCTION("""COMPUTED_VALUE"""),"TLPG MEM GRESIK")</f>
        <v>TLPG MEM GRESIK</v>
      </c>
      <c r="AE175" s="17">
        <f>IFERROR(__xludf.DUMMYFUNCTION("""COMPUTED_VALUE"""),7.0)</f>
        <v>7</v>
      </c>
    </row>
    <row r="176">
      <c r="A176" s="12">
        <v>174.0</v>
      </c>
      <c r="B176" s="9" t="s">
        <v>212</v>
      </c>
      <c r="C176" s="9" t="s">
        <v>25</v>
      </c>
      <c r="D176" s="9" t="s">
        <v>442</v>
      </c>
      <c r="E176" s="49">
        <v>17.0</v>
      </c>
      <c r="F176" s="23" t="s">
        <v>454</v>
      </c>
      <c r="G176" s="9" t="str">
        <f>IFERROR(VLOOKUP(C176,'MASTER TLPG'!A:B,2,FALSE),"")</f>
        <v>-7.109201954744449, 112.62272164861744</v>
      </c>
      <c r="H176" s="9" t="str">
        <f>IFERROR(VLOOKUP(D176,'MASTER PERUSAHAAN'!A:B,2,FALSE),"")</f>
        <v>-7.199748218489622, 112.63929596723548</v>
      </c>
      <c r="J176" s="9" t="str">
        <f t="shared" si="1"/>
        <v>DEKAT</v>
      </c>
      <c r="K176" s="11">
        <f t="shared" si="2"/>
        <v>1</v>
      </c>
      <c r="M176" s="17">
        <v>7.0</v>
      </c>
      <c r="N176" s="17"/>
      <c r="O176" s="17"/>
      <c r="P176" s="17"/>
      <c r="Q176" s="17"/>
      <c r="R176" s="17"/>
      <c r="S176" s="17"/>
      <c r="T176" s="17" t="str">
        <f>IFERROR(__xludf.DUMMYFUNCTION("""COMPUTED_VALUE"""),"DK 8352 GZ")</f>
        <v>DK 8352 GZ</v>
      </c>
      <c r="U176" s="17" t="str">
        <f>IFERROR(__xludf.DUMMYFUNCTION("""COMPUTED_VALUE"""),"TLPG MANGGIS")</f>
        <v>TLPG MANGGIS</v>
      </c>
      <c r="V176" s="17" t="str">
        <f>IFERROR(__xludf.DUMMYFUNCTION("""COMPUTED_VALUE"""),"SPPBE-PT. Sembilan Semangat")</f>
        <v>SPPBE-PT. Sembilan Semangat</v>
      </c>
      <c r="W176" s="17">
        <f>IFERROR(__xludf.DUMMYFUNCTION("""COMPUTED_VALUE"""),67.4)</f>
        <v>67.4</v>
      </c>
      <c r="X176" s="17" t="str">
        <f>IFERROR(__xludf.DUMMYFUNCTION("""COMPUTED_VALUE"""),"SEDANG")</f>
        <v>SEDANG</v>
      </c>
      <c r="Y176" s="17">
        <f>IFERROR(__xludf.DUMMYFUNCTION("""COMPUTED_VALUE"""),2.0)</f>
        <v>2</v>
      </c>
      <c r="Z176" s="17">
        <f>IFERROR(__xludf.DUMMYFUNCTION("""COMPUTED_VALUE"""),7.0)</f>
        <v>7</v>
      </c>
      <c r="AB176" s="48" t="str">
        <f>IFERROR(__xludf.DUMMYFUNCTION("""COMPUTED_VALUE"""),"PT PETROGAS JATIM UTAMA")</f>
        <v>PT PETROGAS JATIM UTAMA</v>
      </c>
      <c r="AC176" s="48" t="str">
        <f>IFERROR(__xludf.DUMMYFUNCTION("""COMPUTED_VALUE"""),"N 9502 UG")</f>
        <v>N 9502 UG</v>
      </c>
      <c r="AD176" s="48" t="str">
        <f>IFERROR(__xludf.DUMMYFUNCTION("""COMPUTED_VALUE"""),"TLPG TJ PERAK")</f>
        <v>TLPG TJ PERAK</v>
      </c>
      <c r="AE176" s="17">
        <f>IFERROR(__xludf.DUMMYFUNCTION("""COMPUTED_VALUE"""),1.0)</f>
        <v>1</v>
      </c>
    </row>
    <row r="177">
      <c r="A177" s="12">
        <v>175.0</v>
      </c>
      <c r="B177" s="9" t="s">
        <v>213</v>
      </c>
      <c r="C177" s="9" t="s">
        <v>25</v>
      </c>
      <c r="D177" s="9" t="s">
        <v>226</v>
      </c>
      <c r="E177" s="49">
        <v>17.0</v>
      </c>
      <c r="F177" s="23" t="s">
        <v>454</v>
      </c>
      <c r="G177" s="9" t="str">
        <f>IFERROR(VLOOKUP(C177,'MASTER TLPG'!A:B,2,FALSE),"")</f>
        <v>-7.109201954744449, 112.62272164861744</v>
      </c>
      <c r="H177" s="9" t="str">
        <f>IFERROR(VLOOKUP(D177,'MASTER PERUSAHAAN'!A:B,2,FALSE),"")</f>
        <v>-7.199690597978902, 112.63913107063003</v>
      </c>
      <c r="J177" s="9" t="str">
        <f t="shared" si="1"/>
        <v>DEKAT</v>
      </c>
      <c r="K177" s="11">
        <f t="shared" si="2"/>
        <v>1</v>
      </c>
      <c r="M177" s="17">
        <v>7.0</v>
      </c>
      <c r="N177" s="17"/>
      <c r="O177" s="17"/>
      <c r="P177" s="17"/>
      <c r="Q177" s="17"/>
      <c r="R177" s="17"/>
      <c r="S177" s="17"/>
      <c r="T177" s="17" t="str">
        <f>IFERROR(__xludf.DUMMYFUNCTION("""COMPUTED_VALUE"""),"DK 8078 HJ")</f>
        <v>DK 8078 HJ</v>
      </c>
      <c r="U177" s="17" t="str">
        <f>IFERROR(__xludf.DUMMYFUNCTION("""COMPUTED_VALUE"""),"TLPG MANGGIS")</f>
        <v>TLPG MANGGIS</v>
      </c>
      <c r="V177" s="17" t="str">
        <f>IFERROR(__xludf.DUMMYFUNCTION("""COMPUTED_VALUE"""),"SPPBE-PT. Sembilan Semangat")</f>
        <v>SPPBE-PT. Sembilan Semangat</v>
      </c>
      <c r="W177" s="17">
        <f>IFERROR(__xludf.DUMMYFUNCTION("""COMPUTED_VALUE"""),67.4)</f>
        <v>67.4</v>
      </c>
      <c r="X177" s="17" t="str">
        <f>IFERROR(__xludf.DUMMYFUNCTION("""COMPUTED_VALUE"""),"SEDANG")</f>
        <v>SEDANG</v>
      </c>
      <c r="Y177" s="17">
        <f>IFERROR(__xludf.DUMMYFUNCTION("""COMPUTED_VALUE"""),2.0)</f>
        <v>2</v>
      </c>
      <c r="Z177" s="17">
        <f>IFERROR(__xludf.DUMMYFUNCTION("""COMPUTED_VALUE"""),12.0)</f>
        <v>12</v>
      </c>
      <c r="AB177" s="48" t="str">
        <f>IFERROR(__xludf.DUMMYFUNCTION("""COMPUTED_VALUE"""),"PT PETROGAS JATIM UTAMA")</f>
        <v>PT PETROGAS JATIM UTAMA</v>
      </c>
      <c r="AC177" s="48" t="str">
        <f>IFERROR(__xludf.DUMMYFUNCTION("""COMPUTED_VALUE"""),"L 8418 AG")</f>
        <v>L 8418 AG</v>
      </c>
      <c r="AD177" s="48" t="str">
        <f>IFERROR(__xludf.DUMMYFUNCTION("""COMPUTED_VALUE"""),"TLPG TJ PERAK")</f>
        <v>TLPG TJ PERAK</v>
      </c>
      <c r="AE177" s="17">
        <f>IFERROR(__xludf.DUMMYFUNCTION("""COMPUTED_VALUE"""),5.0)</f>
        <v>5</v>
      </c>
    </row>
    <row r="178">
      <c r="A178" s="12">
        <v>176.0</v>
      </c>
      <c r="B178" s="9" t="s">
        <v>214</v>
      </c>
      <c r="C178" s="9" t="s">
        <v>7</v>
      </c>
      <c r="D178" s="9" t="s">
        <v>448</v>
      </c>
      <c r="E178" s="49">
        <v>109.2</v>
      </c>
      <c r="F178" s="23" t="s">
        <v>454</v>
      </c>
      <c r="G178" s="9" t="str">
        <f>IFERROR(VLOOKUP(C178,'MASTER TLPG'!A:B,2,FALSE),"")</f>
        <v>-7.203807110524606, 112.71950675497641</v>
      </c>
      <c r="H178" s="9" t="str">
        <f>IFERROR(VLOOKUP(D178,'MASTER PERUSAHAAN'!A:B,2,FALSE),"")</f>
        <v>-7.219350074001657, 113.42586363278424</v>
      </c>
      <c r="J178" s="9" t="str">
        <f t="shared" si="1"/>
        <v>SEDANG</v>
      </c>
      <c r="K178" s="11">
        <f t="shared" si="2"/>
        <v>2</v>
      </c>
      <c r="M178" s="17">
        <v>7.0</v>
      </c>
      <c r="N178" s="17"/>
      <c r="O178" s="17"/>
      <c r="P178" s="17"/>
      <c r="Q178" s="17"/>
      <c r="R178" s="17"/>
      <c r="S178" s="17"/>
      <c r="T178" s="17" t="str">
        <f>IFERROR(__xludf.DUMMYFUNCTION("""COMPUTED_VALUE"""),"S 9010 NI")</f>
        <v>S 9010 NI</v>
      </c>
      <c r="U178" s="17" t="str">
        <f>IFERROR(__xludf.DUMMYFUNCTION("""COMPUTED_VALUE"""),"TLPG TJ PERAK")</f>
        <v>TLPG TJ PERAK</v>
      </c>
      <c r="V178" s="17" t="str">
        <f>IFERROR(__xludf.DUMMYFUNCTION("""COMPUTED_VALUE"""),"PT PATERMAN PETRONIAGA")</f>
        <v>PT PATERMAN PETRONIAGA</v>
      </c>
      <c r="W178" s="17">
        <f>IFERROR(__xludf.DUMMYFUNCTION("""COMPUTED_VALUE"""),67.2)</f>
        <v>67.2</v>
      </c>
      <c r="X178" s="17" t="str">
        <f>IFERROR(__xludf.DUMMYFUNCTION("""COMPUTED_VALUE"""),"SEDANG")</f>
        <v>SEDANG</v>
      </c>
      <c r="Y178" s="17">
        <f>IFERROR(__xludf.DUMMYFUNCTION("""COMPUTED_VALUE"""),2.0)</f>
        <v>2</v>
      </c>
      <c r="Z178" s="17">
        <f>IFERROR(__xludf.DUMMYFUNCTION("""COMPUTED_VALUE"""),12.0)</f>
        <v>12</v>
      </c>
      <c r="AB178" s="48" t="str">
        <f>IFERROR(__xludf.DUMMYFUNCTION("""COMPUTED_VALUE"""),"PT PROFIL SUKSES ABADI")</f>
        <v>PT PROFIL SUKSES ABADI</v>
      </c>
      <c r="AC178" s="48" t="str">
        <f>IFERROR(__xludf.DUMMYFUNCTION("""COMPUTED_VALUE"""),"S 8936 UM")</f>
        <v>S 8936 UM</v>
      </c>
      <c r="AD178" s="48" t="str">
        <f>IFERROR(__xludf.DUMMYFUNCTION("""COMPUTED_VALUE"""),"TLPG TJ PERAK")</f>
        <v>TLPG TJ PERAK</v>
      </c>
      <c r="AE178" s="17">
        <f>IFERROR(__xludf.DUMMYFUNCTION("""COMPUTED_VALUE"""),12.0)</f>
        <v>12</v>
      </c>
    </row>
    <row r="179">
      <c r="A179" s="12">
        <v>177.0</v>
      </c>
      <c r="B179" s="9" t="s">
        <v>216</v>
      </c>
      <c r="C179" s="9" t="s">
        <v>7</v>
      </c>
      <c r="D179" s="9" t="s">
        <v>458</v>
      </c>
      <c r="E179" s="49">
        <v>161.8</v>
      </c>
      <c r="F179" s="23" t="s">
        <v>454</v>
      </c>
      <c r="G179" s="9" t="str">
        <f>IFERROR(VLOOKUP(C179,'MASTER TLPG'!A:B,2,FALSE),"")</f>
        <v>-7.203807110524606, 112.71950675497641</v>
      </c>
      <c r="H179" s="9" t="str">
        <f>IFERROR(VLOOKUP(D179,'MASTER PERUSAHAAN'!A:B,2,FALSE),"")</f>
        <v>-7.0966752804066555, 113.81822839938023</v>
      </c>
      <c r="J179" s="9" t="str">
        <f t="shared" si="1"/>
        <v>JAUH</v>
      </c>
      <c r="K179" s="11">
        <f t="shared" si="2"/>
        <v>3</v>
      </c>
      <c r="M179" s="17">
        <v>7.0</v>
      </c>
      <c r="N179" s="17"/>
      <c r="O179" s="17"/>
      <c r="P179" s="17"/>
      <c r="Q179" s="17"/>
      <c r="R179" s="17"/>
      <c r="S179" s="17"/>
      <c r="T179" s="17" t="str">
        <f>IFERROR(__xludf.DUMMYFUNCTION("""COMPUTED_VALUE"""),"S 9973 UQ")</f>
        <v>S 9973 UQ</v>
      </c>
      <c r="U179" s="17" t="str">
        <f>IFERROR(__xludf.DUMMYFUNCTION("""COMPUTED_VALUE"""),"TLPG TJ PERAK")</f>
        <v>TLPG TJ PERAK</v>
      </c>
      <c r="V179" s="17" t="str">
        <f>IFERROR(__xludf.DUMMYFUNCTION("""COMPUTED_VALUE"""),"PT PATERMAN PETRONIAGA")</f>
        <v>PT PATERMAN PETRONIAGA</v>
      </c>
      <c r="W179" s="17">
        <f>IFERROR(__xludf.DUMMYFUNCTION("""COMPUTED_VALUE"""),67.2)</f>
        <v>67.2</v>
      </c>
      <c r="X179" s="17" t="str">
        <f>IFERROR(__xludf.DUMMYFUNCTION("""COMPUTED_VALUE"""),"SEDANG")</f>
        <v>SEDANG</v>
      </c>
      <c r="Y179" s="17">
        <f>IFERROR(__xludf.DUMMYFUNCTION("""COMPUTED_VALUE"""),2.0)</f>
        <v>2</v>
      </c>
      <c r="Z179" s="17">
        <f>IFERROR(__xludf.DUMMYFUNCTION("""COMPUTED_VALUE"""),12.0)</f>
        <v>12</v>
      </c>
      <c r="AB179" s="48" t="str">
        <f>IFERROR(__xludf.DUMMYFUNCTION("""COMPUTED_VALUE"""),"PT PURBAYA BAGELEN MANDIRI")</f>
        <v>PT PURBAYA BAGELEN MANDIRI</v>
      </c>
      <c r="AC179" s="48" t="str">
        <f>IFERROR(__xludf.DUMMYFUNCTION("""COMPUTED_VALUE"""),"S 9096 UH")</f>
        <v>S 9096 UH</v>
      </c>
      <c r="AD179" s="48" t="str">
        <f>IFERROR(__xludf.DUMMYFUNCTION("""COMPUTED_VALUE"""),"TLPG TJ PERAK")</f>
        <v>TLPG TJ PERAK</v>
      </c>
      <c r="AE179" s="17">
        <f>IFERROR(__xludf.DUMMYFUNCTION("""COMPUTED_VALUE"""),12.0)</f>
        <v>12</v>
      </c>
    </row>
    <row r="180">
      <c r="A180" s="12">
        <v>178.0</v>
      </c>
      <c r="B180" s="9" t="s">
        <v>217</v>
      </c>
      <c r="C180" s="9" t="s">
        <v>7</v>
      </c>
      <c r="D180" s="9" t="s">
        <v>443</v>
      </c>
      <c r="E180" s="49">
        <v>101.3</v>
      </c>
      <c r="F180" s="23" t="s">
        <v>454</v>
      </c>
      <c r="G180" s="9" t="str">
        <f>IFERROR(VLOOKUP(C180,'MASTER TLPG'!A:B,2,FALSE),"")</f>
        <v>-7.203807110524606, 112.71950675497641</v>
      </c>
      <c r="H180" s="9" t="str">
        <f>IFERROR(VLOOKUP(D180,'MASTER PERUSAHAAN'!A:B,2,FALSE),"")</f>
        <v>-7.215552606970101, 113.35446796871307</v>
      </c>
      <c r="J180" s="9" t="str">
        <f t="shared" si="1"/>
        <v>SEDANG</v>
      </c>
      <c r="K180" s="11">
        <f t="shared" si="2"/>
        <v>2</v>
      </c>
      <c r="M180" s="17">
        <v>7.0</v>
      </c>
      <c r="N180" s="17"/>
      <c r="O180" s="17"/>
      <c r="P180" s="17"/>
      <c r="Q180" s="17"/>
      <c r="R180" s="17"/>
      <c r="S180" s="17"/>
      <c r="T180" s="17" t="str">
        <f>IFERROR(__xludf.DUMMYFUNCTION("""COMPUTED_VALUE"""),"N 9478 UG")</f>
        <v>N 9478 UG</v>
      </c>
      <c r="U180" s="17" t="str">
        <f>IFERROR(__xludf.DUMMYFUNCTION("""COMPUTED_VALUE"""),"TLPG TJ PERAK")</f>
        <v>TLPG TJ PERAK</v>
      </c>
      <c r="V180" s="17" t="str">
        <f>IFERROR(__xludf.DUMMYFUNCTION("""COMPUTED_VALUE"""),"PT BINA ANUGERAH INTI KIMIA")</f>
        <v>PT BINA ANUGERAH INTI KIMIA</v>
      </c>
      <c r="W180" s="17">
        <f>IFERROR(__xludf.DUMMYFUNCTION("""COMPUTED_VALUE"""),66.7)</f>
        <v>66.7</v>
      </c>
      <c r="X180" s="17" t="str">
        <f>IFERROR(__xludf.DUMMYFUNCTION("""COMPUTED_VALUE"""),"SEDANG")</f>
        <v>SEDANG</v>
      </c>
      <c r="Y180" s="17">
        <f>IFERROR(__xludf.DUMMYFUNCTION("""COMPUTED_VALUE"""),2.0)</f>
        <v>2</v>
      </c>
      <c r="Z180" s="17">
        <f>IFERROR(__xludf.DUMMYFUNCTION("""COMPUTED_VALUE"""),10.0)</f>
        <v>10</v>
      </c>
      <c r="AB180" s="48" t="str">
        <f>IFERROR(__xludf.DUMMYFUNCTION("""COMPUTED_VALUE"""),"PT PURBAYA BAGELEN MANDIRI")</f>
        <v>PT PURBAYA BAGELEN MANDIRI</v>
      </c>
      <c r="AC180" s="48" t="str">
        <f>IFERROR(__xludf.DUMMYFUNCTION("""COMPUTED_VALUE"""),"S 9650 UE")</f>
        <v>S 9650 UE</v>
      </c>
      <c r="AD180" s="48" t="str">
        <f>IFERROR(__xludf.DUMMYFUNCTION("""COMPUTED_VALUE"""),"TLPG TJ PERAK")</f>
        <v>TLPG TJ PERAK</v>
      </c>
      <c r="AE180" s="17">
        <f>IFERROR(__xludf.DUMMYFUNCTION("""COMPUTED_VALUE"""),12.0)</f>
        <v>12</v>
      </c>
    </row>
    <row r="181">
      <c r="A181" s="12">
        <v>179.0</v>
      </c>
      <c r="B181" s="9" t="s">
        <v>218</v>
      </c>
      <c r="C181" s="9" t="s">
        <v>7</v>
      </c>
      <c r="D181" s="9" t="s">
        <v>427</v>
      </c>
      <c r="E181" s="49">
        <v>28.1</v>
      </c>
      <c r="F181" s="23" t="s">
        <v>454</v>
      </c>
      <c r="G181" s="9" t="str">
        <f>IFERROR(VLOOKUP(C181,'MASTER TLPG'!A:B,2,FALSE),"")</f>
        <v>-7.203807110524606, 112.71950675497641</v>
      </c>
      <c r="H181" s="9" t="str">
        <f>IFERROR(VLOOKUP(D181,'MASTER PERUSAHAAN'!A:B,2,FALSE),"")</f>
        <v>-7.095473583101526, 112.79716912696946</v>
      </c>
      <c r="J181" s="9" t="str">
        <f t="shared" si="1"/>
        <v>DEKAT</v>
      </c>
      <c r="K181" s="11">
        <f t="shared" si="2"/>
        <v>1</v>
      </c>
      <c r="M181" s="17">
        <v>7.0</v>
      </c>
      <c r="N181" s="17"/>
      <c r="O181" s="17"/>
      <c r="P181" s="17"/>
      <c r="Q181" s="17"/>
      <c r="R181" s="17"/>
      <c r="S181" s="17"/>
      <c r="T181" s="17" t="str">
        <f>IFERROR(__xludf.DUMMYFUNCTION("""COMPUTED_VALUE"""),"N 9578 US")</f>
        <v>N 9578 US</v>
      </c>
      <c r="U181" s="17" t="str">
        <f>IFERROR(__xludf.DUMMYFUNCTION("""COMPUTED_VALUE"""),"TLPG TJ PERAK")</f>
        <v>TLPG TJ PERAK</v>
      </c>
      <c r="V181" s="17" t="str">
        <f>IFERROR(__xludf.DUMMYFUNCTION("""COMPUTED_VALUE"""),"PT BINA ANUGERAH INTI KIMIA")</f>
        <v>PT BINA ANUGERAH INTI KIMIA</v>
      </c>
      <c r="W181" s="17">
        <f>IFERROR(__xludf.DUMMYFUNCTION("""COMPUTED_VALUE"""),66.7)</f>
        <v>66.7</v>
      </c>
      <c r="X181" s="17" t="str">
        <f>IFERROR(__xludf.DUMMYFUNCTION("""COMPUTED_VALUE"""),"SEDANG")</f>
        <v>SEDANG</v>
      </c>
      <c r="Y181" s="17">
        <f>IFERROR(__xludf.DUMMYFUNCTION("""COMPUTED_VALUE"""),2.0)</f>
        <v>2</v>
      </c>
      <c r="Z181" s="17">
        <f>IFERROR(__xludf.DUMMYFUNCTION("""COMPUTED_VALUE"""),10.0)</f>
        <v>10</v>
      </c>
      <c r="AB181" s="48" t="str">
        <f>IFERROR(__xludf.DUMMYFUNCTION("""COMPUTED_VALUE"""),"PT RACHMASARI BRASS INDONESIA")</f>
        <v>PT RACHMASARI BRASS INDONESIA</v>
      </c>
      <c r="AC181" s="48" t="str">
        <f>IFERROR(__xludf.DUMMYFUNCTION("""COMPUTED_VALUE"""),"AG 8913 UK")</f>
        <v>AG 8913 UK</v>
      </c>
      <c r="AD181" s="48" t="str">
        <f>IFERROR(__xludf.DUMMYFUNCTION("""COMPUTED_VALUE"""),"TLPG TJ PERAK")</f>
        <v>TLPG TJ PERAK</v>
      </c>
      <c r="AE181" s="17">
        <f>IFERROR(__xludf.DUMMYFUNCTION("""COMPUTED_VALUE"""),9.0)</f>
        <v>9</v>
      </c>
    </row>
    <row r="182">
      <c r="A182" s="12">
        <v>180.0</v>
      </c>
      <c r="B182" s="9" t="s">
        <v>221</v>
      </c>
      <c r="C182" s="9" t="s">
        <v>7</v>
      </c>
      <c r="D182" s="9" t="s">
        <v>427</v>
      </c>
      <c r="E182" s="49">
        <v>28.1</v>
      </c>
      <c r="F182" s="23" t="s">
        <v>454</v>
      </c>
      <c r="G182" s="9" t="str">
        <f>IFERROR(VLOOKUP(C182,'MASTER TLPG'!A:B,2,FALSE),"")</f>
        <v>-7.203807110524606, 112.71950675497641</v>
      </c>
      <c r="H182" s="9" t="str">
        <f>IFERROR(VLOOKUP(D182,'MASTER PERUSAHAAN'!A:B,2,FALSE),"")</f>
        <v>-7.095473583101526, 112.79716912696946</v>
      </c>
      <c r="J182" s="9" t="str">
        <f t="shared" si="1"/>
        <v>DEKAT</v>
      </c>
      <c r="K182" s="11">
        <f t="shared" si="2"/>
        <v>1</v>
      </c>
      <c r="M182" s="17">
        <v>7.0</v>
      </c>
      <c r="N182" s="17"/>
      <c r="O182" s="17"/>
      <c r="P182" s="17"/>
      <c r="Q182" s="17"/>
      <c r="R182" s="17"/>
      <c r="S182" s="17"/>
      <c r="T182" s="17" t="str">
        <f>IFERROR(__xludf.DUMMYFUNCTION("""COMPUTED_VALUE"""),"S 8543 UN")</f>
        <v>S 8543 UN</v>
      </c>
      <c r="U182" s="17" t="str">
        <f>IFERROR(__xludf.DUMMYFUNCTION("""COMPUTED_VALUE"""),"TLPG TJ PERAK")</f>
        <v>TLPG TJ PERAK</v>
      </c>
      <c r="V182" s="17" t="str">
        <f>IFERROR(__xludf.DUMMYFUNCTION("""COMPUTED_VALUE"""),"PT AMANATUL UMMAH GAS")</f>
        <v>PT AMANATUL UMMAH GAS</v>
      </c>
      <c r="W182" s="17">
        <f>IFERROR(__xludf.DUMMYFUNCTION("""COMPUTED_VALUE"""),65.8)</f>
        <v>65.8</v>
      </c>
      <c r="X182" s="17" t="str">
        <f>IFERROR(__xludf.DUMMYFUNCTION("""COMPUTED_VALUE"""),"SEDANG")</f>
        <v>SEDANG</v>
      </c>
      <c r="Y182" s="17">
        <f>IFERROR(__xludf.DUMMYFUNCTION("""COMPUTED_VALUE"""),2.0)</f>
        <v>2</v>
      </c>
      <c r="Z182" s="17">
        <f>IFERROR(__xludf.DUMMYFUNCTION("""COMPUTED_VALUE"""),11.0)</f>
        <v>11</v>
      </c>
      <c r="AB182" s="48" t="str">
        <f>IFERROR(__xludf.DUMMYFUNCTION("""COMPUTED_VALUE"""),"PT RADIMA JAYA KEDIRI")</f>
        <v>PT RADIMA JAYA KEDIRI</v>
      </c>
      <c r="AC182" s="48" t="str">
        <f>IFERROR(__xludf.DUMMYFUNCTION("""COMPUTED_VALUE"""),"AG 8093 EI")</f>
        <v>AG 8093 EI</v>
      </c>
      <c r="AD182" s="48" t="str">
        <f>IFERROR(__xludf.DUMMYFUNCTION("""COMPUTED_VALUE"""),"TLPG MEM GRESIK")</f>
        <v>TLPG MEM GRESIK</v>
      </c>
      <c r="AE182" s="17">
        <f>IFERROR(__xludf.DUMMYFUNCTION("""COMPUTED_VALUE"""),1.0)</f>
        <v>1</v>
      </c>
    </row>
    <row r="183">
      <c r="A183" s="12">
        <v>181.0</v>
      </c>
      <c r="B183" s="9" t="s">
        <v>222</v>
      </c>
      <c r="C183" s="9" t="s">
        <v>7</v>
      </c>
      <c r="D183" s="9" t="s">
        <v>453</v>
      </c>
      <c r="E183" s="49">
        <v>155.6</v>
      </c>
      <c r="F183" s="23" t="s">
        <v>454</v>
      </c>
      <c r="G183" s="9" t="str">
        <f>IFERROR(VLOOKUP(C183,'MASTER TLPG'!A:B,2,FALSE),"")</f>
        <v>-7.203807110524606, 112.71950675497641</v>
      </c>
      <c r="H183" s="9" t="str">
        <f>IFERROR(VLOOKUP(D183,'MASTER PERUSAHAAN'!A:B,2,FALSE),"")</f>
        <v>-7.118636503796531, 113.77641553408564</v>
      </c>
      <c r="J183" s="9" t="str">
        <f t="shared" si="1"/>
        <v>JAUH</v>
      </c>
      <c r="K183" s="11">
        <f t="shared" si="2"/>
        <v>3</v>
      </c>
      <c r="M183" s="17">
        <v>7.0</v>
      </c>
      <c r="N183" s="17"/>
      <c r="O183" s="17"/>
      <c r="P183" s="17"/>
      <c r="Q183" s="17"/>
      <c r="R183" s="17"/>
      <c r="S183" s="17"/>
      <c r="T183" s="17" t="str">
        <f>IFERROR(__xludf.DUMMYFUNCTION("""COMPUTED_VALUE"""),"S 8548 UN")</f>
        <v>S 8548 UN</v>
      </c>
      <c r="U183" s="17" t="str">
        <f>IFERROR(__xludf.DUMMYFUNCTION("""COMPUTED_VALUE"""),"TLPG TJ PERAK")</f>
        <v>TLPG TJ PERAK</v>
      </c>
      <c r="V183" s="17" t="str">
        <f>IFERROR(__xludf.DUMMYFUNCTION("""COMPUTED_VALUE"""),"PT AMANATUL UMMAH GAS")</f>
        <v>PT AMANATUL UMMAH GAS</v>
      </c>
      <c r="W183" s="17">
        <f>IFERROR(__xludf.DUMMYFUNCTION("""COMPUTED_VALUE"""),65.8)</f>
        <v>65.8</v>
      </c>
      <c r="X183" s="17" t="str">
        <f>IFERROR(__xludf.DUMMYFUNCTION("""COMPUTED_VALUE"""),"SEDANG")</f>
        <v>SEDANG</v>
      </c>
      <c r="Y183" s="17">
        <f>IFERROR(__xludf.DUMMYFUNCTION("""COMPUTED_VALUE"""),2.0)</f>
        <v>2</v>
      </c>
      <c r="Z183" s="17">
        <f>IFERROR(__xludf.DUMMYFUNCTION("""COMPUTED_VALUE"""),11.0)</f>
        <v>11</v>
      </c>
      <c r="AB183" s="48" t="str">
        <f>IFERROR(__xludf.DUMMYFUNCTION("""COMPUTED_VALUE"""),"PT RAMA MANGGALA GAS")</f>
        <v>PT RAMA MANGGALA GAS</v>
      </c>
      <c r="AC183" s="48" t="str">
        <f>IFERROR(__xludf.DUMMYFUNCTION("""COMPUTED_VALUE"""),"AG 8152 UL")</f>
        <v>AG 8152 UL</v>
      </c>
      <c r="AD183" s="48" t="str">
        <f>IFERROR(__xludf.DUMMYFUNCTION("""COMPUTED_VALUE"""),"TLPG TJ PERAK")</f>
        <v>TLPG TJ PERAK</v>
      </c>
      <c r="AE183" s="17">
        <f>IFERROR(__xludf.DUMMYFUNCTION("""COMPUTED_VALUE"""),3.0)</f>
        <v>3</v>
      </c>
    </row>
    <row r="184">
      <c r="A184" s="12">
        <v>182.0</v>
      </c>
      <c r="B184" s="9" t="s">
        <v>224</v>
      </c>
      <c r="C184" s="9" t="s">
        <v>7</v>
      </c>
      <c r="D184" s="9" t="s">
        <v>453</v>
      </c>
      <c r="E184" s="49">
        <v>155.6</v>
      </c>
      <c r="F184" s="23" t="s">
        <v>454</v>
      </c>
      <c r="G184" s="9" t="str">
        <f>IFERROR(VLOOKUP(C184,'MASTER TLPG'!A:B,2,FALSE),"")</f>
        <v>-7.203807110524606, 112.71950675497641</v>
      </c>
      <c r="H184" s="9" t="str">
        <f>IFERROR(VLOOKUP(D184,'MASTER PERUSAHAAN'!A:B,2,FALSE),"")</f>
        <v>-7.118636503796531, 113.77641553408564</v>
      </c>
      <c r="J184" s="9" t="str">
        <f t="shared" si="1"/>
        <v>JAUH</v>
      </c>
      <c r="K184" s="11">
        <f t="shared" si="2"/>
        <v>3</v>
      </c>
      <c r="M184" s="17">
        <v>7.0</v>
      </c>
      <c r="N184" s="17"/>
      <c r="O184" s="17"/>
      <c r="P184" s="17"/>
      <c r="Q184" s="17"/>
      <c r="R184" s="17"/>
      <c r="S184" s="17"/>
      <c r="T184" s="17" t="str">
        <f>IFERROR(__xludf.DUMMYFUNCTION("""COMPUTED_VALUE"""),"S 7850 UN")</f>
        <v>S 7850 UN</v>
      </c>
      <c r="U184" s="17" t="str">
        <f>IFERROR(__xludf.DUMMYFUNCTION("""COMPUTED_VALUE"""),"TLPG TJ PERAK")</f>
        <v>TLPG TJ PERAK</v>
      </c>
      <c r="V184" s="17" t="str">
        <f>IFERROR(__xludf.DUMMYFUNCTION("""COMPUTED_VALUE"""),"PT TRIMEGAH FARGASINDO")</f>
        <v>PT TRIMEGAH FARGASINDO</v>
      </c>
      <c r="W184" s="17">
        <f>IFERROR(__xludf.DUMMYFUNCTION("""COMPUTED_VALUE"""),64.1)</f>
        <v>64.1</v>
      </c>
      <c r="X184" s="17" t="str">
        <f>IFERROR(__xludf.DUMMYFUNCTION("""COMPUTED_VALUE"""),"SEDANG")</f>
        <v>SEDANG</v>
      </c>
      <c r="Y184" s="17">
        <f>IFERROR(__xludf.DUMMYFUNCTION("""COMPUTED_VALUE"""),2.0)</f>
        <v>2</v>
      </c>
      <c r="Z184" s="17">
        <f>IFERROR(__xludf.DUMMYFUNCTION("""COMPUTED_VALUE"""),10.0)</f>
        <v>10</v>
      </c>
      <c r="AB184" s="48" t="str">
        <f>IFERROR(__xludf.DUMMYFUNCTION("""COMPUTED_VALUE"""),"PT RAMA MANGGALA GAS")</f>
        <v>PT RAMA MANGGALA GAS</v>
      </c>
      <c r="AC184" s="48" t="str">
        <f>IFERROR(__xludf.DUMMYFUNCTION("""COMPUTED_VALUE"""),"AG 8223 LB")</f>
        <v>AG 8223 LB</v>
      </c>
      <c r="AD184" s="48" t="str">
        <f>IFERROR(__xludf.DUMMYFUNCTION("""COMPUTED_VALUE"""),"TLPG TJ PERAK")</f>
        <v>TLPG TJ PERAK</v>
      </c>
      <c r="AE184" s="17">
        <f>IFERROR(__xludf.DUMMYFUNCTION("""COMPUTED_VALUE"""),4.0)</f>
        <v>4</v>
      </c>
    </row>
    <row r="185">
      <c r="A185" s="12">
        <v>183.0</v>
      </c>
      <c r="B185" s="9" t="s">
        <v>225</v>
      </c>
      <c r="C185" s="9" t="s">
        <v>7</v>
      </c>
      <c r="D185" s="9" t="s">
        <v>458</v>
      </c>
      <c r="E185" s="49">
        <v>161.8</v>
      </c>
      <c r="F185" s="23" t="s">
        <v>454</v>
      </c>
      <c r="G185" s="9" t="str">
        <f>IFERROR(VLOOKUP(C185,'MASTER TLPG'!A:B,2,FALSE),"")</f>
        <v>-7.203807110524606, 112.71950675497641</v>
      </c>
      <c r="H185" s="9" t="str">
        <f>IFERROR(VLOOKUP(D185,'MASTER PERUSAHAAN'!A:B,2,FALSE),"")</f>
        <v>-7.0966752804066555, 113.81822839938023</v>
      </c>
      <c r="J185" s="9" t="str">
        <f t="shared" si="1"/>
        <v>JAUH</v>
      </c>
      <c r="K185" s="11">
        <f t="shared" si="2"/>
        <v>3</v>
      </c>
      <c r="M185" s="17">
        <v>7.0</v>
      </c>
      <c r="N185" s="17"/>
      <c r="O185" s="17"/>
      <c r="P185" s="17"/>
      <c r="Q185" s="17"/>
      <c r="R185" s="17"/>
      <c r="S185" s="17"/>
      <c r="T185" s="17" t="str">
        <f>IFERROR(__xludf.DUMMYFUNCTION("""COMPUTED_VALUE"""),"S 8943 UU")</f>
        <v>S 8943 UU</v>
      </c>
      <c r="U185" s="17" t="str">
        <f>IFERROR(__xludf.DUMMYFUNCTION("""COMPUTED_VALUE"""),"TLPG TJ PERAK")</f>
        <v>TLPG TJ PERAK</v>
      </c>
      <c r="V185" s="17" t="str">
        <f>IFERROR(__xludf.DUMMYFUNCTION("""COMPUTED_VALUE"""),"PT TRIMEGAH FARGASINDO")</f>
        <v>PT TRIMEGAH FARGASINDO</v>
      </c>
      <c r="W185" s="17">
        <f>IFERROR(__xludf.DUMMYFUNCTION("""COMPUTED_VALUE"""),64.1)</f>
        <v>64.1</v>
      </c>
      <c r="X185" s="17" t="str">
        <f>IFERROR(__xludf.DUMMYFUNCTION("""COMPUTED_VALUE"""),"SEDANG")</f>
        <v>SEDANG</v>
      </c>
      <c r="Y185" s="17">
        <f>IFERROR(__xludf.DUMMYFUNCTION("""COMPUTED_VALUE"""),2.0)</f>
        <v>2</v>
      </c>
      <c r="Z185" s="17">
        <f>IFERROR(__xludf.DUMMYFUNCTION("""COMPUTED_VALUE"""),11.0)</f>
        <v>11</v>
      </c>
      <c r="AB185" s="48" t="str">
        <f>IFERROR(__xludf.DUMMYFUNCTION("""COMPUTED_VALUE"""),"PT RAMA MANGGALA GAS")</f>
        <v>PT RAMA MANGGALA GAS</v>
      </c>
      <c r="AC185" s="48" t="str">
        <f>IFERROR(__xludf.DUMMYFUNCTION("""COMPUTED_VALUE"""),"AG 8817 UK")</f>
        <v>AG 8817 UK</v>
      </c>
      <c r="AD185" s="48" t="str">
        <f>IFERROR(__xludf.DUMMYFUNCTION("""COMPUTED_VALUE"""),"TLPG TJ PERAK")</f>
        <v>TLPG TJ PERAK</v>
      </c>
      <c r="AE185" s="17">
        <f>IFERROR(__xludf.DUMMYFUNCTION("""COMPUTED_VALUE"""),4.0)</f>
        <v>4</v>
      </c>
    </row>
    <row r="186">
      <c r="A186" s="12">
        <v>184.0</v>
      </c>
      <c r="B186" s="9" t="s">
        <v>227</v>
      </c>
      <c r="C186" s="9" t="s">
        <v>7</v>
      </c>
      <c r="D186" s="9" t="s">
        <v>458</v>
      </c>
      <c r="E186" s="49">
        <v>161.8</v>
      </c>
      <c r="F186" s="23" t="s">
        <v>454</v>
      </c>
      <c r="G186" s="9" t="str">
        <f>IFERROR(VLOOKUP(C186,'MASTER TLPG'!A:B,2,FALSE),"")</f>
        <v>-7.203807110524606, 112.71950675497641</v>
      </c>
      <c r="H186" s="9" t="str">
        <f>IFERROR(VLOOKUP(D186,'MASTER PERUSAHAAN'!A:B,2,FALSE),"")</f>
        <v>-7.0966752804066555, 113.81822839938023</v>
      </c>
      <c r="J186" s="9" t="str">
        <f t="shared" si="1"/>
        <v>JAUH</v>
      </c>
      <c r="K186" s="11">
        <f t="shared" si="2"/>
        <v>3</v>
      </c>
      <c r="M186" s="17">
        <v>7.0</v>
      </c>
      <c r="N186" s="17"/>
      <c r="O186" s="17"/>
      <c r="P186" s="17"/>
      <c r="Q186" s="17"/>
      <c r="R186" s="17"/>
      <c r="S186" s="17"/>
      <c r="T186" s="17" t="str">
        <f>IFERROR(__xludf.DUMMYFUNCTION("""COMPUTED_VALUE"""),"N 9344 EE")</f>
        <v>N 9344 EE</v>
      </c>
      <c r="U186" s="17" t="str">
        <f>IFERROR(__xludf.DUMMYFUNCTION("""COMPUTED_VALUE"""),"TLPG TJ PERAK")</f>
        <v>TLPG TJ PERAK</v>
      </c>
      <c r="V186" s="17" t="str">
        <f>IFERROR(__xludf.DUMMYFUNCTION("""COMPUTED_VALUE"""),"PT TATA BERSAMA")</f>
        <v>PT TATA BERSAMA</v>
      </c>
      <c r="W186" s="17">
        <f>IFERROR(__xludf.DUMMYFUNCTION("""COMPUTED_VALUE"""),61.2)</f>
        <v>61.2</v>
      </c>
      <c r="X186" s="17" t="str">
        <f>IFERROR(__xludf.DUMMYFUNCTION("""COMPUTED_VALUE"""),"SEDANG")</f>
        <v>SEDANG</v>
      </c>
      <c r="Y186" s="17">
        <f>IFERROR(__xludf.DUMMYFUNCTION("""COMPUTED_VALUE"""),2.0)</f>
        <v>2</v>
      </c>
      <c r="Z186" s="17">
        <f>IFERROR(__xludf.DUMMYFUNCTION("""COMPUTED_VALUE"""),9.0)</f>
        <v>9</v>
      </c>
      <c r="AB186" s="48" t="str">
        <f>IFERROR(__xludf.DUMMYFUNCTION("""COMPUTED_VALUE"""),"PT RAMA MANGGALA GAS")</f>
        <v>PT RAMA MANGGALA GAS</v>
      </c>
      <c r="AC186" s="48" t="str">
        <f>IFERROR(__xludf.DUMMYFUNCTION("""COMPUTED_VALUE"""),"AG 8818 UK")</f>
        <v>AG 8818 UK</v>
      </c>
      <c r="AD186" s="48" t="str">
        <f>IFERROR(__xludf.DUMMYFUNCTION("""COMPUTED_VALUE"""),"TLPG TJ PERAK")</f>
        <v>TLPG TJ PERAK</v>
      </c>
      <c r="AE186" s="17">
        <f>IFERROR(__xludf.DUMMYFUNCTION("""COMPUTED_VALUE"""),4.0)</f>
        <v>4</v>
      </c>
    </row>
    <row r="187">
      <c r="A187" s="12">
        <v>185.0</v>
      </c>
      <c r="B187" s="9" t="s">
        <v>228</v>
      </c>
      <c r="C187" s="9" t="s">
        <v>7</v>
      </c>
      <c r="D187" s="9" t="s">
        <v>453</v>
      </c>
      <c r="E187" s="49">
        <v>155.6</v>
      </c>
      <c r="F187" s="23" t="s">
        <v>454</v>
      </c>
      <c r="G187" s="9" t="str">
        <f>IFERROR(VLOOKUP(C187,'MASTER TLPG'!A:B,2,FALSE),"")</f>
        <v>-7.203807110524606, 112.71950675497641</v>
      </c>
      <c r="H187" s="9" t="str">
        <f>IFERROR(VLOOKUP(D187,'MASTER PERUSAHAAN'!A:B,2,FALSE),"")</f>
        <v>-7.118636503796531, 113.77641553408564</v>
      </c>
      <c r="J187" s="9" t="str">
        <f t="shared" si="1"/>
        <v>JAUH</v>
      </c>
      <c r="K187" s="11">
        <f t="shared" si="2"/>
        <v>3</v>
      </c>
      <c r="M187" s="17">
        <v>7.0</v>
      </c>
      <c r="N187" s="17"/>
      <c r="O187" s="17"/>
      <c r="P187" s="17"/>
      <c r="Q187" s="17"/>
      <c r="R187" s="17"/>
      <c r="S187" s="17"/>
      <c r="T187" s="17" t="str">
        <f>IFERROR(__xludf.DUMMYFUNCTION("""COMPUTED_VALUE"""),"N 8834 US")</f>
        <v>N 8834 US</v>
      </c>
      <c r="U187" s="17" t="str">
        <f>IFERROR(__xludf.DUMMYFUNCTION("""COMPUTED_VALUE"""),"TLPG TJ PERAK")</f>
        <v>TLPG TJ PERAK</v>
      </c>
      <c r="V187" s="17" t="str">
        <f>IFERROR(__xludf.DUMMYFUNCTION("""COMPUTED_VALUE"""),"PT TATA BERSAMA")</f>
        <v>PT TATA BERSAMA</v>
      </c>
      <c r="W187" s="17">
        <f>IFERROR(__xludf.DUMMYFUNCTION("""COMPUTED_VALUE"""),61.2)</f>
        <v>61.2</v>
      </c>
      <c r="X187" s="17" t="str">
        <f>IFERROR(__xludf.DUMMYFUNCTION("""COMPUTED_VALUE"""),"SEDANG")</f>
        <v>SEDANG</v>
      </c>
      <c r="Y187" s="17">
        <f>IFERROR(__xludf.DUMMYFUNCTION("""COMPUTED_VALUE"""),2.0)</f>
        <v>2</v>
      </c>
      <c r="Z187" s="17">
        <f>IFERROR(__xludf.DUMMYFUNCTION("""COMPUTED_VALUE"""),10.0)</f>
        <v>10</v>
      </c>
      <c r="AB187" s="48" t="str">
        <f>IFERROR(__xludf.DUMMYFUNCTION("""COMPUTED_VALUE"""),"PT RAMA MANGGALA GAS")</f>
        <v>PT RAMA MANGGALA GAS</v>
      </c>
      <c r="AC187" s="48" t="str">
        <f>IFERROR(__xludf.DUMMYFUNCTION("""COMPUTED_VALUE"""),"AE 8527 UJ")</f>
        <v>AE 8527 UJ</v>
      </c>
      <c r="AD187" s="48" t="str">
        <f>IFERROR(__xludf.DUMMYFUNCTION("""COMPUTED_VALUE"""),"TLPG TJ PERAK")</f>
        <v>TLPG TJ PERAK</v>
      </c>
      <c r="AE187" s="17">
        <f>IFERROR(__xludf.DUMMYFUNCTION("""COMPUTED_VALUE"""),5.0)</f>
        <v>5</v>
      </c>
    </row>
    <row r="188">
      <c r="A188" s="12">
        <v>186.0</v>
      </c>
      <c r="B188" s="9" t="s">
        <v>229</v>
      </c>
      <c r="C188" s="9" t="s">
        <v>7</v>
      </c>
      <c r="D188" s="9" t="s">
        <v>458</v>
      </c>
      <c r="E188" s="49">
        <v>161.8</v>
      </c>
      <c r="F188" s="23" t="s">
        <v>454</v>
      </c>
      <c r="G188" s="9" t="str">
        <f>IFERROR(VLOOKUP(C188,'MASTER TLPG'!A:B,2,FALSE),"")</f>
        <v>-7.203807110524606, 112.71950675497641</v>
      </c>
      <c r="H188" s="9" t="str">
        <f>IFERROR(VLOOKUP(D188,'MASTER PERUSAHAAN'!A:B,2,FALSE),"")</f>
        <v>-7.0966752804066555, 113.81822839938023</v>
      </c>
      <c r="J188" s="9" t="str">
        <f t="shared" si="1"/>
        <v>JAUH</v>
      </c>
      <c r="K188" s="11">
        <f t="shared" si="2"/>
        <v>3</v>
      </c>
      <c r="M188" s="17">
        <v>7.0</v>
      </c>
      <c r="N188" s="17"/>
      <c r="O188" s="17"/>
      <c r="P188" s="17"/>
      <c r="Q188" s="17"/>
      <c r="R188" s="17"/>
      <c r="S188" s="17"/>
      <c r="T188" s="17" t="str">
        <f>IFERROR(__xludf.DUMMYFUNCTION("""COMPUTED_VALUE"""),"S 8936 UM")</f>
        <v>S 8936 UM</v>
      </c>
      <c r="U188" s="17" t="str">
        <f>IFERROR(__xludf.DUMMYFUNCTION("""COMPUTED_VALUE"""),"TLPG TJ PERAK")</f>
        <v>TLPG TJ PERAK</v>
      </c>
      <c r="V188" s="17" t="str">
        <f>IFERROR(__xludf.DUMMYFUNCTION("""COMPUTED_VALUE"""),"PT PROFIL SUKSES ABADI")</f>
        <v>PT PROFIL SUKSES ABADI</v>
      </c>
      <c r="W188" s="17">
        <f>IFERROR(__xludf.DUMMYFUNCTION("""COMPUTED_VALUE"""),58.9)</f>
        <v>58.9</v>
      </c>
      <c r="X188" s="17" t="str">
        <f>IFERROR(__xludf.DUMMYFUNCTION("""COMPUTED_VALUE"""),"SEDANG")</f>
        <v>SEDANG</v>
      </c>
      <c r="Y188" s="17">
        <f>IFERROR(__xludf.DUMMYFUNCTION("""COMPUTED_VALUE"""),2.0)</f>
        <v>2</v>
      </c>
      <c r="Z188" s="17">
        <f>IFERROR(__xludf.DUMMYFUNCTION("""COMPUTED_VALUE"""),12.0)</f>
        <v>12</v>
      </c>
      <c r="AB188" s="48" t="str">
        <f>IFERROR(__xludf.DUMMYFUNCTION("""COMPUTED_VALUE"""),"PT SEKAWAN GAS NUSA")</f>
        <v>PT SEKAWAN GAS NUSA</v>
      </c>
      <c r="AC188" s="48" t="str">
        <f>IFERROR(__xludf.DUMMYFUNCTION("""COMPUTED_VALUE"""),"AE 8835 UQ")</f>
        <v>AE 8835 UQ</v>
      </c>
      <c r="AD188" s="48" t="str">
        <f>IFERROR(__xludf.DUMMYFUNCTION("""COMPUTED_VALUE"""),"TLPG TJ PERAK")</f>
        <v>TLPG TJ PERAK</v>
      </c>
      <c r="AE188" s="17">
        <f>IFERROR(__xludf.DUMMYFUNCTION("""COMPUTED_VALUE"""),1.0)</f>
        <v>1</v>
      </c>
    </row>
    <row r="189">
      <c r="A189" s="12">
        <v>187.0</v>
      </c>
      <c r="B189" s="9" t="s">
        <v>230</v>
      </c>
      <c r="C189" s="9" t="s">
        <v>7</v>
      </c>
      <c r="D189" s="9" t="s">
        <v>443</v>
      </c>
      <c r="E189" s="49">
        <v>101.3</v>
      </c>
      <c r="F189" s="23" t="s">
        <v>454</v>
      </c>
      <c r="G189" s="9" t="str">
        <f>IFERROR(VLOOKUP(C189,'MASTER TLPG'!A:B,2,FALSE),"")</f>
        <v>-7.203807110524606, 112.71950675497641</v>
      </c>
      <c r="H189" s="9" t="str">
        <f>IFERROR(VLOOKUP(D189,'MASTER PERUSAHAAN'!A:B,2,FALSE),"")</f>
        <v>-7.215552606970101, 113.35446796871307</v>
      </c>
      <c r="J189" s="9" t="str">
        <f t="shared" si="1"/>
        <v>SEDANG</v>
      </c>
      <c r="K189" s="11">
        <f t="shared" si="2"/>
        <v>2</v>
      </c>
      <c r="M189" s="17">
        <v>7.0</v>
      </c>
      <c r="N189" s="17"/>
      <c r="O189" s="17"/>
      <c r="P189" s="17"/>
      <c r="Q189" s="17"/>
      <c r="R189" s="17"/>
      <c r="S189" s="17"/>
      <c r="T189" s="17" t="str">
        <f>IFERROR(__xludf.DUMMYFUNCTION("""COMPUTED_VALUE"""),"S 9611 UJ")</f>
        <v>S 9611 UJ</v>
      </c>
      <c r="U189" s="17" t="str">
        <f>IFERROR(__xludf.DUMMYFUNCTION("""COMPUTED_VALUE"""),"TLPG TJ PERAK")</f>
        <v>TLPG TJ PERAK</v>
      </c>
      <c r="V189" s="17" t="str">
        <f>IFERROR(__xludf.DUMMYFUNCTION("""COMPUTED_VALUE"""),"PT CATUR MITRA LAMONGAN PRIMA GAS")</f>
        <v>PT CATUR MITRA LAMONGAN PRIMA GAS</v>
      </c>
      <c r="W189" s="17">
        <f>IFERROR(__xludf.DUMMYFUNCTION("""COMPUTED_VALUE"""),55.9)</f>
        <v>55.9</v>
      </c>
      <c r="X189" s="17" t="str">
        <f>IFERROR(__xludf.DUMMYFUNCTION("""COMPUTED_VALUE"""),"SEDANG")</f>
        <v>SEDANG</v>
      </c>
      <c r="Y189" s="17">
        <f>IFERROR(__xludf.DUMMYFUNCTION("""COMPUTED_VALUE"""),2.0)</f>
        <v>2</v>
      </c>
      <c r="Z189" s="17">
        <f>IFERROR(__xludf.DUMMYFUNCTION("""COMPUTED_VALUE"""),12.0)</f>
        <v>12</v>
      </c>
      <c r="AB189" s="48" t="str">
        <f>IFERROR(__xludf.DUMMYFUNCTION("""COMPUTED_VALUE"""),"PT SEKAWAN GAS NUSA")</f>
        <v>PT SEKAWAN GAS NUSA</v>
      </c>
      <c r="AC189" s="48" t="str">
        <f>IFERROR(__xludf.DUMMYFUNCTION("""COMPUTED_VALUE"""),"AE 8828 UQ")</f>
        <v>AE 8828 UQ</v>
      </c>
      <c r="AD189" s="48" t="str">
        <f>IFERROR(__xludf.DUMMYFUNCTION("""COMPUTED_VALUE"""),"TLPG TJ PERAK")</f>
        <v>TLPG TJ PERAK</v>
      </c>
      <c r="AE189" s="17">
        <f>IFERROR(__xludf.DUMMYFUNCTION("""COMPUTED_VALUE"""),2.0)</f>
        <v>2</v>
      </c>
    </row>
    <row r="190">
      <c r="A190" s="12">
        <v>188.0</v>
      </c>
      <c r="B190" s="9" t="s">
        <v>231</v>
      </c>
      <c r="C190" s="9" t="s">
        <v>7</v>
      </c>
      <c r="D190" s="9" t="s">
        <v>448</v>
      </c>
      <c r="E190" s="49">
        <v>109.2</v>
      </c>
      <c r="F190" s="23" t="s">
        <v>454</v>
      </c>
      <c r="G190" s="9" t="str">
        <f>IFERROR(VLOOKUP(C190,'MASTER TLPG'!A:B,2,FALSE),"")</f>
        <v>-7.203807110524606, 112.71950675497641</v>
      </c>
      <c r="H190" s="9" t="str">
        <f>IFERROR(VLOOKUP(D190,'MASTER PERUSAHAAN'!A:B,2,FALSE),"")</f>
        <v>-7.219350074001657, 113.42586363278424</v>
      </c>
      <c r="J190" s="9" t="str">
        <f t="shared" si="1"/>
        <v>SEDANG</v>
      </c>
      <c r="K190" s="11">
        <f t="shared" si="2"/>
        <v>2</v>
      </c>
      <c r="M190" s="17">
        <v>7.0</v>
      </c>
      <c r="N190" s="17"/>
      <c r="O190" s="17"/>
      <c r="P190" s="17"/>
      <c r="Q190" s="17"/>
      <c r="R190" s="17"/>
      <c r="S190" s="17"/>
      <c r="T190" s="17" t="str">
        <f>IFERROR(__xludf.DUMMYFUNCTION("""COMPUTED_VALUE"""),"S 9614 UJ")</f>
        <v>S 9614 UJ</v>
      </c>
      <c r="U190" s="17" t="str">
        <f>IFERROR(__xludf.DUMMYFUNCTION("""COMPUTED_VALUE"""),"TLPG TJ PERAK")</f>
        <v>TLPG TJ PERAK</v>
      </c>
      <c r="V190" s="17" t="str">
        <f>IFERROR(__xludf.DUMMYFUNCTION("""COMPUTED_VALUE"""),"PT CATUR MITRA LAMONGAN PRIMA GAS")</f>
        <v>PT CATUR MITRA LAMONGAN PRIMA GAS</v>
      </c>
      <c r="W190" s="17">
        <f>IFERROR(__xludf.DUMMYFUNCTION("""COMPUTED_VALUE"""),55.9)</f>
        <v>55.9</v>
      </c>
      <c r="X190" s="17" t="str">
        <f>IFERROR(__xludf.DUMMYFUNCTION("""COMPUTED_VALUE"""),"SEDANG")</f>
        <v>SEDANG</v>
      </c>
      <c r="Y190" s="17">
        <f>IFERROR(__xludf.DUMMYFUNCTION("""COMPUTED_VALUE"""),2.0)</f>
        <v>2</v>
      </c>
      <c r="Z190" s="17">
        <f>IFERROR(__xludf.DUMMYFUNCTION("""COMPUTED_VALUE"""),12.0)</f>
        <v>12</v>
      </c>
      <c r="AB190" s="48" t="str">
        <f>IFERROR(__xludf.DUMMYFUNCTION("""COMPUTED_VALUE"""),"PT SEMBILAN SEMBILAN TUBAN PERDANA")</f>
        <v>PT SEMBILAN SEMBILAN TUBAN PERDANA</v>
      </c>
      <c r="AC190" s="48" t="str">
        <f>IFERROR(__xludf.DUMMYFUNCTION("""COMPUTED_VALUE"""),"S 8104 UH")</f>
        <v>S 8104 UH</v>
      </c>
      <c r="AD190" s="48" t="str">
        <f>IFERROR(__xludf.DUMMYFUNCTION("""COMPUTED_VALUE"""),"TLPG TJ PERAK")</f>
        <v>TLPG TJ PERAK</v>
      </c>
      <c r="AE190" s="17">
        <f>IFERROR(__xludf.DUMMYFUNCTION("""COMPUTED_VALUE"""),10.0)</f>
        <v>10</v>
      </c>
    </row>
    <row r="191">
      <c r="A191" s="12">
        <v>189.0</v>
      </c>
      <c r="B191" s="9" t="s">
        <v>232</v>
      </c>
      <c r="C191" s="9" t="s">
        <v>28</v>
      </c>
      <c r="D191" s="9" t="s">
        <v>474</v>
      </c>
      <c r="E191" s="49">
        <v>125.4</v>
      </c>
      <c r="F191" s="23" t="s">
        <v>454</v>
      </c>
      <c r="G191" s="9" t="str">
        <f>IFERROR(VLOOKUP(C191,'MASTER TLPG'!A:B,2,FALSE),"")</f>
        <v>-8.16862812274526, 114.38753900822569</v>
      </c>
      <c r="H191" s="9" t="str">
        <f>IFERROR(VLOOKUP(D191,'MASTER PERUSAHAAN'!A:B,2,FALSE),"")</f>
        <v>-8.235535972259855, 113.5747650547083</v>
      </c>
      <c r="J191" s="9" t="str">
        <f t="shared" si="1"/>
        <v>SEDANG</v>
      </c>
      <c r="K191" s="11">
        <f t="shared" si="2"/>
        <v>2</v>
      </c>
      <c r="M191" s="17">
        <v>7.0</v>
      </c>
      <c r="N191" s="17"/>
      <c r="O191" s="17"/>
      <c r="P191" s="17"/>
      <c r="Q191" s="17"/>
      <c r="R191" s="17"/>
      <c r="S191" s="17"/>
      <c r="T191" s="17" t="str">
        <f>IFERROR(__xludf.DUMMYFUNCTION("""COMPUTED_VALUE"""),"DK 8236 GH")</f>
        <v>DK 8236 GH</v>
      </c>
      <c r="U191" s="17" t="str">
        <f>IFERROR(__xludf.DUMMYFUNCTION("""COMPUTED_VALUE"""),"TLPG MANGGIS")</f>
        <v>TLPG MANGGIS</v>
      </c>
      <c r="V191" s="17" t="str">
        <f>IFERROR(__xludf.DUMMYFUNCTION("""COMPUTED_VALUE"""),"SPPBE-PT. Kiani Pasifik Nusantara")</f>
        <v>SPPBE-PT. Kiani Pasifik Nusantara</v>
      </c>
      <c r="W191" s="17">
        <f>IFERROR(__xludf.DUMMYFUNCTION("""COMPUTED_VALUE"""),55.1)</f>
        <v>55.1</v>
      </c>
      <c r="X191" s="17" t="str">
        <f>IFERROR(__xludf.DUMMYFUNCTION("""COMPUTED_VALUE"""),"SEDANG")</f>
        <v>SEDANG</v>
      </c>
      <c r="Y191" s="17">
        <f>IFERROR(__xludf.DUMMYFUNCTION("""COMPUTED_VALUE"""),2.0)</f>
        <v>2</v>
      </c>
      <c r="Z191" s="17">
        <f>IFERROR(__xludf.DUMMYFUNCTION("""COMPUTED_VALUE"""),6.0)</f>
        <v>6</v>
      </c>
      <c r="AB191" s="48" t="str">
        <f>IFERROR(__xludf.DUMMYFUNCTION("""COMPUTED_VALUE"""),"PT SENTOSA GASINDO RAYA")</f>
        <v>PT SENTOSA GASINDO RAYA</v>
      </c>
      <c r="AC191" s="48" t="str">
        <f>IFERROR(__xludf.DUMMYFUNCTION("""COMPUTED_VALUE"""),"N 8435 UZ")</f>
        <v>N 8435 UZ</v>
      </c>
      <c r="AD191" s="48" t="str">
        <f>IFERROR(__xludf.DUMMYFUNCTION("""COMPUTED_VALUE"""),"TLPG MEM GRESIK")</f>
        <v>TLPG MEM GRESIK</v>
      </c>
      <c r="AE191" s="17">
        <f>IFERROR(__xludf.DUMMYFUNCTION("""COMPUTED_VALUE"""),1.0)</f>
        <v>1</v>
      </c>
    </row>
    <row r="192">
      <c r="A192" s="12">
        <v>190.0</v>
      </c>
      <c r="B192" s="9" t="s">
        <v>233</v>
      </c>
      <c r="C192" s="9" t="s">
        <v>28</v>
      </c>
      <c r="D192" s="9" t="s">
        <v>184</v>
      </c>
      <c r="E192" s="9"/>
      <c r="G192" s="9" t="str">
        <f>IFERROR(VLOOKUP(C192,'MASTER TLPG'!A:B,2,FALSE),"")</f>
        <v>-8.16862812274526, 114.38753900822569</v>
      </c>
      <c r="H192" s="9" t="str">
        <f>IFERROR(VLOOKUP(D192,'MASTER PERUSAHAAN'!A:B,2,FALSE),"")</f>
        <v/>
      </c>
      <c r="J192" s="9" t="str">
        <f t="shared" si="1"/>
        <v/>
      </c>
      <c r="K192" s="11" t="str">
        <f t="shared" si="2"/>
        <v/>
      </c>
      <c r="M192" s="17">
        <v>7.0</v>
      </c>
      <c r="N192" s="17"/>
      <c r="O192" s="17"/>
      <c r="P192" s="17"/>
      <c r="Q192" s="17"/>
      <c r="R192" s="17"/>
      <c r="S192" s="17"/>
      <c r="T192" s="17" t="str">
        <f>IFERROR(__xludf.DUMMYFUNCTION("""COMPUTED_VALUE"""),"DK 8268 HH")</f>
        <v>DK 8268 HH</v>
      </c>
      <c r="U192" s="17" t="str">
        <f>IFERROR(__xludf.DUMMYFUNCTION("""COMPUTED_VALUE"""),"TLPG MANGGIS")</f>
        <v>TLPG MANGGIS</v>
      </c>
      <c r="V192" s="17" t="str">
        <f>IFERROR(__xludf.DUMMYFUNCTION("""COMPUTED_VALUE"""),"SPPBE-PT. Kiani Pasifik Nusantara")</f>
        <v>SPPBE-PT. Kiani Pasifik Nusantara</v>
      </c>
      <c r="W192" s="17">
        <f>IFERROR(__xludf.DUMMYFUNCTION("""COMPUTED_VALUE"""),55.1)</f>
        <v>55.1</v>
      </c>
      <c r="X192" s="17" t="str">
        <f>IFERROR(__xludf.DUMMYFUNCTION("""COMPUTED_VALUE"""),"SEDANG")</f>
        <v>SEDANG</v>
      </c>
      <c r="Y192" s="17">
        <f>IFERROR(__xludf.DUMMYFUNCTION("""COMPUTED_VALUE"""),2.0)</f>
        <v>2</v>
      </c>
      <c r="Z192" s="17">
        <f>IFERROR(__xludf.DUMMYFUNCTION("""COMPUTED_VALUE"""),6.0)</f>
        <v>6</v>
      </c>
      <c r="AB192" s="48" t="str">
        <f>IFERROR(__xludf.DUMMYFUNCTION("""COMPUTED_VALUE"""),"PT SINAR AGUNG PUTRA ABADI")</f>
        <v>PT SINAR AGUNG PUTRA ABADI</v>
      </c>
      <c r="AC192" s="48" t="str">
        <f>IFERROR(__xludf.DUMMYFUNCTION("""COMPUTED_VALUE"""),"N 8041 UZ")</f>
        <v>N 8041 UZ</v>
      </c>
      <c r="AD192" s="48" t="str">
        <f>IFERROR(__xludf.DUMMYFUNCTION("""COMPUTED_VALUE"""),"TLPG MEM GRESIK")</f>
        <v>TLPG MEM GRESIK</v>
      </c>
      <c r="AE192" s="17">
        <f>IFERROR(__xludf.DUMMYFUNCTION("""COMPUTED_VALUE"""),8.0)</f>
        <v>8</v>
      </c>
    </row>
    <row r="193">
      <c r="A193" s="12">
        <v>191.0</v>
      </c>
      <c r="B193" s="9" t="s">
        <v>234</v>
      </c>
      <c r="C193" s="9" t="s">
        <v>7</v>
      </c>
      <c r="D193" s="9" t="s">
        <v>451</v>
      </c>
      <c r="E193" s="49">
        <v>47.8</v>
      </c>
      <c r="F193" s="23" t="s">
        <v>454</v>
      </c>
      <c r="G193" s="9" t="str">
        <f>IFERROR(VLOOKUP(C193,'MASTER TLPG'!A:B,2,FALSE),"")</f>
        <v>-7.203807110524606, 112.71950675497641</v>
      </c>
      <c r="H193" s="9" t="str">
        <f>IFERROR(VLOOKUP(D193,'MASTER PERUSAHAAN'!A:B,2,FALSE),"")</f>
        <v>-7.470797401083355, 112.56310279545893</v>
      </c>
      <c r="J193" s="9" t="str">
        <f t="shared" si="1"/>
        <v>DEKAT</v>
      </c>
      <c r="K193" s="11">
        <f t="shared" si="2"/>
        <v>1</v>
      </c>
      <c r="M193" s="17">
        <v>7.0</v>
      </c>
      <c r="N193" s="17"/>
      <c r="O193" s="17"/>
      <c r="P193" s="17"/>
      <c r="Q193" s="17"/>
      <c r="R193" s="17"/>
      <c r="S193" s="17"/>
      <c r="T193" s="17" t="str">
        <f>IFERROR(__xludf.DUMMYFUNCTION("""COMPUTED_VALUE"""),"DK 8302 HF")</f>
        <v>DK 8302 HF</v>
      </c>
      <c r="U193" s="17" t="str">
        <f>IFERROR(__xludf.DUMMYFUNCTION("""COMPUTED_VALUE"""),"TLPG MANGGIS")</f>
        <v>TLPG MANGGIS</v>
      </c>
      <c r="V193" s="17" t="str">
        <f>IFERROR(__xludf.DUMMYFUNCTION("""COMPUTED_VALUE"""),"SPPBE-PT. Kiani Pasifik Nusantara")</f>
        <v>SPPBE-PT. Kiani Pasifik Nusantara</v>
      </c>
      <c r="W193" s="17">
        <f>IFERROR(__xludf.DUMMYFUNCTION("""COMPUTED_VALUE"""),55.1)</f>
        <v>55.1</v>
      </c>
      <c r="X193" s="17" t="str">
        <f>IFERROR(__xludf.DUMMYFUNCTION("""COMPUTED_VALUE"""),"SEDANG")</f>
        <v>SEDANG</v>
      </c>
      <c r="Y193" s="17">
        <f>IFERROR(__xludf.DUMMYFUNCTION("""COMPUTED_VALUE"""),2.0)</f>
        <v>2</v>
      </c>
      <c r="Z193" s="17">
        <f>IFERROR(__xludf.DUMMYFUNCTION("""COMPUTED_VALUE"""),7.0)</f>
        <v>7</v>
      </c>
      <c r="AB193" s="48" t="str">
        <f>IFERROR(__xludf.DUMMYFUNCTION("""COMPUTED_VALUE"""),"PT SINAR AGUNG PUTRA ABADI")</f>
        <v>PT SINAR AGUNG PUTRA ABADI</v>
      </c>
      <c r="AC193" s="48" t="str">
        <f>IFERROR(__xludf.DUMMYFUNCTION("""COMPUTED_VALUE"""),"N 8025 UZ")</f>
        <v>N 8025 UZ</v>
      </c>
      <c r="AD193" s="48" t="str">
        <f>IFERROR(__xludf.DUMMYFUNCTION("""COMPUTED_VALUE"""),"TLPG MEM GRESIK")</f>
        <v>TLPG MEM GRESIK</v>
      </c>
      <c r="AE193" s="17">
        <f>IFERROR(__xludf.DUMMYFUNCTION("""COMPUTED_VALUE"""),12.0)</f>
        <v>12</v>
      </c>
    </row>
    <row r="194">
      <c r="A194" s="12">
        <v>192.0</v>
      </c>
      <c r="B194" s="9" t="s">
        <v>235</v>
      </c>
      <c r="C194" s="9" t="s">
        <v>28</v>
      </c>
      <c r="D194" s="9" t="s">
        <v>184</v>
      </c>
      <c r="E194" s="9"/>
      <c r="G194" s="9" t="str">
        <f>IFERROR(VLOOKUP(C194,'MASTER TLPG'!A:B,2,FALSE),"")</f>
        <v>-8.16862812274526, 114.38753900822569</v>
      </c>
      <c r="H194" s="9" t="str">
        <f>IFERROR(VLOOKUP(D194,'MASTER PERUSAHAAN'!A:B,2,FALSE),"")</f>
        <v/>
      </c>
      <c r="J194" s="9" t="str">
        <f t="shared" si="1"/>
        <v/>
      </c>
      <c r="K194" s="11" t="str">
        <f t="shared" si="2"/>
        <v/>
      </c>
      <c r="M194" s="17">
        <v>7.0</v>
      </c>
      <c r="N194" s="17"/>
      <c r="O194" s="17"/>
      <c r="P194" s="17"/>
      <c r="Q194" s="17"/>
      <c r="R194" s="17"/>
      <c r="S194" s="17"/>
      <c r="T194" s="17" t="str">
        <f>IFERROR(__xludf.DUMMYFUNCTION("""COMPUTED_VALUE"""),"N 8006 UT")</f>
        <v>N 8006 UT</v>
      </c>
      <c r="U194" s="17" t="str">
        <f>IFERROR(__xludf.DUMMYFUNCTION("""COMPUTED_VALUE"""),"TLPG TJ PERAK")</f>
        <v>TLPG TJ PERAK</v>
      </c>
      <c r="V194" s="17" t="str">
        <f>IFERROR(__xludf.DUMMYFUNCTION("""COMPUTED_VALUE"""),"PT ANUGERAH JATI UTAMA")</f>
        <v>PT ANUGERAH JATI UTAMA</v>
      </c>
      <c r="W194" s="17">
        <f>IFERROR(__xludf.DUMMYFUNCTION("""COMPUTED_VALUE"""),54.2)</f>
        <v>54.2</v>
      </c>
      <c r="X194" s="17" t="str">
        <f>IFERROR(__xludf.DUMMYFUNCTION("""COMPUTED_VALUE"""),"SEDANG")</f>
        <v>SEDANG</v>
      </c>
      <c r="Y194" s="17">
        <f>IFERROR(__xludf.DUMMYFUNCTION("""COMPUTED_VALUE"""),2.0)</f>
        <v>2</v>
      </c>
      <c r="Z194" s="17">
        <f>IFERROR(__xludf.DUMMYFUNCTION("""COMPUTED_VALUE"""),8.0)</f>
        <v>8</v>
      </c>
      <c r="AB194" s="48" t="str">
        <f>IFERROR(__xludf.DUMMYFUNCTION("""COMPUTED_VALUE"""),"PT SINAR HASIL BUANA")</f>
        <v>PT SINAR HASIL BUANA</v>
      </c>
      <c r="AC194" s="48" t="str">
        <f>IFERROR(__xludf.DUMMYFUNCTION("""COMPUTED_VALUE"""),"AG 8225 UG")</f>
        <v>AG 8225 UG</v>
      </c>
      <c r="AD194" s="48" t="str">
        <f>IFERROR(__xludf.DUMMYFUNCTION("""COMPUTED_VALUE"""),"TLPG TJ PERAK")</f>
        <v>TLPG TJ PERAK</v>
      </c>
      <c r="AE194" s="17">
        <f>IFERROR(__xludf.DUMMYFUNCTION("""COMPUTED_VALUE"""),3.0)</f>
        <v>3</v>
      </c>
    </row>
    <row r="195">
      <c r="A195" s="12">
        <v>193.0</v>
      </c>
      <c r="B195" s="9" t="s">
        <v>237</v>
      </c>
      <c r="C195" s="9" t="s">
        <v>28</v>
      </c>
      <c r="D195" s="9" t="s">
        <v>184</v>
      </c>
      <c r="E195" s="9"/>
      <c r="G195" s="9" t="str">
        <f>IFERROR(VLOOKUP(C195,'MASTER TLPG'!A:B,2,FALSE),"")</f>
        <v>-8.16862812274526, 114.38753900822569</v>
      </c>
      <c r="H195" s="9" t="str">
        <f>IFERROR(VLOOKUP(D195,'MASTER PERUSAHAAN'!A:B,2,FALSE),"")</f>
        <v/>
      </c>
      <c r="J195" s="9" t="str">
        <f t="shared" si="1"/>
        <v/>
      </c>
      <c r="K195" s="11" t="str">
        <f t="shared" si="2"/>
        <v/>
      </c>
      <c r="M195" s="17">
        <v>7.0</v>
      </c>
      <c r="N195" s="17"/>
      <c r="O195" s="17"/>
      <c r="P195" s="17"/>
      <c r="Q195" s="17"/>
      <c r="R195" s="17"/>
      <c r="S195" s="17"/>
      <c r="T195" s="17" t="str">
        <f>IFERROR(__xludf.DUMMYFUNCTION("""COMPUTED_VALUE"""),"N 8714 US")</f>
        <v>N 8714 US</v>
      </c>
      <c r="U195" s="17" t="str">
        <f>IFERROR(__xludf.DUMMYFUNCTION("""COMPUTED_VALUE"""),"TLPG TJ PERAK")</f>
        <v>TLPG TJ PERAK</v>
      </c>
      <c r="V195" s="17" t="str">
        <f>IFERROR(__xludf.DUMMYFUNCTION("""COMPUTED_VALUE"""),"PT ANUGERAH JATI UTAMA")</f>
        <v>PT ANUGERAH JATI UTAMA</v>
      </c>
      <c r="W195" s="17">
        <f>IFERROR(__xludf.DUMMYFUNCTION("""COMPUTED_VALUE"""),54.2)</f>
        <v>54.2</v>
      </c>
      <c r="X195" s="17" t="str">
        <f>IFERROR(__xludf.DUMMYFUNCTION("""COMPUTED_VALUE"""),"SEDANG")</f>
        <v>SEDANG</v>
      </c>
      <c r="Y195" s="17">
        <f>IFERROR(__xludf.DUMMYFUNCTION("""COMPUTED_VALUE"""),2.0)</f>
        <v>2</v>
      </c>
      <c r="Z195" s="17">
        <f>IFERROR(__xludf.DUMMYFUNCTION("""COMPUTED_VALUE"""),9.0)</f>
        <v>9</v>
      </c>
      <c r="AB195" s="48" t="str">
        <f>IFERROR(__xludf.DUMMYFUNCTION("""COMPUTED_VALUE"""),"PT SINAR WAHANA SURYA")</f>
        <v>PT SINAR WAHANA SURYA</v>
      </c>
      <c r="AC195" s="48" t="str">
        <f>IFERROR(__xludf.DUMMYFUNCTION("""COMPUTED_VALUE"""),"N 9162 UV")</f>
        <v>N 9162 UV</v>
      </c>
      <c r="AD195" s="48" t="str">
        <f>IFERROR(__xludf.DUMMYFUNCTION("""COMPUTED_VALUE"""),"TLPG TJ PERAK")</f>
        <v>TLPG TJ PERAK</v>
      </c>
      <c r="AE195" s="17">
        <f>IFERROR(__xludf.DUMMYFUNCTION("""COMPUTED_VALUE"""),9.0)</f>
        <v>9</v>
      </c>
    </row>
    <row r="196">
      <c r="A196" s="12">
        <v>194.0</v>
      </c>
      <c r="B196" s="9" t="s">
        <v>238</v>
      </c>
      <c r="C196" s="9" t="s">
        <v>25</v>
      </c>
      <c r="D196" s="9" t="s">
        <v>121</v>
      </c>
      <c r="E196" s="9"/>
      <c r="G196" s="9" t="str">
        <f>IFERROR(VLOOKUP(C196,'MASTER TLPG'!A:B,2,FALSE),"")</f>
        <v>-7.109201954744449, 112.62272164861744</v>
      </c>
      <c r="H196" s="9" t="str">
        <f>IFERROR(VLOOKUP(D196,'MASTER PERUSAHAAN'!A:B,2,FALSE),"")</f>
        <v/>
      </c>
      <c r="J196" s="9" t="str">
        <f t="shared" si="1"/>
        <v/>
      </c>
      <c r="K196" s="11" t="str">
        <f t="shared" si="2"/>
        <v/>
      </c>
      <c r="M196" s="17">
        <v>8.0</v>
      </c>
      <c r="N196" s="17"/>
      <c r="O196" s="17"/>
      <c r="P196" s="17"/>
      <c r="Q196" s="17"/>
      <c r="R196" s="17"/>
      <c r="S196" s="17"/>
      <c r="T196" s="17" t="str">
        <f>IFERROR(__xludf.DUMMYFUNCTION("""COMPUTED_VALUE"""),"AD 9780 AB")</f>
        <v>AD 9780 AB</v>
      </c>
      <c r="U196" s="17" t="str">
        <f>IFERROR(__xludf.DUMMYFUNCTION("""COMPUTED_VALUE"""),"TLPG LOMBOK")</f>
        <v>TLPG LOMBOK</v>
      </c>
      <c r="V196" s="17" t="str">
        <f>IFERROR(__xludf.DUMMYFUNCTION("""COMPUTED_VALUE"""),"SPPBE-PT. Lombok Putra Gas")</f>
        <v>SPPBE-PT. Lombok Putra Gas</v>
      </c>
      <c r="W196" s="17">
        <f>IFERROR(__xludf.DUMMYFUNCTION("""COMPUTED_VALUE"""),53.9)</f>
        <v>53.9</v>
      </c>
      <c r="X196" s="17" t="str">
        <f>IFERROR(__xludf.DUMMYFUNCTION("""COMPUTED_VALUE"""),"SEDANG")</f>
        <v>SEDANG</v>
      </c>
      <c r="Y196" s="17">
        <f>IFERROR(__xludf.DUMMYFUNCTION("""COMPUTED_VALUE"""),2.0)</f>
        <v>2</v>
      </c>
      <c r="Z196" s="17">
        <f>IFERROR(__xludf.DUMMYFUNCTION("""COMPUTED_VALUE"""),1.0)</f>
        <v>1</v>
      </c>
      <c r="AB196" s="48" t="str">
        <f>IFERROR(__xludf.DUMMYFUNCTION("""COMPUTED_VALUE"""),"PT SINAR WAHANA SURYA")</f>
        <v>PT SINAR WAHANA SURYA</v>
      </c>
      <c r="AC196" s="48" t="str">
        <f>IFERROR(__xludf.DUMMYFUNCTION("""COMPUTED_VALUE"""),"N 9262 UF")</f>
        <v>N 9262 UF</v>
      </c>
      <c r="AD196" s="48" t="str">
        <f>IFERROR(__xludf.DUMMYFUNCTION("""COMPUTED_VALUE"""),"TLPG MEM GRESIK")</f>
        <v>TLPG MEM GRESIK</v>
      </c>
      <c r="AE196" s="17">
        <f>IFERROR(__xludf.DUMMYFUNCTION("""COMPUTED_VALUE"""),9.0)</f>
        <v>9</v>
      </c>
    </row>
    <row r="197">
      <c r="A197" s="12">
        <v>195.0</v>
      </c>
      <c r="B197" s="9" t="s">
        <v>239</v>
      </c>
      <c r="C197" s="9" t="s">
        <v>32</v>
      </c>
      <c r="D197" s="9" t="s">
        <v>480</v>
      </c>
      <c r="E197" s="49">
        <v>43.2</v>
      </c>
      <c r="F197" s="23" t="s">
        <v>454</v>
      </c>
      <c r="G197" s="9" t="str">
        <f>IFERROR(VLOOKUP(C197,'MASTER TLPG'!A:B,2,FALSE),"")</f>
        <v>-8.509457097470957, 115.50344705076587</v>
      </c>
      <c r="H197" s="9" t="str">
        <f>IFERROR(VLOOKUP(D197,'MASTER PERUSAHAAN'!A:B,2,FALSE),"")</f>
        <v>-8.375766227590393, 115.35412728570678</v>
      </c>
      <c r="J197" s="9" t="str">
        <f t="shared" si="1"/>
        <v>DEKAT</v>
      </c>
      <c r="K197" s="11">
        <f t="shared" si="2"/>
        <v>1</v>
      </c>
      <c r="M197" s="17">
        <v>8.0</v>
      </c>
      <c r="N197" s="17"/>
      <c r="O197" s="17"/>
      <c r="P197" s="17"/>
      <c r="Q197" s="17"/>
      <c r="R197" s="17"/>
      <c r="S197" s="17"/>
      <c r="T197" s="17" t="str">
        <f>IFERROR(__xludf.DUMMYFUNCTION("""COMPUTED_VALUE"""),"AD 9838 AB")</f>
        <v>AD 9838 AB</v>
      </c>
      <c r="U197" s="17" t="str">
        <f>IFERROR(__xludf.DUMMYFUNCTION("""COMPUTED_VALUE"""),"TLPG LOMBOK")</f>
        <v>TLPG LOMBOK</v>
      </c>
      <c r="V197" s="17" t="str">
        <f>IFERROR(__xludf.DUMMYFUNCTION("""COMPUTED_VALUE"""),"SPPBE-PT. Lombok Putra Gas")</f>
        <v>SPPBE-PT. Lombok Putra Gas</v>
      </c>
      <c r="W197" s="17">
        <f>IFERROR(__xludf.DUMMYFUNCTION("""COMPUTED_VALUE"""),53.9)</f>
        <v>53.9</v>
      </c>
      <c r="X197" s="17" t="str">
        <f>IFERROR(__xludf.DUMMYFUNCTION("""COMPUTED_VALUE"""),"SEDANG")</f>
        <v>SEDANG</v>
      </c>
      <c r="Y197" s="17">
        <f>IFERROR(__xludf.DUMMYFUNCTION("""COMPUTED_VALUE"""),2.0)</f>
        <v>2</v>
      </c>
      <c r="Z197" s="17">
        <f>IFERROR(__xludf.DUMMYFUNCTION("""COMPUTED_VALUE"""),2.0)</f>
        <v>2</v>
      </c>
      <c r="AB197" s="48" t="str">
        <f>IFERROR(__xludf.DUMMYFUNCTION("""COMPUTED_VALUE"""),"PT SINAR WAHANA SURYA")</f>
        <v>PT SINAR WAHANA SURYA</v>
      </c>
      <c r="AC197" s="48" t="str">
        <f>IFERROR(__xludf.DUMMYFUNCTION("""COMPUTED_VALUE"""),"N 9509 UG")</f>
        <v>N 9509 UG</v>
      </c>
      <c r="AD197" s="48" t="str">
        <f>IFERROR(__xludf.DUMMYFUNCTION("""COMPUTED_VALUE"""),"TLPG MEM GRESIK")</f>
        <v>TLPG MEM GRESIK</v>
      </c>
      <c r="AE197" s="17">
        <f>IFERROR(__xludf.DUMMYFUNCTION("""COMPUTED_VALUE"""),9.0)</f>
        <v>9</v>
      </c>
    </row>
    <row r="198">
      <c r="A198" s="12">
        <v>196.0</v>
      </c>
      <c r="B198" s="9" t="s">
        <v>240</v>
      </c>
      <c r="C198" s="9" t="s">
        <v>32</v>
      </c>
      <c r="D198" s="9" t="s">
        <v>480</v>
      </c>
      <c r="E198" s="49">
        <v>43.2</v>
      </c>
      <c r="F198" s="23" t="s">
        <v>454</v>
      </c>
      <c r="G198" s="9" t="str">
        <f>IFERROR(VLOOKUP(C198,'MASTER TLPG'!A:B,2,FALSE),"")</f>
        <v>-8.509457097470957, 115.50344705076587</v>
      </c>
      <c r="H198" s="9" t="str">
        <f>IFERROR(VLOOKUP(D198,'MASTER PERUSAHAAN'!A:B,2,FALSE),"")</f>
        <v>-8.375766227590393, 115.35412728570678</v>
      </c>
      <c r="J198" s="9" t="str">
        <f t="shared" si="1"/>
        <v>DEKAT</v>
      </c>
      <c r="K198" s="11">
        <f t="shared" si="2"/>
        <v>1</v>
      </c>
      <c r="M198" s="17">
        <v>8.0</v>
      </c>
      <c r="N198" s="17"/>
      <c r="O198" s="17"/>
      <c r="P198" s="17"/>
      <c r="Q198" s="17"/>
      <c r="R198" s="17"/>
      <c r="S198" s="17"/>
      <c r="T198" s="17" t="str">
        <f>IFERROR(__xludf.DUMMYFUNCTION("""COMPUTED_VALUE"""),"AD 9877 AB")</f>
        <v>AD 9877 AB</v>
      </c>
      <c r="U198" s="17" t="str">
        <f>IFERROR(__xludf.DUMMYFUNCTION("""COMPUTED_VALUE"""),"TLPG LOMBOK")</f>
        <v>TLPG LOMBOK</v>
      </c>
      <c r="V198" s="17" t="str">
        <f>IFERROR(__xludf.DUMMYFUNCTION("""COMPUTED_VALUE"""),"SPPBE-PT. Lombok Putra Gas")</f>
        <v>SPPBE-PT. Lombok Putra Gas</v>
      </c>
      <c r="W198" s="17">
        <f>IFERROR(__xludf.DUMMYFUNCTION("""COMPUTED_VALUE"""),53.9)</f>
        <v>53.9</v>
      </c>
      <c r="X198" s="17" t="str">
        <f>IFERROR(__xludf.DUMMYFUNCTION("""COMPUTED_VALUE"""),"SEDANG")</f>
        <v>SEDANG</v>
      </c>
      <c r="Y198" s="17">
        <f>IFERROR(__xludf.DUMMYFUNCTION("""COMPUTED_VALUE"""),2.0)</f>
        <v>2</v>
      </c>
      <c r="Z198" s="17">
        <f>IFERROR(__xludf.DUMMYFUNCTION("""COMPUTED_VALUE"""),2.0)</f>
        <v>2</v>
      </c>
      <c r="AB198" s="48" t="str">
        <f>IFERROR(__xludf.DUMMYFUNCTION("""COMPUTED_VALUE"""),"PT SINAR WAHANA SURYA")</f>
        <v>PT SINAR WAHANA SURYA</v>
      </c>
      <c r="AC198" s="48" t="str">
        <f>IFERROR(__xludf.DUMMYFUNCTION("""COMPUTED_VALUE"""),"N 9659 UG")</f>
        <v>N 9659 UG</v>
      </c>
      <c r="AD198" s="48" t="str">
        <f>IFERROR(__xludf.DUMMYFUNCTION("""COMPUTED_VALUE"""),"TLPG MEM GRESIK")</f>
        <v>TLPG MEM GRESIK</v>
      </c>
      <c r="AE198" s="17">
        <f>IFERROR(__xludf.DUMMYFUNCTION("""COMPUTED_VALUE"""),9.0)</f>
        <v>9</v>
      </c>
    </row>
    <row r="199">
      <c r="A199" s="12">
        <v>197.0</v>
      </c>
      <c r="B199" s="9" t="s">
        <v>241</v>
      </c>
      <c r="C199" s="9" t="s">
        <v>32</v>
      </c>
      <c r="D199" s="9" t="s">
        <v>455</v>
      </c>
      <c r="E199" s="49">
        <v>46.6</v>
      </c>
      <c r="F199" s="23" t="s">
        <v>454</v>
      </c>
      <c r="G199" s="9" t="str">
        <f>IFERROR(VLOOKUP(C199,'MASTER TLPG'!A:B,2,FALSE),"")</f>
        <v>-8.509457097470957, 115.50344705076587</v>
      </c>
      <c r="H199" s="9" t="str">
        <f>IFERROR(VLOOKUP(D199,'MASTER PERUSAHAAN'!A:B,2,FALSE),"")</f>
        <v>-8.716682612313125, 115.21748833001745</v>
      </c>
      <c r="J199" s="9" t="str">
        <f t="shared" si="1"/>
        <v>DEKAT</v>
      </c>
      <c r="K199" s="11">
        <f t="shared" si="2"/>
        <v>1</v>
      </c>
      <c r="M199" s="17">
        <v>8.0</v>
      </c>
      <c r="N199" s="17"/>
      <c r="O199" s="17"/>
      <c r="P199" s="17"/>
      <c r="Q199" s="17"/>
      <c r="R199" s="17"/>
      <c r="S199" s="17"/>
      <c r="T199" s="17" t="str">
        <f>IFERROR(__xludf.DUMMYFUNCTION("""COMPUTED_VALUE"""),"S 8058 UL")</f>
        <v>S 8058 UL</v>
      </c>
      <c r="U199" s="17" t="str">
        <f>IFERROR(__xludf.DUMMYFUNCTION("""COMPUTED_VALUE"""),"TLPG MEM GRESIK")</f>
        <v>TLPG MEM GRESIK</v>
      </c>
      <c r="V199" s="17" t="str">
        <f>IFERROR(__xludf.DUMMYFUNCTION("""COMPUTED_VALUE"""),"PT LAMONGAN GAS LESTARI")</f>
        <v>PT LAMONGAN GAS LESTARI</v>
      </c>
      <c r="W199" s="17">
        <f>IFERROR(__xludf.DUMMYFUNCTION("""COMPUTED_VALUE"""),53.4)</f>
        <v>53.4</v>
      </c>
      <c r="X199" s="17" t="str">
        <f>IFERROR(__xludf.DUMMYFUNCTION("""COMPUTED_VALUE"""),"SEDANG")</f>
        <v>SEDANG</v>
      </c>
      <c r="Y199" s="17">
        <f>IFERROR(__xludf.DUMMYFUNCTION("""COMPUTED_VALUE"""),2.0)</f>
        <v>2</v>
      </c>
      <c r="Z199" s="17">
        <f>IFERROR(__xludf.DUMMYFUNCTION("""COMPUTED_VALUE"""),11.0)</f>
        <v>11</v>
      </c>
      <c r="AB199" s="48" t="str">
        <f>IFERROR(__xludf.DUMMYFUNCTION("""COMPUTED_VALUE"""),"PT SINAR WAHANA SURYA")</f>
        <v>PT SINAR WAHANA SURYA</v>
      </c>
      <c r="AC199" s="48" t="str">
        <f>IFERROR(__xludf.DUMMYFUNCTION("""COMPUTED_VALUE"""),"N 9425 UU")</f>
        <v>N 9425 UU</v>
      </c>
      <c r="AD199" s="48" t="str">
        <f>IFERROR(__xludf.DUMMYFUNCTION("""COMPUTED_VALUE"""),"TLPG TJ PERAK")</f>
        <v>TLPG TJ PERAK</v>
      </c>
      <c r="AE199" s="17">
        <f>IFERROR(__xludf.DUMMYFUNCTION("""COMPUTED_VALUE"""),10.0)</f>
        <v>10</v>
      </c>
    </row>
    <row r="200">
      <c r="A200" s="12">
        <v>198.0</v>
      </c>
      <c r="B200" s="9" t="s">
        <v>242</v>
      </c>
      <c r="C200" s="9" t="s">
        <v>32</v>
      </c>
      <c r="D200" s="9" t="s">
        <v>486</v>
      </c>
      <c r="E200" s="49">
        <v>102.0</v>
      </c>
      <c r="F200" s="23" t="s">
        <v>454</v>
      </c>
      <c r="G200" s="9" t="str">
        <f>IFERROR(VLOOKUP(C200,'MASTER TLPG'!A:B,2,FALSE),"")</f>
        <v>-8.509457097470957, 115.50344705076587</v>
      </c>
      <c r="H200" s="9" t="str">
        <f>IFERROR(VLOOKUP(D200,'MASTER PERUSAHAAN'!A:B,2,FALSE),"")</f>
        <v>-8.09053607810492, 115.17681684154483</v>
      </c>
      <c r="J200" s="9" t="str">
        <f t="shared" si="1"/>
        <v>SEDANG</v>
      </c>
      <c r="K200" s="11">
        <f t="shared" si="2"/>
        <v>2</v>
      </c>
      <c r="M200" s="17">
        <v>8.0</v>
      </c>
      <c r="N200" s="17"/>
      <c r="O200" s="17"/>
      <c r="P200" s="17"/>
      <c r="Q200" s="17"/>
      <c r="R200" s="17"/>
      <c r="S200" s="17"/>
      <c r="T200" s="17" t="str">
        <f>IFERROR(__xludf.DUMMYFUNCTION("""COMPUTED_VALUE"""),"W 8409 UQ")</f>
        <v>W 8409 UQ</v>
      </c>
      <c r="U200" s="17" t="str">
        <f>IFERROR(__xludf.DUMMYFUNCTION("""COMPUTED_VALUE"""),"TLPG MEM GRESIK")</f>
        <v>TLPG MEM GRESIK</v>
      </c>
      <c r="V200" s="17" t="str">
        <f>IFERROR(__xludf.DUMMYFUNCTION("""COMPUTED_VALUE"""),"PT KARYA JAYA LESTARI")</f>
        <v>PT KARYA JAYA LESTARI</v>
      </c>
      <c r="W200" s="17">
        <f>IFERROR(__xludf.DUMMYFUNCTION("""COMPUTED_VALUE"""),50.9)</f>
        <v>50.9</v>
      </c>
      <c r="X200" s="17" t="str">
        <f>IFERROR(__xludf.DUMMYFUNCTION("""COMPUTED_VALUE"""),"SEDANG")</f>
        <v>SEDANG</v>
      </c>
      <c r="Y200" s="17">
        <f>IFERROR(__xludf.DUMMYFUNCTION("""COMPUTED_VALUE"""),2.0)</f>
        <v>2</v>
      </c>
      <c r="Z200" s="17">
        <f>IFERROR(__xludf.DUMMYFUNCTION("""COMPUTED_VALUE"""),12.0)</f>
        <v>12</v>
      </c>
      <c r="AB200" s="48" t="str">
        <f>IFERROR(__xludf.DUMMYFUNCTION("""COMPUTED_VALUE"""),"PT SINAR WAHANA SURYA")</f>
        <v>PT SINAR WAHANA SURYA</v>
      </c>
      <c r="AC200" s="48" t="str">
        <f>IFERROR(__xludf.DUMMYFUNCTION("""COMPUTED_VALUE"""),"N 9661 UG")</f>
        <v>N 9661 UG</v>
      </c>
      <c r="AD200" s="48" t="str">
        <f>IFERROR(__xludf.DUMMYFUNCTION("""COMPUTED_VALUE"""),"TLPG MEM GRESIK")</f>
        <v>TLPG MEM GRESIK</v>
      </c>
      <c r="AE200" s="17">
        <f>IFERROR(__xludf.DUMMYFUNCTION("""COMPUTED_VALUE"""),10.0)</f>
        <v>10</v>
      </c>
    </row>
    <row r="201">
      <c r="A201" s="12">
        <v>199.0</v>
      </c>
      <c r="B201" s="9" t="s">
        <v>243</v>
      </c>
      <c r="C201" s="9" t="s">
        <v>5</v>
      </c>
      <c r="D201" s="9" t="s">
        <v>456</v>
      </c>
      <c r="E201" s="49">
        <v>31.3</v>
      </c>
      <c r="F201" s="23" t="s">
        <v>454</v>
      </c>
      <c r="G201" s="9" t="str">
        <f>IFERROR(VLOOKUP(C201,'MASTER TLPG'!A:B,2,FALSE),"")</f>
        <v>-8.749911797697688, 116.03590255003817</v>
      </c>
      <c r="H201" s="9" t="str">
        <f>IFERROR(VLOOKUP(D201,'MASTER PERUSAHAAN'!A:B,2,FALSE),"")</f>
        <v>-8.665169562935535, 116.15322287230633</v>
      </c>
      <c r="J201" s="9" t="str">
        <f t="shared" si="1"/>
        <v>DEKAT</v>
      </c>
      <c r="K201" s="11">
        <f t="shared" si="2"/>
        <v>1</v>
      </c>
      <c r="M201" s="17">
        <v>8.0</v>
      </c>
      <c r="N201" s="17"/>
      <c r="O201" s="17"/>
      <c r="P201" s="17"/>
      <c r="Q201" s="17"/>
      <c r="R201" s="17"/>
      <c r="S201" s="17"/>
      <c r="T201" s="17" t="str">
        <f>IFERROR(__xludf.DUMMYFUNCTION("""COMPUTED_VALUE"""),"DK 8694 KP")</f>
        <v>DK 8694 KP</v>
      </c>
      <c r="U201" s="17" t="str">
        <f>IFERROR(__xludf.DUMMYFUNCTION("""COMPUTED_VALUE"""),"TLPG MANGGIS")</f>
        <v>TLPG MANGGIS</v>
      </c>
      <c r="V201" s="17" t="str">
        <f>IFERROR(__xludf.DUMMYFUNCTION("""COMPUTED_VALUE"""),"SPPBE-PT. Prapen Artha Dewata")</f>
        <v>SPPBE-PT. Prapen Artha Dewata</v>
      </c>
      <c r="W201" s="17">
        <f>IFERROR(__xludf.DUMMYFUNCTION("""COMPUTED_VALUE"""),49.9)</f>
        <v>49.9</v>
      </c>
      <c r="X201" s="17" t="str">
        <f>IFERROR(__xludf.DUMMYFUNCTION("""COMPUTED_VALUE"""),"DEKAT")</f>
        <v>DEKAT</v>
      </c>
      <c r="Y201" s="17">
        <f>IFERROR(__xludf.DUMMYFUNCTION("""COMPUTED_VALUE"""),1.0)</f>
        <v>1</v>
      </c>
      <c r="Z201" s="17">
        <f>IFERROR(__xludf.DUMMYFUNCTION("""COMPUTED_VALUE"""),11.0)</f>
        <v>11</v>
      </c>
      <c r="AB201" s="48" t="str">
        <f>IFERROR(__xludf.DUMMYFUNCTION("""COMPUTED_VALUE"""),"PT SOLUSINDO INNOVATIVE")</f>
        <v>PT SOLUSINDO INNOVATIVE</v>
      </c>
      <c r="AC201" s="48" t="str">
        <f>IFERROR(__xludf.DUMMYFUNCTION("""COMPUTED_VALUE"""),"N 8777 UG")</f>
        <v>N 8777 UG</v>
      </c>
      <c r="AD201" s="48" t="str">
        <f>IFERROR(__xludf.DUMMYFUNCTION("""COMPUTED_VALUE"""),"TLPG TJ PERAK")</f>
        <v>TLPG TJ PERAK</v>
      </c>
      <c r="AE201" s="17">
        <f>IFERROR(__xludf.DUMMYFUNCTION("""COMPUTED_VALUE"""),9.0)</f>
        <v>9</v>
      </c>
    </row>
    <row r="202">
      <c r="A202" s="12">
        <v>200.0</v>
      </c>
      <c r="B202" s="9" t="s">
        <v>244</v>
      </c>
      <c r="C202" s="9" t="s">
        <v>5</v>
      </c>
      <c r="D202" s="9" t="s">
        <v>445</v>
      </c>
      <c r="E202" s="49">
        <v>95.2</v>
      </c>
      <c r="F202" s="23" t="s">
        <v>454</v>
      </c>
      <c r="G202" s="9" t="str">
        <f>IFERROR(VLOOKUP(C202,'MASTER TLPG'!A:B,2,FALSE),"")</f>
        <v>-8.749911797697688, 116.03590255003817</v>
      </c>
      <c r="H202" s="9" t="str">
        <f>IFERROR(VLOOKUP(D202,'MASTER PERUSAHAAN'!A:B,2,FALSE),"")</f>
        <v>-8.249443047905102, 116.26830035611363</v>
      </c>
      <c r="J202" s="9" t="str">
        <f t="shared" si="1"/>
        <v>SEDANG</v>
      </c>
      <c r="K202" s="11">
        <f t="shared" si="2"/>
        <v>2</v>
      </c>
      <c r="M202" s="17">
        <v>8.0</v>
      </c>
      <c r="N202" s="17"/>
      <c r="O202" s="17"/>
      <c r="P202" s="17"/>
      <c r="Q202" s="17"/>
      <c r="R202" s="17"/>
      <c r="S202" s="17"/>
      <c r="T202" s="17" t="str">
        <f>IFERROR(__xludf.DUMMYFUNCTION("""COMPUTED_VALUE"""),"DK 8636 BE")</f>
        <v>DK 8636 BE</v>
      </c>
      <c r="U202" s="17" t="str">
        <f>IFERROR(__xludf.DUMMYFUNCTION("""COMPUTED_VALUE"""),"TLPG MANGGIS")</f>
        <v>TLPG MANGGIS</v>
      </c>
      <c r="V202" s="17" t="str">
        <f>IFERROR(__xludf.DUMMYFUNCTION("""COMPUTED_VALUE"""),"PT CAHAYA ASTIKA DHARMA")</f>
        <v>PT CAHAYA ASTIKA DHARMA</v>
      </c>
      <c r="W202" s="17">
        <f>IFERROR(__xludf.DUMMYFUNCTION("""COMPUTED_VALUE"""),49.4)</f>
        <v>49.4</v>
      </c>
      <c r="X202" s="17" t="str">
        <f>IFERROR(__xludf.DUMMYFUNCTION("""COMPUTED_VALUE"""),"DEKAT")</f>
        <v>DEKAT</v>
      </c>
      <c r="Y202" s="17">
        <f>IFERROR(__xludf.DUMMYFUNCTION("""COMPUTED_VALUE"""),1.0)</f>
        <v>1</v>
      </c>
      <c r="Z202" s="17">
        <f>IFERROR(__xludf.DUMMYFUNCTION("""COMPUTED_VALUE"""),12.0)</f>
        <v>12</v>
      </c>
      <c r="AB202" s="48" t="str">
        <f>IFERROR(__xludf.DUMMYFUNCTION("""COMPUTED_VALUE"""),"PT SRI MUKTI RAYA")</f>
        <v>PT SRI MUKTI RAYA</v>
      </c>
      <c r="AC202" s="48" t="str">
        <f>IFERROR(__xludf.DUMMYFUNCTION("""COMPUTED_VALUE"""),"S 8977 UL")</f>
        <v>S 8977 UL</v>
      </c>
      <c r="AD202" s="48" t="str">
        <f>IFERROR(__xludf.DUMMYFUNCTION("""COMPUTED_VALUE"""),"TLPG TJ PERAK")</f>
        <v>TLPG TJ PERAK</v>
      </c>
      <c r="AE202" s="17">
        <f>IFERROR(__xludf.DUMMYFUNCTION("""COMPUTED_VALUE"""),11.0)</f>
        <v>11</v>
      </c>
    </row>
    <row r="203">
      <c r="A203" s="12">
        <v>201.0</v>
      </c>
      <c r="B203" s="9" t="s">
        <v>245</v>
      </c>
      <c r="C203" s="9" t="s">
        <v>39</v>
      </c>
      <c r="D203" s="9" t="s">
        <v>184</v>
      </c>
      <c r="E203" s="9"/>
      <c r="G203" s="9" t="str">
        <f>IFERROR(VLOOKUP(C203,'MASTER TLPG'!A:B,2,FALSE),"")</f>
        <v>-8.477696591405829, 118.71143008615176</v>
      </c>
      <c r="H203" s="9" t="str">
        <f>IFERROR(VLOOKUP(D203,'MASTER PERUSAHAAN'!A:B,2,FALSE),"")</f>
        <v/>
      </c>
      <c r="J203" s="9" t="str">
        <f t="shared" si="1"/>
        <v/>
      </c>
      <c r="K203" s="11" t="str">
        <f t="shared" si="2"/>
        <v/>
      </c>
      <c r="M203" s="17">
        <v>8.0</v>
      </c>
      <c r="N203" s="17"/>
      <c r="O203" s="17"/>
      <c r="P203" s="17"/>
      <c r="Q203" s="17"/>
      <c r="R203" s="17"/>
      <c r="S203" s="17"/>
      <c r="T203" s="17" t="str">
        <f>IFERROR(__xludf.DUMMYFUNCTION("""COMPUTED_VALUE"""),"DK 8834 BM")</f>
        <v>DK 8834 BM</v>
      </c>
      <c r="U203" s="17" t="str">
        <f>IFERROR(__xludf.DUMMYFUNCTION("""COMPUTED_VALUE"""),"TLPG MANGGIS")</f>
        <v>TLPG MANGGIS</v>
      </c>
      <c r="V203" s="17" t="str">
        <f>IFERROR(__xludf.DUMMYFUNCTION("""COMPUTED_VALUE"""),"SPPBE-PT. Cahaya Astika Dharma")</f>
        <v>SPPBE-PT. Cahaya Astika Dharma</v>
      </c>
      <c r="W203" s="17">
        <f>IFERROR(__xludf.DUMMYFUNCTION("""COMPUTED_VALUE"""),49.4)</f>
        <v>49.4</v>
      </c>
      <c r="X203" s="17" t="str">
        <f>IFERROR(__xludf.DUMMYFUNCTION("""COMPUTED_VALUE"""),"DEKAT")</f>
        <v>DEKAT</v>
      </c>
      <c r="Y203" s="17">
        <f>IFERROR(__xludf.DUMMYFUNCTION("""COMPUTED_VALUE"""),1.0)</f>
        <v>1</v>
      </c>
      <c r="Z203" s="17">
        <f>IFERROR(__xludf.DUMMYFUNCTION("""COMPUTED_VALUE"""),12.0)</f>
        <v>12</v>
      </c>
      <c r="AB203" s="48" t="str">
        <f>IFERROR(__xludf.DUMMYFUNCTION("""COMPUTED_VALUE"""),"PT SUGIHARTO BERJAYA")</f>
        <v>PT SUGIHARTO BERJAYA</v>
      </c>
      <c r="AC203" s="48" t="str">
        <f>IFERROR(__xludf.DUMMYFUNCTION("""COMPUTED_VALUE"""),"W 8637 DV")</f>
        <v>W 8637 DV</v>
      </c>
      <c r="AD203" s="48" t="str">
        <f>IFERROR(__xludf.DUMMYFUNCTION("""COMPUTED_VALUE"""),"TLPG TJ PERAK")</f>
        <v>TLPG TJ PERAK</v>
      </c>
      <c r="AE203" s="17">
        <f>IFERROR(__xludf.DUMMYFUNCTION("""COMPUTED_VALUE"""),12.0)</f>
        <v>12</v>
      </c>
    </row>
    <row r="204">
      <c r="A204" s="12">
        <v>202.0</v>
      </c>
      <c r="B204" s="9" t="s">
        <v>247</v>
      </c>
      <c r="C204" s="9" t="s">
        <v>7</v>
      </c>
      <c r="D204" s="9" t="s">
        <v>273</v>
      </c>
      <c r="E204" s="49">
        <v>98.1</v>
      </c>
      <c r="F204" s="23" t="s">
        <v>454</v>
      </c>
      <c r="G204" s="9" t="str">
        <f>IFERROR(VLOOKUP(C204,'MASTER TLPG'!A:B,2,FALSE),"")</f>
        <v>-7.203807110524606, 112.71950675497641</v>
      </c>
      <c r="H204" s="9" t="str">
        <f>IFERROR(VLOOKUP(D204,'MASTER PERUSAHAAN'!A:B,2,FALSE),"")</f>
        <v>-7.910804213977124, 112.6211504585962</v>
      </c>
      <c r="J204" s="9" t="str">
        <f t="shared" si="1"/>
        <v>SEDANG</v>
      </c>
      <c r="K204" s="11">
        <f t="shared" si="2"/>
        <v>2</v>
      </c>
      <c r="M204" s="17">
        <v>8.0</v>
      </c>
      <c r="N204" s="17"/>
      <c r="O204" s="17"/>
      <c r="P204" s="17"/>
      <c r="Q204" s="17"/>
      <c r="R204" s="17"/>
      <c r="S204" s="17"/>
      <c r="T204" s="17" t="str">
        <f>IFERROR(__xludf.DUMMYFUNCTION("""COMPUTED_VALUE"""),"DK 8773 MG")</f>
        <v>DK 8773 MG</v>
      </c>
      <c r="U204" s="17" t="str">
        <f>IFERROR(__xludf.DUMMYFUNCTION("""COMPUTED_VALUE"""),"TLPG LOMBOK")</f>
        <v>TLPG LOMBOK</v>
      </c>
      <c r="V204" s="17" t="str">
        <f>IFERROR(__xludf.DUMMYFUNCTION("""COMPUTED_VALUE"""),"SPPBE-PT. Harapan Jaya Utama")</f>
        <v>SPPBE-PT. Harapan Jaya Utama</v>
      </c>
      <c r="W204" s="17">
        <f>IFERROR(__xludf.DUMMYFUNCTION("""COMPUTED_VALUE"""),48.5)</f>
        <v>48.5</v>
      </c>
      <c r="X204" s="17" t="str">
        <f>IFERROR(__xludf.DUMMYFUNCTION("""COMPUTED_VALUE"""),"DEKAT")</f>
        <v>DEKAT</v>
      </c>
      <c r="Y204" s="17">
        <f>IFERROR(__xludf.DUMMYFUNCTION("""COMPUTED_VALUE"""),1.0)</f>
        <v>1</v>
      </c>
      <c r="Z204" s="17">
        <f>IFERROR(__xludf.DUMMYFUNCTION("""COMPUTED_VALUE"""),4.0)</f>
        <v>4</v>
      </c>
      <c r="AB204" s="48" t="str">
        <f>IFERROR(__xludf.DUMMYFUNCTION("""COMPUTED_VALUE"""),"PT SUMAN GAUNG PERSADA")</f>
        <v>PT SUMAN GAUNG PERSADA</v>
      </c>
      <c r="AC204" s="48" t="str">
        <f>IFERROR(__xludf.DUMMYFUNCTION("""COMPUTED_VALUE"""),"W 8729 QD")</f>
        <v>W 8729 QD</v>
      </c>
      <c r="AD204" s="48" t="str">
        <f>IFERROR(__xludf.DUMMYFUNCTION("""COMPUTED_VALUE"""),"TLPG TJ PERAK")</f>
        <v>TLPG TJ PERAK</v>
      </c>
      <c r="AE204" s="17">
        <f>IFERROR(__xludf.DUMMYFUNCTION("""COMPUTED_VALUE"""),6.0)</f>
        <v>6</v>
      </c>
    </row>
    <row r="205">
      <c r="A205" s="12">
        <v>203.0</v>
      </c>
      <c r="B205" s="9" t="s">
        <v>248</v>
      </c>
      <c r="C205" s="9" t="s">
        <v>25</v>
      </c>
      <c r="D205" s="9" t="s">
        <v>83</v>
      </c>
      <c r="E205" s="9"/>
      <c r="G205" s="9" t="str">
        <f>IFERROR(VLOOKUP(C205,'MASTER TLPG'!A:B,2,FALSE),"")</f>
        <v>-7.109201954744449, 112.62272164861744</v>
      </c>
      <c r="H205" s="9" t="str">
        <f>IFERROR(VLOOKUP(D205,'MASTER PERUSAHAAN'!A:B,2,FALSE),"")</f>
        <v/>
      </c>
      <c r="J205" s="9" t="str">
        <f t="shared" si="1"/>
        <v/>
      </c>
      <c r="K205" s="11" t="str">
        <f t="shared" si="2"/>
        <v/>
      </c>
      <c r="M205" s="17">
        <v>8.0</v>
      </c>
      <c r="N205" s="17"/>
      <c r="O205" s="17"/>
      <c r="P205" s="17"/>
      <c r="Q205" s="17"/>
      <c r="R205" s="17"/>
      <c r="S205" s="17"/>
      <c r="T205" s="17" t="str">
        <f>IFERROR(__xludf.DUMMYFUNCTION("""COMPUTED_VALUE"""),"W 8921 UR")</f>
        <v>W 8921 UR</v>
      </c>
      <c r="U205" s="17" t="str">
        <f>IFERROR(__xludf.DUMMYFUNCTION("""COMPUTED_VALUE"""),"TLPG TJ PERAK")</f>
        <v>TLPG TJ PERAK</v>
      </c>
      <c r="V205" s="17" t="str">
        <f>IFERROR(__xludf.DUMMYFUNCTION("""COMPUTED_VALUE"""),"PT WIN MED INDONESIA")</f>
        <v>PT WIN MED INDONESIA</v>
      </c>
      <c r="W205" s="17">
        <f>IFERROR(__xludf.DUMMYFUNCTION("""COMPUTED_VALUE"""),47.8)</f>
        <v>47.8</v>
      </c>
      <c r="X205" s="17" t="str">
        <f>IFERROR(__xludf.DUMMYFUNCTION("""COMPUTED_VALUE"""),"DEKAT")</f>
        <v>DEKAT</v>
      </c>
      <c r="Y205" s="17">
        <f>IFERROR(__xludf.DUMMYFUNCTION("""COMPUTED_VALUE"""),1.0)</f>
        <v>1</v>
      </c>
      <c r="Z205" s="17">
        <f>IFERROR(__xludf.DUMMYFUNCTION("""COMPUTED_VALUE"""),7.0)</f>
        <v>7</v>
      </c>
      <c r="AB205" s="48" t="str">
        <f>IFERROR(__xludf.DUMMYFUNCTION("""COMPUTED_VALUE"""),"PT SUMBER BINA USAHA MANDIRI")</f>
        <v>PT SUMBER BINA USAHA MANDIRI</v>
      </c>
      <c r="AC205" s="48" t="str">
        <f>IFERROR(__xludf.DUMMYFUNCTION("""COMPUTED_VALUE"""),"S 8052 UZ")</f>
        <v>S 8052 UZ</v>
      </c>
      <c r="AD205" s="48" t="str">
        <f>IFERROR(__xludf.DUMMYFUNCTION("""COMPUTED_VALUE"""),"TLPG TJ PERAK")</f>
        <v>TLPG TJ PERAK</v>
      </c>
      <c r="AE205" s="17">
        <f>IFERROR(__xludf.DUMMYFUNCTION("""COMPUTED_VALUE"""),10.0)</f>
        <v>10</v>
      </c>
    </row>
    <row r="206">
      <c r="A206" s="12">
        <v>204.0</v>
      </c>
      <c r="B206" s="9" t="s">
        <v>249</v>
      </c>
      <c r="C206" s="9" t="s">
        <v>25</v>
      </c>
      <c r="D206" s="9" t="s">
        <v>83</v>
      </c>
      <c r="E206" s="9"/>
      <c r="G206" s="9" t="str">
        <f>IFERROR(VLOOKUP(C206,'MASTER TLPG'!A:B,2,FALSE),"")</f>
        <v>-7.109201954744449, 112.62272164861744</v>
      </c>
      <c r="H206" s="9" t="str">
        <f>IFERROR(VLOOKUP(D206,'MASTER PERUSAHAAN'!A:B,2,FALSE),"")</f>
        <v/>
      </c>
      <c r="J206" s="9" t="str">
        <f t="shared" si="1"/>
        <v/>
      </c>
      <c r="K206" s="11" t="str">
        <f t="shared" si="2"/>
        <v/>
      </c>
      <c r="M206" s="17">
        <v>8.0</v>
      </c>
      <c r="N206" s="17"/>
      <c r="O206" s="17"/>
      <c r="P206" s="17"/>
      <c r="Q206" s="17"/>
      <c r="R206" s="17"/>
      <c r="S206" s="17"/>
      <c r="T206" s="17" t="str">
        <f>IFERROR(__xludf.DUMMYFUNCTION("""COMPUTED_VALUE"""),"W 8041 UW")</f>
        <v>W 8041 UW</v>
      </c>
      <c r="U206" s="17" t="str">
        <f>IFERROR(__xludf.DUMMYFUNCTION("""COMPUTED_VALUE"""),"TLPG TJ PERAK")</f>
        <v>TLPG TJ PERAK</v>
      </c>
      <c r="V206" s="17" t="str">
        <f>IFERROR(__xludf.DUMMYFUNCTION("""COMPUTED_VALUE"""),"PT WIN MED INDONESIA")</f>
        <v>PT WIN MED INDONESIA</v>
      </c>
      <c r="W206" s="17">
        <f>IFERROR(__xludf.DUMMYFUNCTION("""COMPUTED_VALUE"""),47.8)</f>
        <v>47.8</v>
      </c>
      <c r="X206" s="17" t="str">
        <f>IFERROR(__xludf.DUMMYFUNCTION("""COMPUTED_VALUE"""),"DEKAT")</f>
        <v>DEKAT</v>
      </c>
      <c r="Y206" s="17">
        <f>IFERROR(__xludf.DUMMYFUNCTION("""COMPUTED_VALUE"""),1.0)</f>
        <v>1</v>
      </c>
      <c r="Z206" s="17">
        <f>IFERROR(__xludf.DUMMYFUNCTION("""COMPUTED_VALUE"""),12.0)</f>
        <v>12</v>
      </c>
      <c r="AB206" s="48" t="str">
        <f>IFERROR(__xludf.DUMMYFUNCTION("""COMPUTED_VALUE"""),"PT SUMBER BINA USAHA MANDIRI")</f>
        <v>PT SUMBER BINA USAHA MANDIRI</v>
      </c>
      <c r="AC206" s="48" t="str">
        <f>IFERROR(__xludf.DUMMYFUNCTION("""COMPUTED_VALUE"""),"S 8141 UZ")</f>
        <v>S 8141 UZ</v>
      </c>
      <c r="AD206" s="48" t="str">
        <f>IFERROR(__xludf.DUMMYFUNCTION("""COMPUTED_VALUE"""),"TLPG TJ PERAK")</f>
        <v>TLPG TJ PERAK</v>
      </c>
      <c r="AE206" s="17">
        <f>IFERROR(__xludf.DUMMYFUNCTION("""COMPUTED_VALUE"""),10.0)</f>
        <v>10</v>
      </c>
    </row>
    <row r="207">
      <c r="A207" s="12">
        <v>205.0</v>
      </c>
      <c r="B207" s="9" t="s">
        <v>250</v>
      </c>
      <c r="C207" s="9" t="s">
        <v>7</v>
      </c>
      <c r="D207" s="9" t="s">
        <v>448</v>
      </c>
      <c r="E207" s="49">
        <v>109.2</v>
      </c>
      <c r="F207" s="23" t="s">
        <v>454</v>
      </c>
      <c r="G207" s="9" t="str">
        <f>IFERROR(VLOOKUP(C207,'MASTER TLPG'!A:B,2,FALSE),"")</f>
        <v>-7.203807110524606, 112.71950675497641</v>
      </c>
      <c r="H207" s="9" t="str">
        <f>IFERROR(VLOOKUP(D207,'MASTER PERUSAHAAN'!A:B,2,FALSE),"")</f>
        <v>-7.219350074001657, 113.42586363278424</v>
      </c>
      <c r="J207" s="9" t="str">
        <f t="shared" si="1"/>
        <v>SEDANG</v>
      </c>
      <c r="K207" s="11">
        <f t="shared" si="2"/>
        <v>2</v>
      </c>
      <c r="M207" s="17">
        <v>8.0</v>
      </c>
      <c r="N207" s="17"/>
      <c r="O207" s="17"/>
      <c r="P207" s="17"/>
      <c r="Q207" s="17"/>
      <c r="R207" s="17"/>
      <c r="S207" s="17"/>
      <c r="T207" s="17" t="str">
        <f>IFERROR(__xludf.DUMMYFUNCTION("""COMPUTED_VALUE"""),"DK 8394 CP")</f>
        <v>DK 8394 CP</v>
      </c>
      <c r="U207" s="17" t="str">
        <f>IFERROR(__xludf.DUMMYFUNCTION("""COMPUTED_VALUE"""),"TLPG MANGGIS")</f>
        <v>TLPG MANGGIS</v>
      </c>
      <c r="V207" s="17" t="str">
        <f>IFERROR(__xludf.DUMMYFUNCTION("""COMPUTED_VALUE"""),"SPPBE-PT. Sadikun LPG 3Kg")</f>
        <v>SPPBE-PT. Sadikun LPG 3Kg</v>
      </c>
      <c r="W207" s="17">
        <f>IFERROR(__xludf.DUMMYFUNCTION("""COMPUTED_VALUE"""),46.6)</f>
        <v>46.6</v>
      </c>
      <c r="X207" s="17" t="str">
        <f>IFERROR(__xludf.DUMMYFUNCTION("""COMPUTED_VALUE"""),"DEKAT")</f>
        <v>DEKAT</v>
      </c>
      <c r="Y207" s="17">
        <f>IFERROR(__xludf.DUMMYFUNCTION("""COMPUTED_VALUE"""),1.0)</f>
        <v>1</v>
      </c>
      <c r="Z207" s="17">
        <f>IFERROR(__xludf.DUMMYFUNCTION("""COMPUTED_VALUE"""),8.0)</f>
        <v>8</v>
      </c>
      <c r="AB207" s="48" t="str">
        <f>IFERROR(__xludf.DUMMYFUNCTION("""COMPUTED_VALUE"""),"PT SUMBER GAS INTI UTAMA")</f>
        <v>PT SUMBER GAS INTI UTAMA</v>
      </c>
      <c r="AC207" s="48" t="str">
        <f>IFERROR(__xludf.DUMMYFUNCTION("""COMPUTED_VALUE"""),"N 8661 UR")</f>
        <v>N 8661 UR</v>
      </c>
      <c r="AD207" s="48" t="str">
        <f>IFERROR(__xludf.DUMMYFUNCTION("""COMPUTED_VALUE"""),"TLPG TJ PERAK")</f>
        <v>TLPG TJ PERAK</v>
      </c>
      <c r="AE207" s="17">
        <f>IFERROR(__xludf.DUMMYFUNCTION("""COMPUTED_VALUE"""),8.0)</f>
        <v>8</v>
      </c>
    </row>
    <row r="208">
      <c r="A208" s="12">
        <v>206.0</v>
      </c>
      <c r="B208" s="9" t="s">
        <v>251</v>
      </c>
      <c r="C208" s="9" t="s">
        <v>7</v>
      </c>
      <c r="D208" s="9" t="s">
        <v>448</v>
      </c>
      <c r="E208" s="49">
        <v>109.2</v>
      </c>
      <c r="F208" s="23" t="s">
        <v>454</v>
      </c>
      <c r="G208" s="9" t="str">
        <f>IFERROR(VLOOKUP(C208,'MASTER TLPG'!A:B,2,FALSE),"")</f>
        <v>-7.203807110524606, 112.71950675497641</v>
      </c>
      <c r="H208" s="9" t="str">
        <f>IFERROR(VLOOKUP(D208,'MASTER PERUSAHAAN'!A:B,2,FALSE),"")</f>
        <v>-7.219350074001657, 113.42586363278424</v>
      </c>
      <c r="J208" s="9" t="str">
        <f t="shared" si="1"/>
        <v>SEDANG</v>
      </c>
      <c r="K208" s="11">
        <f t="shared" si="2"/>
        <v>2</v>
      </c>
      <c r="M208" s="17">
        <v>8.0</v>
      </c>
      <c r="N208" s="17"/>
      <c r="O208" s="17"/>
      <c r="P208" s="17"/>
      <c r="Q208" s="17"/>
      <c r="R208" s="17"/>
      <c r="S208" s="17"/>
      <c r="T208" s="17" t="str">
        <f>IFERROR(__xludf.DUMMYFUNCTION("""COMPUTED_VALUE"""),"DK 8100 CL")</f>
        <v>DK 8100 CL</v>
      </c>
      <c r="U208" s="17" t="str">
        <f>IFERROR(__xludf.DUMMYFUNCTION("""COMPUTED_VALUE"""),"TLPG MANGGIS")</f>
        <v>TLPG MANGGIS</v>
      </c>
      <c r="V208" s="17" t="str">
        <f>IFERROR(__xludf.DUMMYFUNCTION("""COMPUTED_VALUE"""),"SPPBE-PT. Sadikun LPG 3Kg")</f>
        <v>SPPBE-PT. Sadikun LPG 3Kg</v>
      </c>
      <c r="W208" s="17">
        <f>IFERROR(__xludf.DUMMYFUNCTION("""COMPUTED_VALUE"""),46.6)</f>
        <v>46.6</v>
      </c>
      <c r="X208" s="17" t="str">
        <f>IFERROR(__xludf.DUMMYFUNCTION("""COMPUTED_VALUE"""),"DEKAT")</f>
        <v>DEKAT</v>
      </c>
      <c r="Y208" s="17">
        <f>IFERROR(__xludf.DUMMYFUNCTION("""COMPUTED_VALUE"""),1.0)</f>
        <v>1</v>
      </c>
      <c r="Z208" s="17">
        <f>IFERROR(__xludf.DUMMYFUNCTION("""COMPUTED_VALUE"""),9.0)</f>
        <v>9</v>
      </c>
      <c r="AB208" s="48" t="str">
        <f>IFERROR(__xludf.DUMMYFUNCTION("""COMPUTED_VALUE"""),"PT SUMBER MAKMUR MEGAH ABADI")</f>
        <v>PT SUMBER MAKMUR MEGAH ABADI</v>
      </c>
      <c r="AC208" s="48" t="str">
        <f>IFERROR(__xludf.DUMMYFUNCTION("""COMPUTED_VALUE"""),"P 8726 UG")</f>
        <v>P 8726 UG</v>
      </c>
      <c r="AD208" s="48" t="str">
        <f>IFERROR(__xludf.DUMMYFUNCTION("""COMPUTED_VALUE"""),"TLPG TJ WANGI")</f>
        <v>TLPG TJ WANGI</v>
      </c>
      <c r="AE208" s="17">
        <f>IFERROR(__xludf.DUMMYFUNCTION("""COMPUTED_VALUE"""),10.0)</f>
        <v>10</v>
      </c>
    </row>
    <row r="209">
      <c r="A209" s="12">
        <v>207.0</v>
      </c>
      <c r="B209" s="9" t="s">
        <v>252</v>
      </c>
      <c r="C209" s="9" t="s">
        <v>7</v>
      </c>
      <c r="D209" s="9" t="s">
        <v>462</v>
      </c>
      <c r="E209" s="49">
        <v>54.2</v>
      </c>
      <c r="F209" s="23" t="s">
        <v>454</v>
      </c>
      <c r="G209" s="9" t="str">
        <f>IFERROR(VLOOKUP(C209,'MASTER TLPG'!A:B,2,FALSE),"")</f>
        <v>-7.203807110524606, 112.71950675497641</v>
      </c>
      <c r="H209" s="9" t="str">
        <f>IFERROR(VLOOKUP(D209,'MASTER PERUSAHAAN'!A:B,2,FALSE),"")</f>
        <v>-7.614773969964553, 112.71121954210973</v>
      </c>
      <c r="J209" s="9" t="str">
        <f t="shared" si="1"/>
        <v>SEDANG</v>
      </c>
      <c r="K209" s="11">
        <f t="shared" si="2"/>
        <v>2</v>
      </c>
      <c r="M209" s="17">
        <v>8.0</v>
      </c>
      <c r="N209" s="17"/>
      <c r="O209" s="17"/>
      <c r="P209" s="17"/>
      <c r="Q209" s="17"/>
      <c r="R209" s="17"/>
      <c r="S209" s="17"/>
      <c r="T209" s="17" t="str">
        <f>IFERROR(__xludf.DUMMYFUNCTION("""COMPUTED_VALUE"""),"DK 8547 CV")</f>
        <v>DK 8547 CV</v>
      </c>
      <c r="U209" s="17" t="str">
        <f>IFERROR(__xludf.DUMMYFUNCTION("""COMPUTED_VALUE"""),"TLPG MANGGIS")</f>
        <v>TLPG MANGGIS</v>
      </c>
      <c r="V209" s="17" t="str">
        <f>IFERROR(__xludf.DUMMYFUNCTION("""COMPUTED_VALUE"""),"SPPBE-PT. Sadikun LPG 3Kg")</f>
        <v>SPPBE-PT. Sadikun LPG 3Kg</v>
      </c>
      <c r="W209" s="17">
        <f>IFERROR(__xludf.DUMMYFUNCTION("""COMPUTED_VALUE"""),46.6)</f>
        <v>46.6</v>
      </c>
      <c r="X209" s="17" t="str">
        <f>IFERROR(__xludf.DUMMYFUNCTION("""COMPUTED_VALUE"""),"DEKAT")</f>
        <v>DEKAT</v>
      </c>
      <c r="Y209" s="17">
        <f>IFERROR(__xludf.DUMMYFUNCTION("""COMPUTED_VALUE"""),1.0)</f>
        <v>1</v>
      </c>
      <c r="Z209" s="17">
        <f>IFERROR(__xludf.DUMMYFUNCTION("""COMPUTED_VALUE"""),9.0)</f>
        <v>9</v>
      </c>
      <c r="AB209" s="48" t="str">
        <f>IFERROR(__xludf.DUMMYFUNCTION("""COMPUTED_VALUE"""),"PT SUMBER MAKMUR MEGAH ABADI")</f>
        <v>PT SUMBER MAKMUR MEGAH ABADI</v>
      </c>
      <c r="AC209" s="48" t="str">
        <f>IFERROR(__xludf.DUMMYFUNCTION("""COMPUTED_VALUE"""),"P 8824 UI")</f>
        <v>P 8824 UI</v>
      </c>
      <c r="AD209" s="48" t="str">
        <f>IFERROR(__xludf.DUMMYFUNCTION("""COMPUTED_VALUE"""),"TLPG TJ WANGI")</f>
        <v>TLPG TJ WANGI</v>
      </c>
      <c r="AE209" s="17">
        <f>IFERROR(__xludf.DUMMYFUNCTION("""COMPUTED_VALUE"""),12.0)</f>
        <v>12</v>
      </c>
    </row>
    <row r="210">
      <c r="A210" s="12">
        <v>208.0</v>
      </c>
      <c r="B210" s="9" t="s">
        <v>253</v>
      </c>
      <c r="C210" s="9" t="s">
        <v>25</v>
      </c>
      <c r="D210" s="9" t="s">
        <v>497</v>
      </c>
      <c r="E210" s="49">
        <v>173.6</v>
      </c>
      <c r="F210" s="23" t="s">
        <v>454</v>
      </c>
      <c r="G210" s="9" t="str">
        <f>IFERROR(VLOOKUP(C210,'MASTER TLPG'!A:B,2,FALSE),"")</f>
        <v>-7.109201954744449, 112.62272164861744</v>
      </c>
      <c r="H210" s="9" t="str">
        <f>IFERROR(VLOOKUP(D210,'MASTER PERUSAHAAN'!A:B,2,FALSE),"")</f>
        <v>-8.140639112582104, 113.24288988856287</v>
      </c>
      <c r="J210" s="9" t="str">
        <f t="shared" si="1"/>
        <v>JAUH</v>
      </c>
      <c r="K210" s="11">
        <f t="shared" si="2"/>
        <v>3</v>
      </c>
      <c r="M210" s="17">
        <v>8.0</v>
      </c>
      <c r="N210" s="17"/>
      <c r="O210" s="17"/>
      <c r="P210" s="17"/>
      <c r="Q210" s="17"/>
      <c r="R210" s="17"/>
      <c r="S210" s="17"/>
      <c r="T210" s="17" t="str">
        <f>IFERROR(__xludf.DUMMYFUNCTION("""COMPUTED_VALUE"""),"S 8347 UQ")</f>
        <v>S 8347 UQ</v>
      </c>
      <c r="U210" s="17" t="str">
        <f>IFERROR(__xludf.DUMMYFUNCTION("""COMPUTED_VALUE"""),"TLPG TJ PERAK")</f>
        <v>TLPG TJ PERAK</v>
      </c>
      <c r="V210" s="17" t="str">
        <f>IFERROR(__xludf.DUMMYFUNCTION("""COMPUTED_VALUE"""),"PT ANTARES JAYA SAKTI")</f>
        <v>PT ANTARES JAYA SAKTI</v>
      </c>
      <c r="W210" s="17">
        <f>IFERROR(__xludf.DUMMYFUNCTION("""COMPUTED_VALUE"""),44.3)</f>
        <v>44.3</v>
      </c>
      <c r="X210" s="17" t="str">
        <f>IFERROR(__xludf.DUMMYFUNCTION("""COMPUTED_VALUE"""),"DEKAT")</f>
        <v>DEKAT</v>
      </c>
      <c r="Y210" s="17">
        <f>IFERROR(__xludf.DUMMYFUNCTION("""COMPUTED_VALUE"""),1.0)</f>
        <v>1</v>
      </c>
      <c r="Z210" s="17">
        <f>IFERROR(__xludf.DUMMYFUNCTION("""COMPUTED_VALUE"""),11.0)</f>
        <v>11</v>
      </c>
      <c r="AB210" s="48" t="str">
        <f>IFERROR(__xludf.DUMMYFUNCTION("""COMPUTED_VALUE"""),"PT SUMINAR MITRAGAS SELARAS")</f>
        <v>PT SUMINAR MITRAGAS SELARAS</v>
      </c>
      <c r="AC210" s="48" t="str">
        <f>IFERROR(__xludf.DUMMYFUNCTION("""COMPUTED_VALUE"""),"AE 9401 UJ")</f>
        <v>AE 9401 UJ</v>
      </c>
      <c r="AD210" s="48" t="str">
        <f>IFERROR(__xludf.DUMMYFUNCTION("""COMPUTED_VALUE"""),"TLPG TJ PERAK")</f>
        <v>TLPG TJ PERAK</v>
      </c>
      <c r="AE210" s="17">
        <f>IFERROR(__xludf.DUMMYFUNCTION("""COMPUTED_VALUE"""),2.0)</f>
        <v>2</v>
      </c>
    </row>
    <row r="211">
      <c r="A211" s="12">
        <v>209.0</v>
      </c>
      <c r="B211" s="9" t="s">
        <v>254</v>
      </c>
      <c r="C211" s="9" t="s">
        <v>7</v>
      </c>
      <c r="D211" s="9" t="s">
        <v>470</v>
      </c>
      <c r="E211" s="49">
        <v>118.6</v>
      </c>
      <c r="F211" s="23" t="s">
        <v>454</v>
      </c>
      <c r="G211" s="9" t="str">
        <f>IFERROR(VLOOKUP(C211,'MASTER TLPG'!A:B,2,FALSE),"")</f>
        <v>-7.203807110524606, 112.71950675497641</v>
      </c>
      <c r="H211" s="9" t="str">
        <f>IFERROR(VLOOKUP(D211,'MASTER PERUSAHAAN'!A:B,2,FALSE),"")</f>
        <v>-8.098007887789857, 112.67242500965405</v>
      </c>
      <c r="J211" s="9" t="str">
        <f t="shared" si="1"/>
        <v>SEDANG</v>
      </c>
      <c r="K211" s="11">
        <f t="shared" si="2"/>
        <v>2</v>
      </c>
      <c r="M211" s="17">
        <v>8.0</v>
      </c>
      <c r="N211" s="17"/>
      <c r="O211" s="17"/>
      <c r="P211" s="17"/>
      <c r="Q211" s="17"/>
      <c r="R211" s="17"/>
      <c r="S211" s="17"/>
      <c r="T211" s="17" t="str">
        <f>IFERROR(__xludf.DUMMYFUNCTION("""COMPUTED_VALUE"""),"DK 8368 PA")</f>
        <v>DK 8368 PA</v>
      </c>
      <c r="U211" s="17" t="str">
        <f>IFERROR(__xludf.DUMMYFUNCTION("""COMPUTED_VALUE"""),"TLPG MANGGIS")</f>
        <v>TLPG MANGGIS</v>
      </c>
      <c r="V211" s="17" t="str">
        <f>IFERROR(__xludf.DUMMYFUNCTION("""COMPUTED_VALUE"""),"SPPBE-PT. Segara Windhu Dewata")</f>
        <v>SPPBE-PT. Segara Windhu Dewata</v>
      </c>
      <c r="W211" s="17">
        <f>IFERROR(__xludf.DUMMYFUNCTION("""COMPUTED_VALUE"""),43.2)</f>
        <v>43.2</v>
      </c>
      <c r="X211" s="17" t="str">
        <f>IFERROR(__xludf.DUMMYFUNCTION("""COMPUTED_VALUE"""),"DEKAT")</f>
        <v>DEKAT</v>
      </c>
      <c r="Y211" s="17">
        <f>IFERROR(__xludf.DUMMYFUNCTION("""COMPUTED_VALUE"""),1.0)</f>
        <v>1</v>
      </c>
      <c r="Z211" s="17">
        <f>IFERROR(__xludf.DUMMYFUNCTION("""COMPUTED_VALUE"""),8.0)</f>
        <v>8</v>
      </c>
      <c r="AB211" s="48" t="str">
        <f>IFERROR(__xludf.DUMMYFUNCTION("""COMPUTED_VALUE"""),"PT SUMINAR MITRAGAS SELARAS")</f>
        <v>PT SUMINAR MITRAGAS SELARAS</v>
      </c>
      <c r="AC211" s="48" t="str">
        <f>IFERROR(__xludf.DUMMYFUNCTION("""COMPUTED_VALUE"""),"AG 9151 UL")</f>
        <v>AG 9151 UL</v>
      </c>
      <c r="AD211" s="48" t="str">
        <f>IFERROR(__xludf.DUMMYFUNCTION("""COMPUTED_VALUE"""),"TLPG TJ PERAK")</f>
        <v>TLPG TJ PERAK</v>
      </c>
      <c r="AE211" s="17">
        <f>IFERROR(__xludf.DUMMYFUNCTION("""COMPUTED_VALUE"""),5.0)</f>
        <v>5</v>
      </c>
    </row>
    <row r="212">
      <c r="A212" s="12">
        <v>210.0</v>
      </c>
      <c r="B212" s="9" t="s">
        <v>255</v>
      </c>
      <c r="C212" s="9" t="s">
        <v>7</v>
      </c>
      <c r="D212" s="9" t="s">
        <v>470</v>
      </c>
      <c r="E212" s="49">
        <v>118.6</v>
      </c>
      <c r="F212" s="23" t="s">
        <v>454</v>
      </c>
      <c r="G212" s="9" t="str">
        <f>IFERROR(VLOOKUP(C212,'MASTER TLPG'!A:B,2,FALSE),"")</f>
        <v>-7.203807110524606, 112.71950675497641</v>
      </c>
      <c r="H212" s="9" t="str">
        <f>IFERROR(VLOOKUP(D212,'MASTER PERUSAHAAN'!A:B,2,FALSE),"")</f>
        <v>-8.098007887789857, 112.67242500965405</v>
      </c>
      <c r="J212" s="9" t="str">
        <f t="shared" si="1"/>
        <v>SEDANG</v>
      </c>
      <c r="K212" s="11">
        <f t="shared" si="2"/>
        <v>2</v>
      </c>
      <c r="M212" s="17">
        <v>8.0</v>
      </c>
      <c r="N212" s="17"/>
      <c r="O212" s="17"/>
      <c r="P212" s="17"/>
      <c r="Q212" s="17"/>
      <c r="R212" s="17"/>
      <c r="S212" s="17"/>
      <c r="T212" s="17" t="str">
        <f>IFERROR(__xludf.DUMMYFUNCTION("""COMPUTED_VALUE"""),"DK 8369 PA")</f>
        <v>DK 8369 PA</v>
      </c>
      <c r="U212" s="17" t="str">
        <f>IFERROR(__xludf.DUMMYFUNCTION("""COMPUTED_VALUE"""),"TLPG MANGGIS")</f>
        <v>TLPG MANGGIS</v>
      </c>
      <c r="V212" s="17" t="str">
        <f>IFERROR(__xludf.DUMMYFUNCTION("""COMPUTED_VALUE"""),"SPPBE-PT. Segara Windhu Dewata")</f>
        <v>SPPBE-PT. Segara Windhu Dewata</v>
      </c>
      <c r="W212" s="17">
        <f>IFERROR(__xludf.DUMMYFUNCTION("""COMPUTED_VALUE"""),43.2)</f>
        <v>43.2</v>
      </c>
      <c r="X212" s="17" t="str">
        <f>IFERROR(__xludf.DUMMYFUNCTION("""COMPUTED_VALUE"""),"DEKAT")</f>
        <v>DEKAT</v>
      </c>
      <c r="Y212" s="17">
        <f>IFERROR(__xludf.DUMMYFUNCTION("""COMPUTED_VALUE"""),1.0)</f>
        <v>1</v>
      </c>
      <c r="Z212" s="17">
        <f>IFERROR(__xludf.DUMMYFUNCTION("""COMPUTED_VALUE"""),8.0)</f>
        <v>8</v>
      </c>
      <c r="AB212" s="48" t="str">
        <f>IFERROR(__xludf.DUMMYFUNCTION("""COMPUTED_VALUE"""),"PT SURYA ADHILESTARI")</f>
        <v>PT SURYA ADHILESTARI</v>
      </c>
      <c r="AC212" s="48" t="str">
        <f>IFERROR(__xludf.DUMMYFUNCTION("""COMPUTED_VALUE"""),"AG 8384 UE")</f>
        <v>AG 8384 UE</v>
      </c>
      <c r="AD212" s="48" t="str">
        <f>IFERROR(__xludf.DUMMYFUNCTION("""COMPUTED_VALUE"""),"TLPG TJ PERAK")</f>
        <v>TLPG TJ PERAK</v>
      </c>
      <c r="AE212" s="17">
        <f>IFERROR(__xludf.DUMMYFUNCTION("""COMPUTED_VALUE"""),3.0)</f>
        <v>3</v>
      </c>
    </row>
    <row r="213">
      <c r="A213" s="12">
        <v>211.0</v>
      </c>
      <c r="B213" s="9" t="s">
        <v>256</v>
      </c>
      <c r="C213" s="9" t="s">
        <v>7</v>
      </c>
      <c r="D213" s="9" t="s">
        <v>475</v>
      </c>
      <c r="E213" s="49">
        <v>112.0</v>
      </c>
      <c r="F213" s="23" t="s">
        <v>454</v>
      </c>
      <c r="G213" s="9" t="str">
        <f>IFERROR(VLOOKUP(C213,'MASTER TLPG'!A:B,2,FALSE),"")</f>
        <v>-7.203807110524606, 112.71950675497641</v>
      </c>
      <c r="H213" s="9" t="str">
        <f>IFERROR(VLOOKUP(D213,'MASTER PERUSAHAAN'!A:B,2,FALSE),"")</f>
        <v>-7.759043461569343, 113.19244280481355</v>
      </c>
      <c r="J213" s="9" t="str">
        <f t="shared" si="1"/>
        <v>SEDANG</v>
      </c>
      <c r="K213" s="11">
        <f t="shared" si="2"/>
        <v>2</v>
      </c>
      <c r="M213" s="17">
        <v>8.0</v>
      </c>
      <c r="N213" s="17"/>
      <c r="O213" s="17"/>
      <c r="P213" s="17"/>
      <c r="Q213" s="17"/>
      <c r="R213" s="17"/>
      <c r="S213" s="17"/>
      <c r="T213" s="17" t="str">
        <f>IFERROR(__xludf.DUMMYFUNCTION("""COMPUTED_VALUE"""),"S 8977 UL")</f>
        <v>S 8977 UL</v>
      </c>
      <c r="U213" s="17" t="str">
        <f>IFERROR(__xludf.DUMMYFUNCTION("""COMPUTED_VALUE"""),"TLPG TJ PERAK")</f>
        <v>TLPG TJ PERAK</v>
      </c>
      <c r="V213" s="17" t="str">
        <f>IFERROR(__xludf.DUMMYFUNCTION("""COMPUTED_VALUE"""),"PT SRI MUKTI RAYA")</f>
        <v>PT SRI MUKTI RAYA</v>
      </c>
      <c r="W213" s="17">
        <f>IFERROR(__xludf.DUMMYFUNCTION("""COMPUTED_VALUE"""),42.2)</f>
        <v>42.2</v>
      </c>
      <c r="X213" s="17" t="str">
        <f>IFERROR(__xludf.DUMMYFUNCTION("""COMPUTED_VALUE"""),"DEKAT")</f>
        <v>DEKAT</v>
      </c>
      <c r="Y213" s="17">
        <f>IFERROR(__xludf.DUMMYFUNCTION("""COMPUTED_VALUE"""),1.0)</f>
        <v>1</v>
      </c>
      <c r="Z213" s="17">
        <f>IFERROR(__xludf.DUMMYFUNCTION("""COMPUTED_VALUE"""),11.0)</f>
        <v>11</v>
      </c>
      <c r="AB213" s="48" t="str">
        <f>IFERROR(__xludf.DUMMYFUNCTION("""COMPUTED_VALUE"""),"PT SURYA ADHILESTARI")</f>
        <v>PT SURYA ADHILESTARI</v>
      </c>
      <c r="AC213" s="48" t="str">
        <f>IFERROR(__xludf.DUMMYFUNCTION("""COMPUTED_VALUE"""),"AG 9753 UB")</f>
        <v>AG 9753 UB</v>
      </c>
      <c r="AD213" s="48" t="str">
        <f>IFERROR(__xludf.DUMMYFUNCTION("""COMPUTED_VALUE"""),"TLPG TJ PERAK")</f>
        <v>TLPG TJ PERAK</v>
      </c>
      <c r="AE213" s="17">
        <f>IFERROR(__xludf.DUMMYFUNCTION("""COMPUTED_VALUE"""),5.0)</f>
        <v>5</v>
      </c>
    </row>
    <row r="214">
      <c r="A214" s="12">
        <v>212.0</v>
      </c>
      <c r="B214" s="9" t="s">
        <v>258</v>
      </c>
      <c r="C214" s="9" t="s">
        <v>7</v>
      </c>
      <c r="D214" s="9" t="s">
        <v>470</v>
      </c>
      <c r="E214" s="49">
        <v>118.6</v>
      </c>
      <c r="F214" s="23" t="s">
        <v>454</v>
      </c>
      <c r="G214" s="9" t="str">
        <f>IFERROR(VLOOKUP(C214,'MASTER TLPG'!A:B,2,FALSE),"")</f>
        <v>-7.203807110524606, 112.71950675497641</v>
      </c>
      <c r="H214" s="9" t="str">
        <f>IFERROR(VLOOKUP(D214,'MASTER PERUSAHAAN'!A:B,2,FALSE),"")</f>
        <v>-8.098007887789857, 112.67242500965405</v>
      </c>
      <c r="J214" s="9" t="str">
        <f t="shared" si="1"/>
        <v>SEDANG</v>
      </c>
      <c r="K214" s="11">
        <f t="shared" si="2"/>
        <v>2</v>
      </c>
      <c r="M214" s="17">
        <v>8.0</v>
      </c>
      <c r="N214" s="17"/>
      <c r="O214" s="17"/>
      <c r="P214" s="17"/>
      <c r="Q214" s="17"/>
      <c r="R214" s="17"/>
      <c r="S214" s="17"/>
      <c r="T214" s="17" t="str">
        <f>IFERROR(__xludf.DUMMYFUNCTION("""COMPUTED_VALUE"""),"DK 8735 DQ")</f>
        <v>DK 8735 DQ</v>
      </c>
      <c r="U214" s="17" t="str">
        <f>IFERROR(__xludf.DUMMYFUNCTION("""COMPUTED_VALUE"""),"TLPG MANGGIS")</f>
        <v>TLPG MANGGIS</v>
      </c>
      <c r="V214" s="17" t="str">
        <f>IFERROR(__xludf.DUMMYFUNCTION("""COMPUTED_VALUE"""),"SPPBE-PT. Candra Karya Gas")</f>
        <v>SPPBE-PT. Candra Karya Gas</v>
      </c>
      <c r="W214" s="17">
        <f>IFERROR(__xludf.DUMMYFUNCTION("""COMPUTED_VALUE"""),41.3)</f>
        <v>41.3</v>
      </c>
      <c r="X214" s="17" t="str">
        <f>IFERROR(__xludf.DUMMYFUNCTION("""COMPUTED_VALUE"""),"DEKAT")</f>
        <v>DEKAT</v>
      </c>
      <c r="Y214" s="17">
        <f>IFERROR(__xludf.DUMMYFUNCTION("""COMPUTED_VALUE"""),1.0)</f>
        <v>1</v>
      </c>
      <c r="Z214" s="17">
        <f>IFERROR(__xludf.DUMMYFUNCTION("""COMPUTED_VALUE"""),11.0)</f>
        <v>11</v>
      </c>
      <c r="AB214" s="48" t="str">
        <f>IFERROR(__xludf.DUMMYFUNCTION("""COMPUTED_VALUE"""),"PT SURYA ADI LESTARI")</f>
        <v>PT SURYA ADI LESTARI</v>
      </c>
      <c r="AC214" s="48" t="str">
        <f>IFERROR(__xludf.DUMMYFUNCTION("""COMPUTED_VALUE"""),"AG 8115 UC")</f>
        <v>AG 8115 UC</v>
      </c>
      <c r="AD214" s="48" t="str">
        <f>IFERROR(__xludf.DUMMYFUNCTION("""COMPUTED_VALUE"""),"TLPG TJ PERAK")</f>
        <v>TLPG TJ PERAK</v>
      </c>
      <c r="AE214" s="17">
        <f>IFERROR(__xludf.DUMMYFUNCTION("""COMPUTED_VALUE"""),5.0)</f>
        <v>5</v>
      </c>
    </row>
    <row r="215">
      <c r="A215" s="12">
        <v>213.0</v>
      </c>
      <c r="B215" s="9" t="s">
        <v>259</v>
      </c>
      <c r="C215" s="9" t="s">
        <v>7</v>
      </c>
      <c r="D215" s="9" t="s">
        <v>459</v>
      </c>
      <c r="E215" s="49">
        <v>88.9</v>
      </c>
      <c r="F215" s="23" t="s">
        <v>454</v>
      </c>
      <c r="G215" s="9" t="str">
        <f>IFERROR(VLOOKUP(C215,'MASTER TLPG'!A:B,2,FALSE),"")</f>
        <v>-7.203807110524606, 112.71950675497641</v>
      </c>
      <c r="H215" s="9" t="str">
        <f>IFERROR(VLOOKUP(D215,'MASTER PERUSAHAAN'!A:B,2,FALSE),"")</f>
        <v>-7.876356051047304, 112.68834030244933</v>
      </c>
      <c r="J215" s="9" t="str">
        <f t="shared" si="1"/>
        <v>SEDANG</v>
      </c>
      <c r="K215" s="11">
        <f t="shared" si="2"/>
        <v>2</v>
      </c>
      <c r="M215" s="17">
        <v>8.0</v>
      </c>
      <c r="N215" s="17"/>
      <c r="O215" s="17"/>
      <c r="P215" s="17"/>
      <c r="Q215" s="17"/>
      <c r="R215" s="17"/>
      <c r="S215" s="17"/>
      <c r="T215" s="17" t="str">
        <f>IFERROR(__xludf.DUMMYFUNCTION("""COMPUTED_VALUE"""),"DK 8737 DQ")</f>
        <v>DK 8737 DQ</v>
      </c>
      <c r="U215" s="17" t="str">
        <f>IFERROR(__xludf.DUMMYFUNCTION("""COMPUTED_VALUE"""),"TLPG MANGGIS")</f>
        <v>TLPG MANGGIS</v>
      </c>
      <c r="V215" s="17" t="str">
        <f>IFERROR(__xludf.DUMMYFUNCTION("""COMPUTED_VALUE"""),"SPPBE-PT. Candra Karya Gas")</f>
        <v>SPPBE-PT. Candra Karya Gas</v>
      </c>
      <c r="W215" s="17">
        <f>IFERROR(__xludf.DUMMYFUNCTION("""COMPUTED_VALUE"""),41.3)</f>
        <v>41.3</v>
      </c>
      <c r="X215" s="17" t="str">
        <f>IFERROR(__xludf.DUMMYFUNCTION("""COMPUTED_VALUE"""),"DEKAT")</f>
        <v>DEKAT</v>
      </c>
      <c r="Y215" s="17">
        <f>IFERROR(__xludf.DUMMYFUNCTION("""COMPUTED_VALUE"""),1.0)</f>
        <v>1</v>
      </c>
      <c r="Z215" s="17">
        <f>IFERROR(__xludf.DUMMYFUNCTION("""COMPUTED_VALUE"""),12.0)</f>
        <v>12</v>
      </c>
      <c r="AB215" s="48" t="str">
        <f>IFERROR(__xludf.DUMMYFUNCTION("""COMPUTED_VALUE"""),"PT SURYA MITRA IMPREZA PRATAMA")</f>
        <v>PT SURYA MITRA IMPREZA PRATAMA</v>
      </c>
      <c r="AC215" s="48" t="str">
        <f>IFERROR(__xludf.DUMMYFUNCTION("""COMPUTED_VALUE"""),"N 8657 UV")</f>
        <v>N 8657 UV</v>
      </c>
      <c r="AD215" s="48" t="str">
        <f>IFERROR(__xludf.DUMMYFUNCTION("""COMPUTED_VALUE"""),"TLPG TJ PERAK")</f>
        <v>TLPG TJ PERAK</v>
      </c>
      <c r="AE215" s="17">
        <f>IFERROR(__xludf.DUMMYFUNCTION("""COMPUTED_VALUE"""),8.0)</f>
        <v>8</v>
      </c>
    </row>
    <row r="216">
      <c r="A216" s="12">
        <v>214.0</v>
      </c>
      <c r="B216" s="9" t="s">
        <v>261</v>
      </c>
      <c r="C216" s="9" t="s">
        <v>7</v>
      </c>
      <c r="D216" s="9" t="s">
        <v>481</v>
      </c>
      <c r="E216" s="49">
        <v>80.2</v>
      </c>
      <c r="F216" s="23" t="s">
        <v>454</v>
      </c>
      <c r="G216" s="9" t="str">
        <f>IFERROR(VLOOKUP(C216,'MASTER TLPG'!A:B,2,FALSE),"")</f>
        <v>-7.203807110524606, 112.71950675497641</v>
      </c>
      <c r="H216" s="9" t="str">
        <f>IFERROR(VLOOKUP(D216,'MASTER PERUSAHAAN'!A:B,2,FALSE),"")</f>
        <v>-7.678166594138383, 112.94780073122395</v>
      </c>
      <c r="J216" s="9" t="str">
        <f t="shared" si="1"/>
        <v>SEDANG</v>
      </c>
      <c r="K216" s="11">
        <f t="shared" si="2"/>
        <v>2</v>
      </c>
      <c r="M216" s="17">
        <v>8.0</v>
      </c>
      <c r="N216" s="17"/>
      <c r="O216" s="17"/>
      <c r="P216" s="17"/>
      <c r="Q216" s="17"/>
      <c r="R216" s="17"/>
      <c r="S216" s="17"/>
      <c r="T216" s="17" t="str">
        <f>IFERROR(__xludf.DUMMYFUNCTION("""COMPUTED_VALUE"""),"DK 8584 OL")</f>
        <v>DK 8584 OL</v>
      </c>
      <c r="U216" s="17" t="str">
        <f>IFERROR(__xludf.DUMMYFUNCTION("""COMPUTED_VALUE"""),"TLPG MANGGIS")</f>
        <v>TLPG MANGGIS</v>
      </c>
      <c r="V216" s="17" t="str">
        <f>IFERROR(__xludf.DUMMYFUNCTION("""COMPUTED_VALUE"""),"SPPBE-PT. Putra Bali Dwipa")</f>
        <v>SPPBE-PT. Putra Bali Dwipa</v>
      </c>
      <c r="W216" s="17">
        <f>IFERROR(__xludf.DUMMYFUNCTION("""COMPUTED_VALUE"""),40.9)</f>
        <v>40.9</v>
      </c>
      <c r="X216" s="17" t="str">
        <f>IFERROR(__xludf.DUMMYFUNCTION("""COMPUTED_VALUE"""),"DEKAT")</f>
        <v>DEKAT</v>
      </c>
      <c r="Y216" s="17">
        <f>IFERROR(__xludf.DUMMYFUNCTION("""COMPUTED_VALUE"""),1.0)</f>
        <v>1</v>
      </c>
      <c r="Z216" s="17">
        <f>IFERROR(__xludf.DUMMYFUNCTION("""COMPUTED_VALUE"""),10.0)</f>
        <v>10</v>
      </c>
      <c r="AB216" s="48" t="str">
        <f>IFERROR(__xludf.DUMMYFUNCTION("""COMPUTED_VALUE"""),"PT SWARNA BINA UTAMA")</f>
        <v>PT SWARNA BINA UTAMA</v>
      </c>
      <c r="AC216" s="48" t="str">
        <f>IFERROR(__xludf.DUMMYFUNCTION("""COMPUTED_VALUE"""),"S 8316 AI")</f>
        <v>S 8316 AI</v>
      </c>
      <c r="AD216" s="48" t="str">
        <f>IFERROR(__xludf.DUMMYFUNCTION("""COMPUTED_VALUE"""),"TLPG TJ PERAK")</f>
        <v>TLPG TJ PERAK</v>
      </c>
      <c r="AE216" s="17">
        <f>IFERROR(__xludf.DUMMYFUNCTION("""COMPUTED_VALUE"""),1.0)</f>
        <v>1</v>
      </c>
    </row>
    <row r="217">
      <c r="A217" s="12">
        <v>215.0</v>
      </c>
      <c r="B217" s="9" t="s">
        <v>262</v>
      </c>
      <c r="C217" s="9" t="s">
        <v>7</v>
      </c>
      <c r="D217" s="9" t="s">
        <v>459</v>
      </c>
      <c r="E217" s="49">
        <v>88.9</v>
      </c>
      <c r="F217" s="23" t="s">
        <v>454</v>
      </c>
      <c r="G217" s="9" t="str">
        <f>IFERROR(VLOOKUP(C217,'MASTER TLPG'!A:B,2,FALSE),"")</f>
        <v>-7.203807110524606, 112.71950675497641</v>
      </c>
      <c r="H217" s="9" t="str">
        <f>IFERROR(VLOOKUP(D217,'MASTER PERUSAHAAN'!A:B,2,FALSE),"")</f>
        <v>-7.876356051047304, 112.68834030244933</v>
      </c>
      <c r="J217" s="9" t="str">
        <f t="shared" si="1"/>
        <v>SEDANG</v>
      </c>
      <c r="K217" s="11">
        <f t="shared" si="2"/>
        <v>2</v>
      </c>
      <c r="M217" s="17">
        <v>8.0</v>
      </c>
      <c r="N217" s="17"/>
      <c r="O217" s="17"/>
      <c r="P217" s="17"/>
      <c r="Q217" s="17"/>
      <c r="R217" s="17"/>
      <c r="S217" s="17"/>
      <c r="T217" s="17" t="str">
        <f>IFERROR(__xludf.DUMMYFUNCTION("""COMPUTED_VALUE"""),"DK 8587 OL")</f>
        <v>DK 8587 OL</v>
      </c>
      <c r="U217" s="17" t="str">
        <f>IFERROR(__xludf.DUMMYFUNCTION("""COMPUTED_VALUE"""),"TLPG MANGGIS")</f>
        <v>TLPG MANGGIS</v>
      </c>
      <c r="V217" s="17" t="str">
        <f>IFERROR(__xludf.DUMMYFUNCTION("""COMPUTED_VALUE"""),"SPPBE-PT. Putra Bali Dwipa")</f>
        <v>SPPBE-PT. Putra Bali Dwipa</v>
      </c>
      <c r="W217" s="17">
        <f>IFERROR(__xludf.DUMMYFUNCTION("""COMPUTED_VALUE"""),40.9)</f>
        <v>40.9</v>
      </c>
      <c r="X217" s="17" t="str">
        <f>IFERROR(__xludf.DUMMYFUNCTION("""COMPUTED_VALUE"""),"DEKAT")</f>
        <v>DEKAT</v>
      </c>
      <c r="Y217" s="17">
        <f>IFERROR(__xludf.DUMMYFUNCTION("""COMPUTED_VALUE"""),1.0)</f>
        <v>1</v>
      </c>
      <c r="Z217" s="17">
        <f>IFERROR(__xludf.DUMMYFUNCTION("""COMPUTED_VALUE"""),10.0)</f>
        <v>10</v>
      </c>
      <c r="AB217" s="48" t="str">
        <f>IFERROR(__xludf.DUMMYFUNCTION("""COMPUTED_VALUE"""),"PT TATA BERSAMA")</f>
        <v>PT TATA BERSAMA</v>
      </c>
      <c r="AC217" s="48" t="str">
        <f>IFERROR(__xludf.DUMMYFUNCTION("""COMPUTED_VALUE"""),"N 9307 WD")</f>
        <v>N 9307 WD</v>
      </c>
      <c r="AD217" s="48" t="str">
        <f>IFERROR(__xludf.DUMMYFUNCTION("""COMPUTED_VALUE"""),"TLPG TJ PERAK")</f>
        <v>TLPG TJ PERAK</v>
      </c>
      <c r="AE217" s="17">
        <f>IFERROR(__xludf.DUMMYFUNCTION("""COMPUTED_VALUE"""),4.0)</f>
        <v>4</v>
      </c>
    </row>
    <row r="218">
      <c r="A218" s="12">
        <v>216.0</v>
      </c>
      <c r="B218" s="9" t="s">
        <v>263</v>
      </c>
      <c r="C218" s="9" t="s">
        <v>7</v>
      </c>
      <c r="D218" s="9" t="s">
        <v>487</v>
      </c>
      <c r="E218" s="49">
        <v>103.5</v>
      </c>
      <c r="F218" s="23" t="s">
        <v>454</v>
      </c>
      <c r="G218" s="9" t="str">
        <f>IFERROR(VLOOKUP(C218,'MASTER TLPG'!A:B,2,FALSE),"")</f>
        <v>-7.203807110524606, 112.71950675497641</v>
      </c>
      <c r="H218" s="9" t="str">
        <f>IFERROR(VLOOKUP(D218,'MASTER PERUSAHAAN'!A:B,2,FALSE),"")</f>
        <v>-7.739364564825094, 113.12634293665513</v>
      </c>
      <c r="J218" s="9" t="str">
        <f t="shared" si="1"/>
        <v>SEDANG</v>
      </c>
      <c r="K218" s="11">
        <f t="shared" si="2"/>
        <v>2</v>
      </c>
      <c r="M218" s="17">
        <v>8.0</v>
      </c>
      <c r="N218" s="17"/>
      <c r="O218" s="17"/>
      <c r="P218" s="17"/>
      <c r="Q218" s="17"/>
      <c r="R218" s="17"/>
      <c r="S218" s="17"/>
      <c r="T218" s="17" t="str">
        <f>IFERROR(__xludf.DUMMYFUNCTION("""COMPUTED_VALUE"""),"DK 8588 OL")</f>
        <v>DK 8588 OL</v>
      </c>
      <c r="U218" s="17" t="str">
        <f>IFERROR(__xludf.DUMMYFUNCTION("""COMPUTED_VALUE"""),"TLPG MANGGIS")</f>
        <v>TLPG MANGGIS</v>
      </c>
      <c r="V218" s="17" t="str">
        <f>IFERROR(__xludf.DUMMYFUNCTION("""COMPUTED_VALUE"""),"SPPBE-PT. Putra Bali Dwipa")</f>
        <v>SPPBE-PT. Putra Bali Dwipa</v>
      </c>
      <c r="W218" s="17">
        <f>IFERROR(__xludf.DUMMYFUNCTION("""COMPUTED_VALUE"""),40.9)</f>
        <v>40.9</v>
      </c>
      <c r="X218" s="17" t="str">
        <f>IFERROR(__xludf.DUMMYFUNCTION("""COMPUTED_VALUE"""),"DEKAT")</f>
        <v>DEKAT</v>
      </c>
      <c r="Y218" s="17">
        <f>IFERROR(__xludf.DUMMYFUNCTION("""COMPUTED_VALUE"""),1.0)</f>
        <v>1</v>
      </c>
      <c r="Z218" s="17">
        <f>IFERROR(__xludf.DUMMYFUNCTION("""COMPUTED_VALUE"""),10.0)</f>
        <v>10</v>
      </c>
      <c r="AB218" s="48" t="str">
        <f>IFERROR(__xludf.DUMMYFUNCTION("""COMPUTED_VALUE"""),"PT TATA BERSAMA")</f>
        <v>PT TATA BERSAMA</v>
      </c>
      <c r="AC218" s="48" t="str">
        <f>IFERROR(__xludf.DUMMYFUNCTION("""COMPUTED_VALUE"""),"N 9344 EE")</f>
        <v>N 9344 EE</v>
      </c>
      <c r="AD218" s="48" t="str">
        <f>IFERROR(__xludf.DUMMYFUNCTION("""COMPUTED_VALUE"""),"TLPG TJ PERAK")</f>
        <v>TLPG TJ PERAK</v>
      </c>
      <c r="AE218" s="17">
        <f>IFERROR(__xludf.DUMMYFUNCTION("""COMPUTED_VALUE"""),9.0)</f>
        <v>9</v>
      </c>
    </row>
    <row r="219">
      <c r="A219" s="12">
        <v>217.0</v>
      </c>
      <c r="B219" s="9" t="s">
        <v>264</v>
      </c>
      <c r="C219" s="9" t="s">
        <v>7</v>
      </c>
      <c r="D219" s="9" t="s">
        <v>491</v>
      </c>
      <c r="E219" s="49">
        <v>80.2</v>
      </c>
      <c r="F219" s="23" t="s">
        <v>454</v>
      </c>
      <c r="G219" s="9" t="str">
        <f>IFERROR(VLOOKUP(C219,'MASTER TLPG'!A:B,2,FALSE),"")</f>
        <v>-7.203807110524606, 112.71950675497641</v>
      </c>
      <c r="H219" s="9" t="str">
        <f>IFERROR(VLOOKUP(D219,'MASTER PERUSAHAAN'!A:B,2,FALSE),"")</f>
        <v>-7.678141999485602, 112.94779212291641</v>
      </c>
      <c r="J219" s="9" t="str">
        <f t="shared" si="1"/>
        <v>SEDANG</v>
      </c>
      <c r="K219" s="11">
        <f t="shared" si="2"/>
        <v>2</v>
      </c>
      <c r="M219" s="17">
        <v>8.0</v>
      </c>
      <c r="N219" s="17"/>
      <c r="O219" s="17"/>
      <c r="P219" s="17"/>
      <c r="Q219" s="17"/>
      <c r="R219" s="17"/>
      <c r="S219" s="17"/>
      <c r="T219" s="17" t="str">
        <f>IFERROR(__xludf.DUMMYFUNCTION("""COMPUTED_VALUE"""),"W 8303 PG")</f>
        <v>W 8303 PG</v>
      </c>
      <c r="U219" s="17" t="str">
        <f>IFERROR(__xludf.DUMMYFUNCTION("""COMPUTED_VALUE"""),"TLPG TJ PERAK")</f>
        <v>TLPG TJ PERAK</v>
      </c>
      <c r="V219" s="17" t="str">
        <f>IFERROR(__xludf.DUMMYFUNCTION("""COMPUTED_VALUE"""),"PT KARYA MEGA GAS MANDIRI")</f>
        <v>PT KARYA MEGA GAS MANDIRI</v>
      </c>
      <c r="W219" s="17">
        <f>IFERROR(__xludf.DUMMYFUNCTION("""COMPUTED_VALUE"""),40.4)</f>
        <v>40.4</v>
      </c>
      <c r="X219" s="17" t="str">
        <f>IFERROR(__xludf.DUMMYFUNCTION("""COMPUTED_VALUE"""),"DEKAT")</f>
        <v>DEKAT</v>
      </c>
      <c r="Y219" s="17">
        <f>IFERROR(__xludf.DUMMYFUNCTION("""COMPUTED_VALUE"""),1.0)</f>
        <v>1</v>
      </c>
      <c r="Z219" s="17">
        <f>IFERROR(__xludf.DUMMYFUNCTION("""COMPUTED_VALUE"""),12.0)</f>
        <v>12</v>
      </c>
      <c r="AB219" s="48" t="str">
        <f>IFERROR(__xludf.DUMMYFUNCTION("""COMPUTED_VALUE"""),"PT TATA BERSAMA")</f>
        <v>PT TATA BERSAMA</v>
      </c>
      <c r="AC219" s="48" t="str">
        <f>IFERROR(__xludf.DUMMYFUNCTION("""COMPUTED_VALUE"""),"N 8834 US")</f>
        <v>N 8834 US</v>
      </c>
      <c r="AD219" s="48" t="str">
        <f>IFERROR(__xludf.DUMMYFUNCTION("""COMPUTED_VALUE"""),"TLPG TJ PERAK")</f>
        <v>TLPG TJ PERAK</v>
      </c>
      <c r="AE219" s="17">
        <f>IFERROR(__xludf.DUMMYFUNCTION("""COMPUTED_VALUE"""),10.0)</f>
        <v>10</v>
      </c>
    </row>
    <row r="220">
      <c r="A220" s="12">
        <v>218.0</v>
      </c>
      <c r="B220" s="9" t="s">
        <v>265</v>
      </c>
      <c r="C220" s="9" t="s">
        <v>7</v>
      </c>
      <c r="D220" s="9" t="s">
        <v>491</v>
      </c>
      <c r="E220" s="49">
        <v>80.2</v>
      </c>
      <c r="F220" s="23" t="s">
        <v>454</v>
      </c>
      <c r="G220" s="9" t="str">
        <f>IFERROR(VLOOKUP(C220,'MASTER TLPG'!A:B,2,FALSE),"")</f>
        <v>-7.203807110524606, 112.71950675497641</v>
      </c>
      <c r="H220" s="9" t="str">
        <f>IFERROR(VLOOKUP(D220,'MASTER PERUSAHAAN'!A:B,2,FALSE),"")</f>
        <v>-7.678141999485602, 112.94779212291641</v>
      </c>
      <c r="J220" s="9" t="str">
        <f t="shared" si="1"/>
        <v>SEDANG</v>
      </c>
      <c r="K220" s="11">
        <f t="shared" si="2"/>
        <v>2</v>
      </c>
      <c r="M220" s="17">
        <v>8.0</v>
      </c>
      <c r="N220" s="17"/>
      <c r="O220" s="17"/>
      <c r="P220" s="17"/>
      <c r="Q220" s="17"/>
      <c r="R220" s="17"/>
      <c r="S220" s="17"/>
      <c r="T220" s="17" t="str">
        <f>IFERROR(__xludf.DUMMYFUNCTION("""COMPUTED_VALUE"""),"DK 8596 AO")</f>
        <v>DK 8596 AO</v>
      </c>
      <c r="U220" s="17" t="str">
        <f>IFERROR(__xludf.DUMMYFUNCTION("""COMPUTED_VALUE"""),"TLPG LOMBOK")</f>
        <v>TLPG LOMBOK</v>
      </c>
      <c r="V220" s="17" t="str">
        <f>IFERROR(__xludf.DUMMYFUNCTION("""COMPUTED_VALUE"""),"SPPBE-PT. Permata Indah Dewata")</f>
        <v>SPPBE-PT. Permata Indah Dewata</v>
      </c>
      <c r="W220" s="17">
        <f>IFERROR(__xludf.DUMMYFUNCTION("""COMPUTED_VALUE"""),39.2)</f>
        <v>39.2</v>
      </c>
      <c r="X220" s="17" t="str">
        <f>IFERROR(__xludf.DUMMYFUNCTION("""COMPUTED_VALUE"""),"DEKAT")</f>
        <v>DEKAT</v>
      </c>
      <c r="Y220" s="17">
        <f>IFERROR(__xludf.DUMMYFUNCTION("""COMPUTED_VALUE"""),1.0)</f>
        <v>1</v>
      </c>
      <c r="Z220" s="17">
        <f>IFERROR(__xludf.DUMMYFUNCTION("""COMPUTED_VALUE"""),3.0)</f>
        <v>3</v>
      </c>
      <c r="AB220" s="48" t="str">
        <f>IFERROR(__xludf.DUMMYFUNCTION("""COMPUTED_VALUE"""),"PT TRI TUNGGAL ARGOPURO MANDIRI")</f>
        <v>PT TRI TUNGGAL ARGOPURO MANDIRI</v>
      </c>
      <c r="AC220" s="48" t="str">
        <f>IFERROR(__xludf.DUMMYFUNCTION("""COMPUTED_VALUE"""),"P 8208 UG")</f>
        <v>P 8208 UG</v>
      </c>
      <c r="AD220" s="48" t="str">
        <f>IFERROR(__xludf.DUMMYFUNCTION("""COMPUTED_VALUE"""),"TLPG MEM GRESIK")</f>
        <v>TLPG MEM GRESIK</v>
      </c>
      <c r="AE220" s="17">
        <f>IFERROR(__xludf.DUMMYFUNCTION("""COMPUTED_VALUE"""),10.0)</f>
        <v>10</v>
      </c>
    </row>
    <row r="221">
      <c r="A221" s="12">
        <v>219.0</v>
      </c>
      <c r="B221" s="9" t="s">
        <v>267</v>
      </c>
      <c r="C221" s="9" t="s">
        <v>28</v>
      </c>
      <c r="D221" s="9" t="s">
        <v>184</v>
      </c>
      <c r="E221" s="9"/>
      <c r="G221" s="9" t="str">
        <f>IFERROR(VLOOKUP(C221,'MASTER TLPG'!A:B,2,FALSE),"")</f>
        <v>-8.16862812274526, 114.38753900822569</v>
      </c>
      <c r="H221" s="9" t="str">
        <f>IFERROR(VLOOKUP(D221,'MASTER PERUSAHAAN'!A:B,2,FALSE),"")</f>
        <v/>
      </c>
      <c r="J221" s="9" t="str">
        <f t="shared" si="1"/>
        <v/>
      </c>
      <c r="K221" s="11" t="str">
        <f t="shared" si="2"/>
        <v/>
      </c>
      <c r="M221" s="17">
        <v>8.0</v>
      </c>
      <c r="N221" s="17"/>
      <c r="O221" s="17"/>
      <c r="P221" s="17"/>
      <c r="Q221" s="17"/>
      <c r="R221" s="17"/>
      <c r="S221" s="17"/>
      <c r="T221" s="17" t="str">
        <f>IFERROR(__xludf.DUMMYFUNCTION("""COMPUTED_VALUE"""),"DK 8611 AO")</f>
        <v>DK 8611 AO</v>
      </c>
      <c r="U221" s="17" t="str">
        <f>IFERROR(__xludf.DUMMYFUNCTION("""COMPUTED_VALUE"""),"TLPG LOMBOK")</f>
        <v>TLPG LOMBOK</v>
      </c>
      <c r="V221" s="17" t="str">
        <f>IFERROR(__xludf.DUMMYFUNCTION("""COMPUTED_VALUE"""),"SPPBE-PT. Permata Indah Dewata")</f>
        <v>SPPBE-PT. Permata Indah Dewata</v>
      </c>
      <c r="W221" s="17">
        <f>IFERROR(__xludf.DUMMYFUNCTION("""COMPUTED_VALUE"""),39.2)</f>
        <v>39.2</v>
      </c>
      <c r="X221" s="17" t="str">
        <f>IFERROR(__xludf.DUMMYFUNCTION("""COMPUTED_VALUE"""),"DEKAT")</f>
        <v>DEKAT</v>
      </c>
      <c r="Y221" s="17">
        <f>IFERROR(__xludf.DUMMYFUNCTION("""COMPUTED_VALUE"""),1.0)</f>
        <v>1</v>
      </c>
      <c r="Z221" s="17">
        <f>IFERROR(__xludf.DUMMYFUNCTION("""COMPUTED_VALUE"""),3.0)</f>
        <v>3</v>
      </c>
      <c r="AB221" s="48" t="str">
        <f>IFERROR(__xludf.DUMMYFUNCTION("""COMPUTED_VALUE"""),"PT TRI TUNGGAL ARGOPURO MANDIRI")</f>
        <v>PT TRI TUNGGAL ARGOPURO MANDIRI</v>
      </c>
      <c r="AC221" s="48" t="str">
        <f>IFERROR(__xludf.DUMMYFUNCTION("""COMPUTED_VALUE"""),"P 9114 UG")</f>
        <v>P 9114 UG</v>
      </c>
      <c r="AD221" s="48" t="str">
        <f>IFERROR(__xludf.DUMMYFUNCTION("""COMPUTED_VALUE"""),"TLPG MEM GRESIK")</f>
        <v>TLPG MEM GRESIK</v>
      </c>
      <c r="AE221" s="17">
        <f>IFERROR(__xludf.DUMMYFUNCTION("""COMPUTED_VALUE"""),11.0)</f>
        <v>11</v>
      </c>
    </row>
    <row r="222">
      <c r="A222" s="12">
        <v>220.0</v>
      </c>
      <c r="B222" s="9" t="s">
        <v>268</v>
      </c>
      <c r="C222" s="9" t="s">
        <v>28</v>
      </c>
      <c r="D222" s="9" t="s">
        <v>184</v>
      </c>
      <c r="E222" s="9"/>
      <c r="G222" s="9" t="str">
        <f>IFERROR(VLOOKUP(C222,'MASTER TLPG'!A:B,2,FALSE),"")</f>
        <v>-8.16862812274526, 114.38753900822569</v>
      </c>
      <c r="H222" s="9" t="str">
        <f>IFERROR(VLOOKUP(D222,'MASTER PERUSAHAAN'!A:B,2,FALSE),"")</f>
        <v/>
      </c>
      <c r="J222" s="9" t="str">
        <f t="shared" si="1"/>
        <v/>
      </c>
      <c r="K222" s="11" t="str">
        <f t="shared" si="2"/>
        <v/>
      </c>
      <c r="M222" s="17">
        <v>8.0</v>
      </c>
      <c r="N222" s="17"/>
      <c r="O222" s="17"/>
      <c r="P222" s="17"/>
      <c r="Q222" s="17"/>
      <c r="R222" s="17"/>
      <c r="S222" s="17"/>
      <c r="T222" s="17" t="str">
        <f>IFERROR(__xludf.DUMMYFUNCTION("""COMPUTED_VALUE"""),"DK 8197 BK")</f>
        <v>DK 8197 BK</v>
      </c>
      <c r="U222" s="17" t="str">
        <f>IFERROR(__xludf.DUMMYFUNCTION("""COMPUTED_VALUE"""),"TLPG MANGGIS")</f>
        <v>TLPG MANGGIS</v>
      </c>
      <c r="V222" s="17" t="str">
        <f>IFERROR(__xludf.DUMMYFUNCTION("""COMPUTED_VALUE"""),"SPPBE-PT. Sari Dharma Mandiri")</f>
        <v>SPPBE-PT. Sari Dharma Mandiri</v>
      </c>
      <c r="W222" s="17">
        <f>IFERROR(__xludf.DUMMYFUNCTION("""COMPUTED_VALUE"""),37.5)</f>
        <v>37.5</v>
      </c>
      <c r="X222" s="17" t="str">
        <f>IFERROR(__xludf.DUMMYFUNCTION("""COMPUTED_VALUE"""),"DEKAT")</f>
        <v>DEKAT</v>
      </c>
      <c r="Y222" s="17">
        <f>IFERROR(__xludf.DUMMYFUNCTION("""COMPUTED_VALUE"""),1.0)</f>
        <v>1</v>
      </c>
      <c r="Z222" s="17">
        <f>IFERROR(__xludf.DUMMYFUNCTION("""COMPUTED_VALUE"""),4.0)</f>
        <v>4</v>
      </c>
      <c r="AB222" s="48" t="str">
        <f>IFERROR(__xludf.DUMMYFUNCTION("""COMPUTED_VALUE"""),"PT TRI TUNGGAL ARGOPURO MANDIRI")</f>
        <v>PT TRI TUNGGAL ARGOPURO MANDIRI</v>
      </c>
      <c r="AC222" s="48" t="str">
        <f>IFERROR(__xludf.DUMMYFUNCTION("""COMPUTED_VALUE"""),"P 9115 UG")</f>
        <v>P 9115 UG</v>
      </c>
      <c r="AD222" s="48" t="str">
        <f>IFERROR(__xludf.DUMMYFUNCTION("""COMPUTED_VALUE"""),"TLPG TJ WANGI")</f>
        <v>TLPG TJ WANGI</v>
      </c>
      <c r="AE222" s="17">
        <f>IFERROR(__xludf.DUMMYFUNCTION("""COMPUTED_VALUE"""),11.0)</f>
        <v>11</v>
      </c>
    </row>
    <row r="223">
      <c r="A223" s="12">
        <v>221.0</v>
      </c>
      <c r="B223" s="9" t="s">
        <v>269</v>
      </c>
      <c r="C223" s="9" t="s">
        <v>28</v>
      </c>
      <c r="D223" s="9" t="s">
        <v>184</v>
      </c>
      <c r="E223" s="9"/>
      <c r="G223" s="9" t="str">
        <f>IFERROR(VLOOKUP(C223,'MASTER TLPG'!A:B,2,FALSE),"")</f>
        <v>-8.16862812274526, 114.38753900822569</v>
      </c>
      <c r="H223" s="9" t="str">
        <f>IFERROR(VLOOKUP(D223,'MASTER PERUSAHAAN'!A:B,2,FALSE),"")</f>
        <v/>
      </c>
      <c r="J223" s="9" t="str">
        <f t="shared" si="1"/>
        <v/>
      </c>
      <c r="K223" s="11" t="str">
        <f t="shared" si="2"/>
        <v/>
      </c>
      <c r="M223" s="17">
        <v>8.0</v>
      </c>
      <c r="N223" s="17"/>
      <c r="O223" s="17"/>
      <c r="P223" s="17"/>
      <c r="Q223" s="17"/>
      <c r="R223" s="17"/>
      <c r="S223" s="17"/>
      <c r="T223" s="17" t="str">
        <f>IFERROR(__xludf.DUMMYFUNCTION("""COMPUTED_VALUE"""),"DK 8198 BK")</f>
        <v>DK 8198 BK</v>
      </c>
      <c r="U223" s="17" t="str">
        <f>IFERROR(__xludf.DUMMYFUNCTION("""COMPUTED_VALUE"""),"TLPG MANGGIS")</f>
        <v>TLPG MANGGIS</v>
      </c>
      <c r="V223" s="17" t="str">
        <f>IFERROR(__xludf.DUMMYFUNCTION("""COMPUTED_VALUE"""),"SPPBE-PT. Sari Dharma Mandiri")</f>
        <v>SPPBE-PT. Sari Dharma Mandiri</v>
      </c>
      <c r="W223" s="17">
        <f>IFERROR(__xludf.DUMMYFUNCTION("""COMPUTED_VALUE"""),37.5)</f>
        <v>37.5</v>
      </c>
      <c r="X223" s="17" t="str">
        <f>IFERROR(__xludf.DUMMYFUNCTION("""COMPUTED_VALUE"""),"DEKAT")</f>
        <v>DEKAT</v>
      </c>
      <c r="Y223" s="17">
        <f>IFERROR(__xludf.DUMMYFUNCTION("""COMPUTED_VALUE"""),1.0)</f>
        <v>1</v>
      </c>
      <c r="Z223" s="17">
        <f>IFERROR(__xludf.DUMMYFUNCTION("""COMPUTED_VALUE"""),5.0)</f>
        <v>5</v>
      </c>
      <c r="AB223" s="48" t="str">
        <f>IFERROR(__xludf.DUMMYFUNCTION("""COMPUTED_VALUE"""),"PT TRI TUNGGAL ARGOPURO MANDIRI")</f>
        <v>PT TRI TUNGGAL ARGOPURO MANDIRI</v>
      </c>
      <c r="AC223" s="48" t="str">
        <f>IFERROR(__xludf.DUMMYFUNCTION("""COMPUTED_VALUE"""),"P 8970 UG")</f>
        <v>P 8970 UG</v>
      </c>
      <c r="AD223" s="48" t="str">
        <f>IFERROR(__xludf.DUMMYFUNCTION("""COMPUTED_VALUE"""),"TLPG TJ WANGI")</f>
        <v>TLPG TJ WANGI</v>
      </c>
      <c r="AE223" s="17">
        <f>IFERROR(__xludf.DUMMYFUNCTION("""COMPUTED_VALUE"""),12.0)</f>
        <v>12</v>
      </c>
    </row>
    <row r="224">
      <c r="A224" s="12">
        <v>222.0</v>
      </c>
      <c r="B224" s="9" t="s">
        <v>270</v>
      </c>
      <c r="C224" s="9" t="s">
        <v>7</v>
      </c>
      <c r="D224" s="9" t="s">
        <v>501</v>
      </c>
      <c r="E224" s="49">
        <v>33.6</v>
      </c>
      <c r="F224" s="23" t="s">
        <v>454</v>
      </c>
      <c r="G224" s="9" t="str">
        <f>IFERROR(VLOOKUP(C224,'MASTER TLPG'!A:B,2,FALSE),"")</f>
        <v>-7.203807110524606, 112.71950675497641</v>
      </c>
      <c r="H224" s="9" t="str">
        <f>IFERROR(VLOOKUP(D224,'MASTER PERUSAHAAN'!A:B,2,FALSE),"")</f>
        <v>-7.444445046994529, 112.68343054235169</v>
      </c>
      <c r="J224" s="9" t="str">
        <f t="shared" si="1"/>
        <v>DEKAT</v>
      </c>
      <c r="K224" s="11">
        <f t="shared" si="2"/>
        <v>1</v>
      </c>
      <c r="M224" s="17">
        <v>9.0</v>
      </c>
      <c r="N224" s="17"/>
      <c r="O224" s="17"/>
      <c r="P224" s="17"/>
      <c r="Q224" s="17"/>
      <c r="R224" s="17"/>
      <c r="S224" s="17"/>
      <c r="T224" s="17" t="str">
        <f>IFERROR(__xludf.DUMMYFUNCTION("""COMPUTED_VALUE"""),"DK 8967 CA")</f>
        <v>DK 8967 CA</v>
      </c>
      <c r="U224" s="17" t="str">
        <f>IFERROR(__xludf.DUMMYFUNCTION("""COMPUTED_VALUE"""),"TLPG MANGGIS")</f>
        <v>TLPG MANGGIS</v>
      </c>
      <c r="V224" s="17" t="str">
        <f>IFERROR(__xludf.DUMMYFUNCTION("""COMPUTED_VALUE"""),"SPPBE-PT. Sari Dharma Mandiri")</f>
        <v>SPPBE-PT. Sari Dharma Mandiri</v>
      </c>
      <c r="W224" s="17">
        <f>IFERROR(__xludf.DUMMYFUNCTION("""COMPUTED_VALUE"""),37.5)</f>
        <v>37.5</v>
      </c>
      <c r="X224" s="17" t="str">
        <f>IFERROR(__xludf.DUMMYFUNCTION("""COMPUTED_VALUE"""),"DEKAT")</f>
        <v>DEKAT</v>
      </c>
      <c r="Y224" s="17">
        <f>IFERROR(__xludf.DUMMYFUNCTION("""COMPUTED_VALUE"""),1.0)</f>
        <v>1</v>
      </c>
      <c r="Z224" s="17">
        <f>IFERROR(__xludf.DUMMYFUNCTION("""COMPUTED_VALUE"""),9.0)</f>
        <v>9</v>
      </c>
      <c r="AB224" s="48" t="str">
        <f>IFERROR(__xludf.DUMMYFUNCTION("""COMPUTED_VALUE"""),"PT TRIAS MULTI NASIONAL")</f>
        <v>PT TRIAS MULTI NASIONAL</v>
      </c>
      <c r="AC224" s="48" t="str">
        <f>IFERROR(__xludf.DUMMYFUNCTION("""COMPUTED_VALUE"""),"AG 8063 UZ")</f>
        <v>AG 8063 UZ</v>
      </c>
      <c r="AD224" s="48" t="str">
        <f>IFERROR(__xludf.DUMMYFUNCTION("""COMPUTED_VALUE"""),"TLPG TJ PERAK")</f>
        <v>TLPG TJ PERAK</v>
      </c>
      <c r="AE224" s="17">
        <f>IFERROR(__xludf.DUMMYFUNCTION("""COMPUTED_VALUE"""),9.0)</f>
        <v>9</v>
      </c>
    </row>
    <row r="225">
      <c r="A225" s="12">
        <v>223.0</v>
      </c>
      <c r="B225" s="9" t="s">
        <v>272</v>
      </c>
      <c r="C225" s="9" t="s">
        <v>7</v>
      </c>
      <c r="D225" s="9" t="s">
        <v>505</v>
      </c>
      <c r="E225" s="49">
        <v>167.6</v>
      </c>
      <c r="F225" s="23" t="s">
        <v>454</v>
      </c>
      <c r="G225" s="9" t="str">
        <f>IFERROR(VLOOKUP(C225,'MASTER TLPG'!A:B,2,FALSE),"")</f>
        <v>-7.203807110524606, 112.71950675497641</v>
      </c>
      <c r="H225" s="9" t="str">
        <f>IFERROR(VLOOKUP(D225,'MASTER PERUSAHAAN'!A:B,2,FALSE),"")</f>
        <v>-8.096801604357731, 112.18220246923711</v>
      </c>
      <c r="J225" s="9" t="str">
        <f t="shared" si="1"/>
        <v>JAUH</v>
      </c>
      <c r="K225" s="11">
        <f t="shared" si="2"/>
        <v>3</v>
      </c>
      <c r="M225" s="17">
        <v>9.0</v>
      </c>
      <c r="N225" s="17"/>
      <c r="O225" s="17"/>
      <c r="P225" s="17"/>
      <c r="Q225" s="17"/>
      <c r="R225" s="17"/>
      <c r="S225" s="17"/>
      <c r="T225" s="17" t="str">
        <f>IFERROR(__xludf.DUMMYFUNCTION("""COMPUTED_VALUE"""),"DR 8129 AH")</f>
        <v>DR 8129 AH</v>
      </c>
      <c r="U225" s="17" t="str">
        <f>IFERROR(__xludf.DUMMYFUNCTION("""COMPUTED_VALUE"""),"TLPG LOMBOK")</f>
        <v>TLPG LOMBOK</v>
      </c>
      <c r="V225" s="17" t="str">
        <f>IFERROR(__xludf.DUMMYFUNCTION("""COMPUTED_VALUE"""),"SPPBE-PT. Surya Adiguna Indogas")</f>
        <v>SPPBE-PT. Surya Adiguna Indogas</v>
      </c>
      <c r="W225" s="17">
        <f>IFERROR(__xludf.DUMMYFUNCTION("""COMPUTED_VALUE"""),37.2)</f>
        <v>37.2</v>
      </c>
      <c r="X225" s="17" t="str">
        <f>IFERROR(__xludf.DUMMYFUNCTION("""COMPUTED_VALUE"""),"DEKAT")</f>
        <v>DEKAT</v>
      </c>
      <c r="Y225" s="17">
        <f>IFERROR(__xludf.DUMMYFUNCTION("""COMPUTED_VALUE"""),1.0)</f>
        <v>1</v>
      </c>
      <c r="Z225" s="17">
        <f>IFERROR(__xludf.DUMMYFUNCTION("""COMPUTED_VALUE"""),5.0)</f>
        <v>5</v>
      </c>
      <c r="AB225" s="48" t="str">
        <f>IFERROR(__xludf.DUMMYFUNCTION("""COMPUTED_VALUE"""),"PT TRIEN GASMIKU")</f>
        <v>PT TRIEN GASMIKU</v>
      </c>
      <c r="AC225" s="48" t="str">
        <f>IFERROR(__xludf.DUMMYFUNCTION("""COMPUTED_VALUE"""),"N 8582 UE")</f>
        <v>N 8582 UE</v>
      </c>
      <c r="AD225" s="48" t="str">
        <f>IFERROR(__xludf.DUMMYFUNCTION("""COMPUTED_VALUE"""),"TLPG TJ PERAK")</f>
        <v>TLPG TJ PERAK</v>
      </c>
      <c r="AE225" s="17">
        <f>IFERROR(__xludf.DUMMYFUNCTION("""COMPUTED_VALUE"""),8.0)</f>
        <v>8</v>
      </c>
    </row>
    <row r="226">
      <c r="A226" s="12">
        <v>224.0</v>
      </c>
      <c r="B226" s="9" t="s">
        <v>274</v>
      </c>
      <c r="C226" s="9" t="s">
        <v>25</v>
      </c>
      <c r="D226" s="9" t="s">
        <v>121</v>
      </c>
      <c r="E226" s="9"/>
      <c r="G226" s="9" t="str">
        <f>IFERROR(VLOOKUP(C226,'MASTER TLPG'!A:B,2,FALSE),"")</f>
        <v>-7.109201954744449, 112.62272164861744</v>
      </c>
      <c r="H226" s="9" t="str">
        <f>IFERROR(VLOOKUP(D226,'MASTER PERUSAHAAN'!A:B,2,FALSE),"")</f>
        <v/>
      </c>
      <c r="J226" s="9" t="str">
        <f t="shared" si="1"/>
        <v/>
      </c>
      <c r="K226" s="11" t="str">
        <f t="shared" si="2"/>
        <v/>
      </c>
      <c r="M226" s="17">
        <v>9.0</v>
      </c>
      <c r="N226" s="17"/>
      <c r="O226" s="17"/>
      <c r="P226" s="17"/>
      <c r="Q226" s="17"/>
      <c r="R226" s="17"/>
      <c r="S226" s="17"/>
      <c r="T226" s="17" t="str">
        <f>IFERROR(__xludf.DUMMYFUNCTION("""COMPUTED_VALUE"""),"L 8115 UUC")</f>
        <v>L 8115 UUC</v>
      </c>
      <c r="U226" s="17" t="str">
        <f>IFERROR(__xludf.DUMMYFUNCTION("""COMPUTED_VALUE"""),"TLPG LOMBOK")</f>
        <v>TLPG LOMBOK</v>
      </c>
      <c r="V226" s="17" t="str">
        <f>IFERROR(__xludf.DUMMYFUNCTION("""COMPUTED_VALUE"""),"SPPBE-PT. Surya Adiguna Indogas")</f>
        <v>SPPBE-PT. Surya Adiguna Indogas</v>
      </c>
      <c r="W226" s="17">
        <f>IFERROR(__xludf.DUMMYFUNCTION("""COMPUTED_VALUE"""),37.2)</f>
        <v>37.2</v>
      </c>
      <c r="X226" s="17" t="str">
        <f>IFERROR(__xludf.DUMMYFUNCTION("""COMPUTED_VALUE"""),"DEKAT")</f>
        <v>DEKAT</v>
      </c>
      <c r="Y226" s="17">
        <f>IFERROR(__xludf.DUMMYFUNCTION("""COMPUTED_VALUE"""),1.0)</f>
        <v>1</v>
      </c>
      <c r="Z226" s="17">
        <f>IFERROR(__xludf.DUMMYFUNCTION("""COMPUTED_VALUE"""),10.0)</f>
        <v>10</v>
      </c>
      <c r="AB226" s="48" t="str">
        <f>IFERROR(__xludf.DUMMYFUNCTION("""COMPUTED_VALUE"""),"PT TRIEN GASMIKU")</f>
        <v>PT TRIEN GASMIKU</v>
      </c>
      <c r="AC226" s="48" t="str">
        <f>IFERROR(__xludf.DUMMYFUNCTION("""COMPUTED_VALUE"""),"N 8660 UH")</f>
        <v>N 8660 UH</v>
      </c>
      <c r="AD226" s="48" t="str">
        <f>IFERROR(__xludf.DUMMYFUNCTION("""COMPUTED_VALUE"""),"TLPG TJ PERAK")</f>
        <v>TLPG TJ PERAK</v>
      </c>
      <c r="AE226" s="17">
        <f>IFERROR(__xludf.DUMMYFUNCTION("""COMPUTED_VALUE"""),8.0)</f>
        <v>8</v>
      </c>
    </row>
    <row r="227">
      <c r="A227" s="12">
        <v>225.0</v>
      </c>
      <c r="B227" s="9" t="s">
        <v>275</v>
      </c>
      <c r="C227" s="9" t="s">
        <v>25</v>
      </c>
      <c r="D227" s="9" t="s">
        <v>121</v>
      </c>
      <c r="E227" s="9"/>
      <c r="G227" s="9" t="str">
        <f>IFERROR(VLOOKUP(C227,'MASTER TLPG'!A:B,2,FALSE),"")</f>
        <v>-7.109201954744449, 112.62272164861744</v>
      </c>
      <c r="H227" s="9" t="str">
        <f>IFERROR(VLOOKUP(D227,'MASTER PERUSAHAAN'!A:B,2,FALSE),"")</f>
        <v/>
      </c>
      <c r="J227" s="9" t="str">
        <f t="shared" si="1"/>
        <v/>
      </c>
      <c r="K227" s="11" t="str">
        <f t="shared" si="2"/>
        <v/>
      </c>
      <c r="M227" s="17">
        <v>9.0</v>
      </c>
      <c r="N227" s="17"/>
      <c r="O227" s="17"/>
      <c r="P227" s="17"/>
      <c r="Q227" s="17"/>
      <c r="R227" s="17"/>
      <c r="S227" s="17"/>
      <c r="T227" s="17" t="str">
        <f>IFERROR(__xludf.DUMMYFUNCTION("""COMPUTED_VALUE"""),"W 8059 UD")</f>
        <v>W 8059 UD</v>
      </c>
      <c r="U227" s="17" t="str">
        <f>IFERROR(__xludf.DUMMYFUNCTION("""COMPUTED_VALUE"""),"TLPG LOMBOK")</f>
        <v>TLPG LOMBOK</v>
      </c>
      <c r="V227" s="17" t="str">
        <f>IFERROR(__xludf.DUMMYFUNCTION("""COMPUTED_VALUE"""),"SPPBE-PT. Surya Adiguna Indogas")</f>
        <v>SPPBE-PT. Surya Adiguna Indogas</v>
      </c>
      <c r="W227" s="17">
        <f>IFERROR(__xludf.DUMMYFUNCTION("""COMPUTED_VALUE"""),37.2)</f>
        <v>37.2</v>
      </c>
      <c r="X227" s="17" t="str">
        <f>IFERROR(__xludf.DUMMYFUNCTION("""COMPUTED_VALUE"""),"DEKAT")</f>
        <v>DEKAT</v>
      </c>
      <c r="Y227" s="17">
        <f>IFERROR(__xludf.DUMMYFUNCTION("""COMPUTED_VALUE"""),1.0)</f>
        <v>1</v>
      </c>
      <c r="Z227" s="17">
        <f>IFERROR(__xludf.DUMMYFUNCTION("""COMPUTED_VALUE"""),11.0)</f>
        <v>11</v>
      </c>
      <c r="AB227" s="48" t="str">
        <f>IFERROR(__xludf.DUMMYFUNCTION("""COMPUTED_VALUE"""),"PT TRIEN GASMIKU")</f>
        <v>PT TRIEN GASMIKU</v>
      </c>
      <c r="AC227" s="48" t="str">
        <f>IFERROR(__xludf.DUMMYFUNCTION("""COMPUTED_VALUE"""),"L 8063 UUA")</f>
        <v>L 8063 UUA</v>
      </c>
      <c r="AD227" s="48" t="str">
        <f>IFERROR(__xludf.DUMMYFUNCTION("""COMPUTED_VALUE"""),"TLPG TJ PERAK")</f>
        <v>TLPG TJ PERAK</v>
      </c>
      <c r="AE227" s="17">
        <f>IFERROR(__xludf.DUMMYFUNCTION("""COMPUTED_VALUE"""),10.0)</f>
        <v>10</v>
      </c>
    </row>
    <row r="228">
      <c r="A228" s="12">
        <v>226.0</v>
      </c>
      <c r="B228" s="9" t="s">
        <v>276</v>
      </c>
      <c r="C228" s="9" t="s">
        <v>32</v>
      </c>
      <c r="D228" s="9" t="s">
        <v>455</v>
      </c>
      <c r="E228" s="49">
        <v>46.6</v>
      </c>
      <c r="F228" s="23" t="s">
        <v>454</v>
      </c>
      <c r="G228" s="9" t="str">
        <f>IFERROR(VLOOKUP(C228,'MASTER TLPG'!A:B,2,FALSE),"")</f>
        <v>-8.509457097470957, 115.50344705076587</v>
      </c>
      <c r="H228" s="9" t="str">
        <f>IFERROR(VLOOKUP(D228,'MASTER PERUSAHAAN'!A:B,2,FALSE),"")</f>
        <v>-8.716682612313125, 115.21748833001745</v>
      </c>
      <c r="J228" s="9" t="str">
        <f t="shared" si="1"/>
        <v>DEKAT</v>
      </c>
      <c r="K228" s="11">
        <f t="shared" si="2"/>
        <v>1</v>
      </c>
      <c r="M228" s="17">
        <v>9.0</v>
      </c>
      <c r="N228" s="17"/>
      <c r="O228" s="17"/>
      <c r="P228" s="17"/>
      <c r="Q228" s="17"/>
      <c r="R228" s="17"/>
      <c r="S228" s="17"/>
      <c r="T228" s="17" t="str">
        <f>IFERROR(__xludf.DUMMYFUNCTION("""COMPUTED_VALUE"""),"W 8042 UD")</f>
        <v>W 8042 UD</v>
      </c>
      <c r="U228" s="17" t="str">
        <f>IFERROR(__xludf.DUMMYFUNCTION("""COMPUTED_VALUE"""),"TLPG LOMBOK")</f>
        <v>TLPG LOMBOK</v>
      </c>
      <c r="V228" s="17" t="str">
        <f>IFERROR(__xludf.DUMMYFUNCTION("""COMPUTED_VALUE"""),"SPPBE-PT. Surya Adiguna Indogas")</f>
        <v>SPPBE-PT. Surya Adiguna Indogas</v>
      </c>
      <c r="W228" s="17">
        <f>IFERROR(__xludf.DUMMYFUNCTION("""COMPUTED_VALUE"""),37.2)</f>
        <v>37.2</v>
      </c>
      <c r="X228" s="17" t="str">
        <f>IFERROR(__xludf.DUMMYFUNCTION("""COMPUTED_VALUE"""),"DEKAT")</f>
        <v>DEKAT</v>
      </c>
      <c r="Y228" s="17">
        <f>IFERROR(__xludf.DUMMYFUNCTION("""COMPUTED_VALUE"""),1.0)</f>
        <v>1</v>
      </c>
      <c r="Z228" s="17">
        <f>IFERROR(__xludf.DUMMYFUNCTION("""COMPUTED_VALUE"""),12.0)</f>
        <v>12</v>
      </c>
      <c r="AB228" s="48" t="str">
        <f>IFERROR(__xludf.DUMMYFUNCTION("""COMPUTED_VALUE"""),"PT TRIEN GASMIKU")</f>
        <v>PT TRIEN GASMIKU</v>
      </c>
      <c r="AC228" s="48" t="str">
        <f>IFERROR(__xludf.DUMMYFUNCTION("""COMPUTED_VALUE"""),"N 8469 US")</f>
        <v>N 8469 US</v>
      </c>
      <c r="AD228" s="48" t="str">
        <f>IFERROR(__xludf.DUMMYFUNCTION("""COMPUTED_VALUE"""),"TLPG TJ PERAK")</f>
        <v>TLPG TJ PERAK</v>
      </c>
      <c r="AE228" s="17">
        <f>IFERROR(__xludf.DUMMYFUNCTION("""COMPUTED_VALUE"""),10.0)</f>
        <v>10</v>
      </c>
    </row>
    <row r="229">
      <c r="A229" s="12">
        <v>227.0</v>
      </c>
      <c r="B229" s="9" t="s">
        <v>278</v>
      </c>
      <c r="C229" s="9" t="s">
        <v>32</v>
      </c>
      <c r="D229" s="9" t="s">
        <v>455</v>
      </c>
      <c r="E229" s="49">
        <v>46.6</v>
      </c>
      <c r="F229" s="23" t="s">
        <v>454</v>
      </c>
      <c r="G229" s="9" t="str">
        <f>IFERROR(VLOOKUP(C229,'MASTER TLPG'!A:B,2,FALSE),"")</f>
        <v>-8.509457097470957, 115.50344705076587</v>
      </c>
      <c r="H229" s="9" t="str">
        <f>IFERROR(VLOOKUP(D229,'MASTER PERUSAHAAN'!A:B,2,FALSE),"")</f>
        <v>-8.716682612313125, 115.21748833001745</v>
      </c>
      <c r="J229" s="9" t="str">
        <f t="shared" si="1"/>
        <v>DEKAT</v>
      </c>
      <c r="K229" s="11">
        <f t="shared" si="2"/>
        <v>1</v>
      </c>
      <c r="M229" s="17">
        <v>9.0</v>
      </c>
      <c r="N229" s="17"/>
      <c r="O229" s="17"/>
      <c r="P229" s="17"/>
      <c r="Q229" s="17"/>
      <c r="R229" s="17"/>
      <c r="S229" s="17"/>
      <c r="T229" s="17" t="str">
        <f>IFERROR(__xludf.DUMMYFUNCTION("""COMPUTED_VALUE"""),"AG 8063 UZ")</f>
        <v>AG 8063 UZ</v>
      </c>
      <c r="U229" s="17" t="str">
        <f>IFERROR(__xludf.DUMMYFUNCTION("""COMPUTED_VALUE"""),"TLPG TJ PERAK")</f>
        <v>TLPG TJ PERAK</v>
      </c>
      <c r="V229" s="17" t="str">
        <f>IFERROR(__xludf.DUMMYFUNCTION("""COMPUTED_VALUE"""),"PT TRIAS MULTI NASIONAL")</f>
        <v>PT TRIAS MULTI NASIONAL</v>
      </c>
      <c r="W229" s="17">
        <f>IFERROR(__xludf.DUMMYFUNCTION("""COMPUTED_VALUE"""),33.6)</f>
        <v>33.6</v>
      </c>
      <c r="X229" s="17" t="str">
        <f>IFERROR(__xludf.DUMMYFUNCTION("""COMPUTED_VALUE"""),"DEKAT")</f>
        <v>DEKAT</v>
      </c>
      <c r="Y229" s="17">
        <f>IFERROR(__xludf.DUMMYFUNCTION("""COMPUTED_VALUE"""),1.0)</f>
        <v>1</v>
      </c>
      <c r="Z229" s="17">
        <f>IFERROR(__xludf.DUMMYFUNCTION("""COMPUTED_VALUE"""),9.0)</f>
        <v>9</v>
      </c>
      <c r="AB229" s="48" t="str">
        <f>IFERROR(__xludf.DUMMYFUNCTION("""COMPUTED_VALUE"""),"PT TRIJAYA ADYMIX BANGKALAN")</f>
        <v>PT TRIJAYA ADYMIX BANGKALAN</v>
      </c>
      <c r="AC229" s="48" t="str">
        <f>IFERROR(__xludf.DUMMYFUNCTION("""COMPUTED_VALUE"""),"M 8068 UH")</f>
        <v>M 8068 UH</v>
      </c>
      <c r="AD229" s="48" t="str">
        <f>IFERROR(__xludf.DUMMYFUNCTION("""COMPUTED_VALUE"""),"TLPG TJ PERAK")</f>
        <v>TLPG TJ PERAK</v>
      </c>
      <c r="AE229" s="17">
        <f>IFERROR(__xludf.DUMMYFUNCTION("""COMPUTED_VALUE"""),7.0)</f>
        <v>7</v>
      </c>
    </row>
    <row r="230">
      <c r="A230" s="12">
        <v>228.0</v>
      </c>
      <c r="B230" s="9" t="s">
        <v>279</v>
      </c>
      <c r="C230" s="9" t="s">
        <v>32</v>
      </c>
      <c r="D230" s="9" t="s">
        <v>157</v>
      </c>
      <c r="E230" s="49">
        <v>93.9</v>
      </c>
      <c r="F230" s="23" t="s">
        <v>454</v>
      </c>
      <c r="G230" s="9" t="str">
        <f>IFERROR(VLOOKUP(C230,'MASTER TLPG'!A:B,2,FALSE),"")</f>
        <v>-8.509457097470957, 115.50344705076587</v>
      </c>
      <c r="H230" s="9" t="str">
        <f>IFERROR(VLOOKUP(D230,'MASTER PERUSAHAAN'!A:B,2,FALSE),"")</f>
        <v>-8.437163781385188, 114.86379993252038</v>
      </c>
      <c r="J230" s="9" t="str">
        <f t="shared" si="1"/>
        <v>SEDANG</v>
      </c>
      <c r="K230" s="11">
        <f t="shared" si="2"/>
        <v>2</v>
      </c>
      <c r="M230" s="17">
        <v>9.0</v>
      </c>
      <c r="N230" s="17"/>
      <c r="O230" s="17"/>
      <c r="P230" s="17"/>
      <c r="Q230" s="17"/>
      <c r="R230" s="17"/>
      <c r="S230" s="17"/>
      <c r="T230" s="17" t="str">
        <f>IFERROR(__xludf.DUMMYFUNCTION("""COMPUTED_VALUE"""),"DR 8542 AG")</f>
        <v>DR 8542 AG</v>
      </c>
      <c r="U230" s="17" t="str">
        <f>IFERROR(__xludf.DUMMYFUNCTION("""COMPUTED_VALUE"""),"TLPG LOMBOK")</f>
        <v>TLPG LOMBOK</v>
      </c>
      <c r="V230" s="17" t="str">
        <f>IFERROR(__xludf.DUMMYFUNCTION("""COMPUTED_VALUE"""),"SPPBE-PT. Lombok Menara Energigas")</f>
        <v>SPPBE-PT. Lombok Menara Energigas</v>
      </c>
      <c r="W230" s="17">
        <f>IFERROR(__xludf.DUMMYFUNCTION("""COMPUTED_VALUE"""),31.3)</f>
        <v>31.3</v>
      </c>
      <c r="X230" s="17" t="str">
        <f>IFERROR(__xludf.DUMMYFUNCTION("""COMPUTED_VALUE"""),"DEKAT")</f>
        <v>DEKAT</v>
      </c>
      <c r="Y230" s="17">
        <f>IFERROR(__xludf.DUMMYFUNCTION("""COMPUTED_VALUE"""),1.0)</f>
        <v>1</v>
      </c>
      <c r="Z230" s="17">
        <f>IFERROR(__xludf.DUMMYFUNCTION("""COMPUTED_VALUE"""),7.0)</f>
        <v>7</v>
      </c>
      <c r="AB230" s="48" t="str">
        <f>IFERROR(__xludf.DUMMYFUNCTION("""COMPUTED_VALUE"""),"PT TRIJAYA ADYMIX BANGKALAN")</f>
        <v>PT TRIJAYA ADYMIX BANGKALAN</v>
      </c>
      <c r="AC230" s="48" t="str">
        <f>IFERROR(__xludf.DUMMYFUNCTION("""COMPUTED_VALUE"""),"M 8366 UG")</f>
        <v>M 8366 UG</v>
      </c>
      <c r="AD230" s="48" t="str">
        <f>IFERROR(__xludf.DUMMYFUNCTION("""COMPUTED_VALUE"""),"TLPG TJ PERAK")</f>
        <v>TLPG TJ PERAK</v>
      </c>
      <c r="AE230" s="17">
        <f>IFERROR(__xludf.DUMMYFUNCTION("""COMPUTED_VALUE"""),7.0)</f>
        <v>7</v>
      </c>
    </row>
    <row r="231">
      <c r="A231" s="12">
        <v>229.0</v>
      </c>
      <c r="B231" s="9" t="s">
        <v>280</v>
      </c>
      <c r="C231" s="9" t="s">
        <v>32</v>
      </c>
      <c r="D231" s="9" t="s">
        <v>310</v>
      </c>
      <c r="E231" s="49">
        <v>37.5</v>
      </c>
      <c r="F231" s="23" t="s">
        <v>454</v>
      </c>
      <c r="G231" s="9" t="str">
        <f>IFERROR(VLOOKUP(C231,'MASTER TLPG'!A:B,2,FALSE),"")</f>
        <v>-8.509457097470957, 115.50344705076587</v>
      </c>
      <c r="H231" s="9" t="str">
        <f>IFERROR(VLOOKUP(D231,'MASTER PERUSAHAAN'!A:B,2,FALSE),"")</f>
        <v>-8.634966864512768, 115.2445496960891</v>
      </c>
      <c r="J231" s="9" t="str">
        <f t="shared" si="1"/>
        <v>DEKAT</v>
      </c>
      <c r="K231" s="11">
        <f t="shared" si="2"/>
        <v>1</v>
      </c>
      <c r="M231" s="17">
        <v>9.0</v>
      </c>
      <c r="N231" s="17"/>
      <c r="O231" s="17"/>
      <c r="P231" s="17"/>
      <c r="Q231" s="17"/>
      <c r="R231" s="17"/>
      <c r="S231" s="17"/>
      <c r="T231" s="17" t="str">
        <f>IFERROR(__xludf.DUMMYFUNCTION("""COMPUTED_VALUE"""),"DR 8543 AG")</f>
        <v>DR 8543 AG</v>
      </c>
      <c r="U231" s="17" t="str">
        <f>IFERROR(__xludf.DUMMYFUNCTION("""COMPUTED_VALUE"""),"TLPG LOMBOK")</f>
        <v>TLPG LOMBOK</v>
      </c>
      <c r="V231" s="17" t="str">
        <f>IFERROR(__xludf.DUMMYFUNCTION("""COMPUTED_VALUE"""),"SPPBE-PT. Lombok Menara Energigas")</f>
        <v>SPPBE-PT. Lombok Menara Energigas</v>
      </c>
      <c r="W231" s="17">
        <f>IFERROR(__xludf.DUMMYFUNCTION("""COMPUTED_VALUE"""),31.3)</f>
        <v>31.3</v>
      </c>
      <c r="X231" s="17" t="str">
        <f>IFERROR(__xludf.DUMMYFUNCTION("""COMPUTED_VALUE"""),"DEKAT")</f>
        <v>DEKAT</v>
      </c>
      <c r="Y231" s="17">
        <f>IFERROR(__xludf.DUMMYFUNCTION("""COMPUTED_VALUE"""),1.0)</f>
        <v>1</v>
      </c>
      <c r="Z231" s="17">
        <f>IFERROR(__xludf.DUMMYFUNCTION("""COMPUTED_VALUE"""),8.0)</f>
        <v>8</v>
      </c>
      <c r="AB231" s="48" t="str">
        <f>IFERROR(__xludf.DUMMYFUNCTION("""COMPUTED_VALUE"""),"PT TRIJAYA ADYMIX MANDIRI")</f>
        <v>PT TRIJAYA ADYMIX MANDIRI</v>
      </c>
      <c r="AC231" s="48" t="str">
        <f>IFERROR(__xludf.DUMMYFUNCTION("""COMPUTED_VALUE"""),"S 8319 UZ")</f>
        <v>S 8319 UZ</v>
      </c>
      <c r="AD231" s="48" t="str">
        <f>IFERROR(__xludf.DUMMYFUNCTION("""COMPUTED_VALUE"""),"TLPG TJ PERAK")</f>
        <v>TLPG TJ PERAK</v>
      </c>
      <c r="AE231" s="17">
        <f>IFERROR(__xludf.DUMMYFUNCTION("""COMPUTED_VALUE"""),11.0)</f>
        <v>11</v>
      </c>
    </row>
    <row r="232">
      <c r="A232" s="12">
        <v>230.0</v>
      </c>
      <c r="B232" s="9" t="s">
        <v>281</v>
      </c>
      <c r="C232" s="9" t="s">
        <v>5</v>
      </c>
      <c r="D232" s="9" t="s">
        <v>184</v>
      </c>
      <c r="E232" s="9"/>
      <c r="G232" s="9" t="str">
        <f>IFERROR(VLOOKUP(C232,'MASTER TLPG'!A:B,2,FALSE),"")</f>
        <v>-8.749911797697688, 116.03590255003817</v>
      </c>
      <c r="H232" s="9" t="str">
        <f>IFERROR(VLOOKUP(D232,'MASTER PERUSAHAAN'!A:B,2,FALSE),"")</f>
        <v/>
      </c>
      <c r="J232" s="9" t="str">
        <f t="shared" si="1"/>
        <v/>
      </c>
      <c r="K232" s="11" t="str">
        <f t="shared" si="2"/>
        <v/>
      </c>
      <c r="M232" s="17">
        <v>9.0</v>
      </c>
      <c r="N232" s="17"/>
      <c r="O232" s="17"/>
      <c r="P232" s="17"/>
      <c r="Q232" s="17"/>
      <c r="R232" s="17"/>
      <c r="S232" s="17"/>
      <c r="T232" s="17" t="str">
        <f>IFERROR(__xludf.DUMMYFUNCTION("""COMPUTED_VALUE"""),"W 8637 DV")</f>
        <v>W 8637 DV</v>
      </c>
      <c r="U232" s="17" t="str">
        <f>IFERROR(__xludf.DUMMYFUNCTION("""COMPUTED_VALUE"""),"TLPG TJ PERAK")</f>
        <v>TLPG TJ PERAK</v>
      </c>
      <c r="V232" s="17" t="str">
        <f>IFERROR(__xludf.DUMMYFUNCTION("""COMPUTED_VALUE"""),"PT SUGIHARTO BERJAYA")</f>
        <v>PT SUGIHARTO BERJAYA</v>
      </c>
      <c r="W232" s="17">
        <f>IFERROR(__xludf.DUMMYFUNCTION("""COMPUTED_VALUE"""),28.2)</f>
        <v>28.2</v>
      </c>
      <c r="X232" s="17" t="str">
        <f>IFERROR(__xludf.DUMMYFUNCTION("""COMPUTED_VALUE"""),"DEKAT")</f>
        <v>DEKAT</v>
      </c>
      <c r="Y232" s="17">
        <f>IFERROR(__xludf.DUMMYFUNCTION("""COMPUTED_VALUE"""),1.0)</f>
        <v>1</v>
      </c>
      <c r="Z232" s="17">
        <f>IFERROR(__xludf.DUMMYFUNCTION("""COMPUTED_VALUE"""),12.0)</f>
        <v>12</v>
      </c>
      <c r="AB232" s="48" t="str">
        <f>IFERROR(__xludf.DUMMYFUNCTION("""COMPUTED_VALUE"""),"PT TRIMEGAH FARGASINDO")</f>
        <v>PT TRIMEGAH FARGASINDO</v>
      </c>
      <c r="AC232" s="48" t="str">
        <f>IFERROR(__xludf.DUMMYFUNCTION("""COMPUTED_VALUE"""),"S 7850 UN")</f>
        <v>S 7850 UN</v>
      </c>
      <c r="AD232" s="48" t="str">
        <f>IFERROR(__xludf.DUMMYFUNCTION("""COMPUTED_VALUE"""),"TLPG TJ PERAK")</f>
        <v>TLPG TJ PERAK</v>
      </c>
      <c r="AE232" s="17">
        <f>IFERROR(__xludf.DUMMYFUNCTION("""COMPUTED_VALUE"""),10.0)</f>
        <v>10</v>
      </c>
    </row>
    <row r="233">
      <c r="A233" s="12">
        <v>231.0</v>
      </c>
      <c r="B233" s="9" t="s">
        <v>282</v>
      </c>
      <c r="C233" s="9" t="s">
        <v>5</v>
      </c>
      <c r="D233" s="9" t="s">
        <v>445</v>
      </c>
      <c r="E233" s="49">
        <v>95.2</v>
      </c>
      <c r="F233" s="23" t="s">
        <v>454</v>
      </c>
      <c r="G233" s="9" t="str">
        <f>IFERROR(VLOOKUP(C233,'MASTER TLPG'!A:B,2,FALSE),"")</f>
        <v>-8.749911797697688, 116.03590255003817</v>
      </c>
      <c r="H233" s="9" t="str">
        <f>IFERROR(VLOOKUP(D233,'MASTER PERUSAHAAN'!A:B,2,FALSE),"")</f>
        <v>-8.249443047905102, 116.26830035611363</v>
      </c>
      <c r="J233" s="9" t="str">
        <f t="shared" si="1"/>
        <v>SEDANG</v>
      </c>
      <c r="K233" s="11">
        <f t="shared" si="2"/>
        <v>2</v>
      </c>
      <c r="M233" s="17">
        <v>9.0</v>
      </c>
      <c r="N233" s="17"/>
      <c r="O233" s="17"/>
      <c r="P233" s="17"/>
      <c r="Q233" s="17"/>
      <c r="R233" s="17"/>
      <c r="S233" s="17"/>
      <c r="T233" s="17" t="str">
        <f>IFERROR(__xludf.DUMMYFUNCTION("""COMPUTED_VALUE"""),"M 8068 UH")</f>
        <v>M 8068 UH</v>
      </c>
      <c r="U233" s="17" t="str">
        <f>IFERROR(__xludf.DUMMYFUNCTION("""COMPUTED_VALUE"""),"TLPG TJ PERAK")</f>
        <v>TLPG TJ PERAK</v>
      </c>
      <c r="V233" s="17" t="str">
        <f>IFERROR(__xludf.DUMMYFUNCTION("""COMPUTED_VALUE"""),"PT TRIJAYA ADYMIX BANGKALAN")</f>
        <v>PT TRIJAYA ADYMIX BANGKALAN</v>
      </c>
      <c r="W233" s="17">
        <f>IFERROR(__xludf.DUMMYFUNCTION("""COMPUTED_VALUE"""),28.1)</f>
        <v>28.1</v>
      </c>
      <c r="X233" s="17" t="str">
        <f>IFERROR(__xludf.DUMMYFUNCTION("""COMPUTED_VALUE"""),"DEKAT")</f>
        <v>DEKAT</v>
      </c>
      <c r="Y233" s="17">
        <f>IFERROR(__xludf.DUMMYFUNCTION("""COMPUTED_VALUE"""),1.0)</f>
        <v>1</v>
      </c>
      <c r="Z233" s="17">
        <f>IFERROR(__xludf.DUMMYFUNCTION("""COMPUTED_VALUE"""),7.0)</f>
        <v>7</v>
      </c>
      <c r="AB233" s="48" t="str">
        <f>IFERROR(__xludf.DUMMYFUNCTION("""COMPUTED_VALUE"""),"PT TRIMEGAH FARGASINDO")</f>
        <v>PT TRIMEGAH FARGASINDO</v>
      </c>
      <c r="AC233" s="48" t="str">
        <f>IFERROR(__xludf.DUMMYFUNCTION("""COMPUTED_VALUE"""),"S 8943 UU")</f>
        <v>S 8943 UU</v>
      </c>
      <c r="AD233" s="48" t="str">
        <f>IFERROR(__xludf.DUMMYFUNCTION("""COMPUTED_VALUE"""),"TLPG TJ PERAK")</f>
        <v>TLPG TJ PERAK</v>
      </c>
      <c r="AE233" s="17">
        <f>IFERROR(__xludf.DUMMYFUNCTION("""COMPUTED_VALUE"""),11.0)</f>
        <v>11</v>
      </c>
    </row>
    <row r="234">
      <c r="A234" s="12">
        <v>232.0</v>
      </c>
      <c r="B234" s="9" t="s">
        <v>283</v>
      </c>
      <c r="C234" s="9" t="s">
        <v>39</v>
      </c>
      <c r="D234" s="9" t="s">
        <v>184</v>
      </c>
      <c r="E234" s="9"/>
      <c r="G234" s="9" t="str">
        <f>IFERROR(VLOOKUP(C234,'MASTER TLPG'!A:B,2,FALSE),"")</f>
        <v>-8.477696591405829, 118.71143008615176</v>
      </c>
      <c r="H234" s="9" t="str">
        <f>IFERROR(VLOOKUP(D234,'MASTER PERUSAHAAN'!A:B,2,FALSE),"")</f>
        <v/>
      </c>
      <c r="J234" s="9" t="str">
        <f t="shared" si="1"/>
        <v/>
      </c>
      <c r="K234" s="11" t="str">
        <f t="shared" si="2"/>
        <v/>
      </c>
      <c r="M234" s="17">
        <v>9.0</v>
      </c>
      <c r="N234" s="17"/>
      <c r="O234" s="17"/>
      <c r="P234" s="17"/>
      <c r="Q234" s="17"/>
      <c r="R234" s="17"/>
      <c r="S234" s="17"/>
      <c r="T234" s="17" t="str">
        <f>IFERROR(__xludf.DUMMYFUNCTION("""COMPUTED_VALUE"""),"M 8366 UG")</f>
        <v>M 8366 UG</v>
      </c>
      <c r="U234" s="17" t="str">
        <f>IFERROR(__xludf.DUMMYFUNCTION("""COMPUTED_VALUE"""),"TLPG TJ PERAK")</f>
        <v>TLPG TJ PERAK</v>
      </c>
      <c r="V234" s="17" t="str">
        <f>IFERROR(__xludf.DUMMYFUNCTION("""COMPUTED_VALUE"""),"PT TRIJAYA ADYMIX BANGKALAN")</f>
        <v>PT TRIJAYA ADYMIX BANGKALAN</v>
      </c>
      <c r="W234" s="17">
        <f>IFERROR(__xludf.DUMMYFUNCTION("""COMPUTED_VALUE"""),28.1)</f>
        <v>28.1</v>
      </c>
      <c r="X234" s="17" t="str">
        <f>IFERROR(__xludf.DUMMYFUNCTION("""COMPUTED_VALUE"""),"DEKAT")</f>
        <v>DEKAT</v>
      </c>
      <c r="Y234" s="17">
        <f>IFERROR(__xludf.DUMMYFUNCTION("""COMPUTED_VALUE"""),1.0)</f>
        <v>1</v>
      </c>
      <c r="Z234" s="17">
        <f>IFERROR(__xludf.DUMMYFUNCTION("""COMPUTED_VALUE"""),7.0)</f>
        <v>7</v>
      </c>
      <c r="AB234" s="48" t="str">
        <f>IFERROR(__xludf.DUMMYFUNCTION("""COMPUTED_VALUE"""),"PT TRISINDO ADIKAMULIA")</f>
        <v>PT TRISINDO ADIKAMULIA</v>
      </c>
      <c r="AC234" s="48" t="str">
        <f>IFERROR(__xludf.DUMMYFUNCTION("""COMPUTED_VALUE"""),"AE 8639 UP")</f>
        <v>AE 8639 UP</v>
      </c>
      <c r="AD234" s="48" t="str">
        <f>IFERROR(__xludf.DUMMYFUNCTION("""COMPUTED_VALUE"""),"TLPG TJ PERAK")</f>
        <v>TLPG TJ PERAK</v>
      </c>
      <c r="AE234" s="17">
        <f>IFERROR(__xludf.DUMMYFUNCTION("""COMPUTED_VALUE"""),1.0)</f>
        <v>1</v>
      </c>
    </row>
    <row r="235">
      <c r="A235" s="12">
        <v>233.0</v>
      </c>
      <c r="B235" s="9" t="s">
        <v>284</v>
      </c>
      <c r="C235" s="9" t="s">
        <v>7</v>
      </c>
      <c r="D235" s="9" t="s">
        <v>460</v>
      </c>
      <c r="E235" s="49">
        <v>75.7</v>
      </c>
      <c r="F235" s="23" t="s">
        <v>454</v>
      </c>
      <c r="G235" s="9" t="str">
        <f>IFERROR(VLOOKUP(C235,'MASTER TLPG'!A:B,2,FALSE),"")</f>
        <v>-7.203807110524606, 112.71950675497641</v>
      </c>
      <c r="H235" s="9" t="str">
        <f>IFERROR(VLOOKUP(D235,'MASTER PERUSAHAAN'!A:B,2,FALSE),"")</f>
        <v>-7.739292703683094, 112.77811053201322</v>
      </c>
      <c r="J235" s="9" t="str">
        <f t="shared" si="1"/>
        <v>SEDANG</v>
      </c>
      <c r="K235" s="11">
        <f t="shared" si="2"/>
        <v>2</v>
      </c>
      <c r="M235" s="17">
        <v>9.0</v>
      </c>
      <c r="N235" s="17"/>
      <c r="O235" s="17"/>
      <c r="P235" s="17"/>
      <c r="Q235" s="17"/>
      <c r="R235" s="17"/>
      <c r="S235" s="17"/>
      <c r="T235" s="17" t="str">
        <f>IFERROR(__xludf.DUMMYFUNCTION("""COMPUTED_VALUE"""),"DK 8203 KO")</f>
        <v>DK 8203 KO</v>
      </c>
      <c r="U235" s="17" t="str">
        <f>IFERROR(__xludf.DUMMYFUNCTION("""COMPUTED_VALUE"""),"TLPG MANGGIS")</f>
        <v>TLPG MANGGIS</v>
      </c>
      <c r="V235" s="17" t="str">
        <f>IFERROR(__xludf.DUMMYFUNCTION("""COMPUTED_VALUE"""),"SPPBE-PT. Dasico Panca Rena")</f>
        <v>SPPBE-PT. Dasico Panca Rena</v>
      </c>
      <c r="W235" s="17">
        <f>IFERROR(__xludf.DUMMYFUNCTION("""COMPUTED_VALUE"""),27.6)</f>
        <v>27.6</v>
      </c>
      <c r="X235" s="17" t="str">
        <f>IFERROR(__xludf.DUMMYFUNCTION("""COMPUTED_VALUE"""),"DEKAT")</f>
        <v>DEKAT</v>
      </c>
      <c r="Y235" s="17">
        <f>IFERROR(__xludf.DUMMYFUNCTION("""COMPUTED_VALUE"""),1.0)</f>
        <v>1</v>
      </c>
      <c r="Z235" s="17">
        <f>IFERROR(__xludf.DUMMYFUNCTION("""COMPUTED_VALUE"""),5.0)</f>
        <v>5</v>
      </c>
      <c r="AB235" s="48" t="str">
        <f>IFERROR(__xludf.DUMMYFUNCTION("""COMPUTED_VALUE"""),"PT TRISINDO ADIKAMULIA")</f>
        <v>PT TRISINDO ADIKAMULIA</v>
      </c>
      <c r="AC235" s="48" t="str">
        <f>IFERROR(__xludf.DUMMYFUNCTION("""COMPUTED_VALUE"""),"AE 8641 UP")</f>
        <v>AE 8641 UP</v>
      </c>
      <c r="AD235" s="48" t="str">
        <f>IFERROR(__xludf.DUMMYFUNCTION("""COMPUTED_VALUE"""),"TLPG TJ PERAK")</f>
        <v>TLPG TJ PERAK</v>
      </c>
      <c r="AE235" s="17">
        <f>IFERROR(__xludf.DUMMYFUNCTION("""COMPUTED_VALUE"""),1.0)</f>
        <v>1</v>
      </c>
    </row>
    <row r="236">
      <c r="A236" s="12">
        <v>234.0</v>
      </c>
      <c r="B236" s="9" t="s">
        <v>286</v>
      </c>
      <c r="C236" s="9" t="s">
        <v>7</v>
      </c>
      <c r="D236" s="9" t="s">
        <v>462</v>
      </c>
      <c r="E236" s="49">
        <v>54.2</v>
      </c>
      <c r="F236" s="23" t="s">
        <v>454</v>
      </c>
      <c r="G236" s="9" t="str">
        <f>IFERROR(VLOOKUP(C236,'MASTER TLPG'!A:B,2,FALSE),"")</f>
        <v>-7.203807110524606, 112.71950675497641</v>
      </c>
      <c r="H236" s="9" t="str">
        <f>IFERROR(VLOOKUP(D236,'MASTER PERUSAHAAN'!A:B,2,FALSE),"")</f>
        <v>-7.614773969964553, 112.71121954210973</v>
      </c>
      <c r="J236" s="9" t="str">
        <f t="shared" si="1"/>
        <v>SEDANG</v>
      </c>
      <c r="K236" s="11">
        <f t="shared" si="2"/>
        <v>2</v>
      </c>
      <c r="M236" s="17">
        <v>9.0</v>
      </c>
      <c r="N236" s="17"/>
      <c r="O236" s="17"/>
      <c r="P236" s="17"/>
      <c r="Q236" s="17"/>
      <c r="R236" s="17"/>
      <c r="S236" s="17"/>
      <c r="T236" s="17" t="str">
        <f>IFERROR(__xludf.DUMMYFUNCTION("""COMPUTED_VALUE"""),"DK 8204 KO")</f>
        <v>DK 8204 KO</v>
      </c>
      <c r="U236" s="17" t="str">
        <f>IFERROR(__xludf.DUMMYFUNCTION("""COMPUTED_VALUE"""),"TLPG MANGGIS")</f>
        <v>TLPG MANGGIS</v>
      </c>
      <c r="V236" s="17" t="str">
        <f>IFERROR(__xludf.DUMMYFUNCTION("""COMPUTED_VALUE"""),"SPPBE-PT. Dasico Panca Rena")</f>
        <v>SPPBE-PT. Dasico Panca Rena</v>
      </c>
      <c r="W236" s="17">
        <f>IFERROR(__xludf.DUMMYFUNCTION("""COMPUTED_VALUE"""),27.6)</f>
        <v>27.6</v>
      </c>
      <c r="X236" s="17" t="str">
        <f>IFERROR(__xludf.DUMMYFUNCTION("""COMPUTED_VALUE"""),"DEKAT")</f>
        <v>DEKAT</v>
      </c>
      <c r="Y236" s="17">
        <f>IFERROR(__xludf.DUMMYFUNCTION("""COMPUTED_VALUE"""),1.0)</f>
        <v>1</v>
      </c>
      <c r="Z236" s="17">
        <f>IFERROR(__xludf.DUMMYFUNCTION("""COMPUTED_VALUE"""),5.0)</f>
        <v>5</v>
      </c>
      <c r="AB236" s="48" t="str">
        <f>IFERROR(__xludf.DUMMYFUNCTION("""COMPUTED_VALUE"""),"PT TRISINDO ADIKAMULIA")</f>
        <v>PT TRISINDO ADIKAMULIA</v>
      </c>
      <c r="AC236" s="48" t="str">
        <f>IFERROR(__xludf.DUMMYFUNCTION("""COMPUTED_VALUE"""),"AE 8642 UP")</f>
        <v>AE 8642 UP</v>
      </c>
      <c r="AD236" s="48" t="str">
        <f>IFERROR(__xludf.DUMMYFUNCTION("""COMPUTED_VALUE"""),"TLPG TJ PERAK")</f>
        <v>TLPG TJ PERAK</v>
      </c>
      <c r="AE236" s="17">
        <f>IFERROR(__xludf.DUMMYFUNCTION("""COMPUTED_VALUE"""),1.0)</f>
        <v>1</v>
      </c>
    </row>
    <row r="237">
      <c r="A237" s="12">
        <v>235.0</v>
      </c>
      <c r="B237" s="9" t="s">
        <v>287</v>
      </c>
      <c r="C237" s="9" t="s">
        <v>7</v>
      </c>
      <c r="D237" s="9" t="s">
        <v>465</v>
      </c>
      <c r="E237" s="49">
        <v>123.4</v>
      </c>
      <c r="F237" s="23" t="s">
        <v>454</v>
      </c>
      <c r="G237" s="9" t="str">
        <f>IFERROR(VLOOKUP(C237,'MASTER TLPG'!A:B,2,FALSE),"")</f>
        <v>-7.203807110524606, 112.71950675497641</v>
      </c>
      <c r="H237" s="9" t="str">
        <f>IFERROR(VLOOKUP(D237,'MASTER PERUSAHAAN'!A:B,2,FALSE),"")</f>
        <v>-8.115406105428027, 112.55792935152363</v>
      </c>
      <c r="J237" s="9" t="str">
        <f t="shared" si="1"/>
        <v>SEDANG</v>
      </c>
      <c r="K237" s="11">
        <f t="shared" si="2"/>
        <v>2</v>
      </c>
      <c r="M237" s="17">
        <v>9.0</v>
      </c>
      <c r="N237" s="17"/>
      <c r="O237" s="17"/>
      <c r="P237" s="17"/>
      <c r="Q237" s="17"/>
      <c r="R237" s="17"/>
      <c r="S237" s="17"/>
      <c r="T237" s="17" t="str">
        <f>IFERROR(__xludf.DUMMYFUNCTION("""COMPUTED_VALUE"""),"W 8729 QD")</f>
        <v>W 8729 QD</v>
      </c>
      <c r="U237" s="17" t="str">
        <f>IFERROR(__xludf.DUMMYFUNCTION("""COMPUTED_VALUE"""),"TLPG TJ PERAK")</f>
        <v>TLPG TJ PERAK</v>
      </c>
      <c r="V237" s="17" t="str">
        <f>IFERROR(__xludf.DUMMYFUNCTION("""COMPUTED_VALUE"""),"PT SUMAN GAUNG PERSADA")</f>
        <v>PT SUMAN GAUNG PERSADA</v>
      </c>
      <c r="W237" s="17">
        <f>IFERROR(__xludf.DUMMYFUNCTION("""COMPUTED_VALUE"""),24.2)</f>
        <v>24.2</v>
      </c>
      <c r="X237" s="17" t="str">
        <f>IFERROR(__xludf.DUMMYFUNCTION("""COMPUTED_VALUE"""),"DEKAT")</f>
        <v>DEKAT</v>
      </c>
      <c r="Y237" s="17">
        <f>IFERROR(__xludf.DUMMYFUNCTION("""COMPUTED_VALUE"""),1.0)</f>
        <v>1</v>
      </c>
      <c r="Z237" s="17">
        <f>IFERROR(__xludf.DUMMYFUNCTION("""COMPUTED_VALUE"""),6.0)</f>
        <v>6</v>
      </c>
      <c r="AB237" s="48" t="str">
        <f>IFERROR(__xludf.DUMMYFUNCTION("""COMPUTED_VALUE"""),"PT UNIVERSAL ENERGY PRATAMA")</f>
        <v>PT UNIVERSAL ENERGY PRATAMA</v>
      </c>
      <c r="AC237" s="48" t="str">
        <f>IFERROR(__xludf.DUMMYFUNCTION("""COMPUTED_VALUE"""),"L 8121 UUA")</f>
        <v>L 8121 UUA</v>
      </c>
      <c r="AD237" s="48" t="str">
        <f>IFERROR(__xludf.DUMMYFUNCTION("""COMPUTED_VALUE"""),"TLPG MEM GRESIK")</f>
        <v>TLPG MEM GRESIK</v>
      </c>
      <c r="AE237" s="17">
        <f>IFERROR(__xludf.DUMMYFUNCTION("""COMPUTED_VALUE"""),6.0)</f>
        <v>6</v>
      </c>
    </row>
    <row r="238">
      <c r="A238" s="12">
        <v>236.0</v>
      </c>
      <c r="B238" s="9" t="s">
        <v>288</v>
      </c>
      <c r="C238" s="9" t="s">
        <v>7</v>
      </c>
      <c r="D238" s="9" t="s">
        <v>468</v>
      </c>
      <c r="E238" s="49">
        <v>112.4</v>
      </c>
      <c r="F238" s="23" t="s">
        <v>454</v>
      </c>
      <c r="G238" s="9" t="str">
        <f>IFERROR(VLOOKUP(C238,'MASTER TLPG'!A:B,2,FALSE),"")</f>
        <v>-7.203807110524606, 112.71950675497641</v>
      </c>
      <c r="H238" s="9" t="str">
        <f>IFERROR(VLOOKUP(D238,'MASTER PERUSAHAAN'!A:B,2,FALSE),"")</f>
        <v>-8.039195517429562, 112.61050057482242</v>
      </c>
      <c r="J238" s="9" t="str">
        <f t="shared" si="1"/>
        <v>SEDANG</v>
      </c>
      <c r="K238" s="11">
        <f t="shared" si="2"/>
        <v>2</v>
      </c>
      <c r="M238" s="17">
        <v>9.0</v>
      </c>
      <c r="N238" s="17"/>
      <c r="O238" s="17"/>
      <c r="P238" s="17"/>
      <c r="Q238" s="17"/>
      <c r="R238" s="17"/>
      <c r="S238" s="17"/>
      <c r="T238" s="17" t="str">
        <f>IFERROR(__xludf.DUMMYFUNCTION("""COMPUTED_VALUE"""),"W 8193 PF")</f>
        <v>W 8193 PF</v>
      </c>
      <c r="U238" s="17" t="str">
        <f>IFERROR(__xludf.DUMMYFUNCTION("""COMPUTED_VALUE"""),"TLPG TJ PERAK")</f>
        <v>TLPG TJ PERAK</v>
      </c>
      <c r="V238" s="17" t="str">
        <f>IFERROR(__xludf.DUMMYFUNCTION("""COMPUTED_VALUE"""),"PT BONGKARAN ENERGI")</f>
        <v>PT BONGKARAN ENERGI</v>
      </c>
      <c r="W238" s="17">
        <f>IFERROR(__xludf.DUMMYFUNCTION("""COMPUTED_VALUE"""),24.2)</f>
        <v>24.2</v>
      </c>
      <c r="X238" s="17" t="str">
        <f>IFERROR(__xludf.DUMMYFUNCTION("""COMPUTED_VALUE"""),"DEKAT")</f>
        <v>DEKAT</v>
      </c>
      <c r="Y238" s="17">
        <f>IFERROR(__xludf.DUMMYFUNCTION("""COMPUTED_VALUE"""),1.0)</f>
        <v>1</v>
      </c>
      <c r="Z238" s="17">
        <f>IFERROR(__xludf.DUMMYFUNCTION("""COMPUTED_VALUE"""),12.0)</f>
        <v>12</v>
      </c>
      <c r="AB238" s="48" t="str">
        <f>IFERROR(__xludf.DUMMYFUNCTION("""COMPUTED_VALUE"""),"PT UNIVERSAL ENERGY PRATAMA")</f>
        <v>PT UNIVERSAL ENERGY PRATAMA</v>
      </c>
      <c r="AC238" s="48" t="str">
        <f>IFERROR(__xludf.DUMMYFUNCTION("""COMPUTED_VALUE"""),"L 9552 UW")</f>
        <v>L 9552 UW</v>
      </c>
      <c r="AD238" s="48" t="str">
        <f>IFERROR(__xludf.DUMMYFUNCTION("""COMPUTED_VALUE"""),"TLPG MEM GRESIK")</f>
        <v>TLPG MEM GRESIK</v>
      </c>
      <c r="AE238" s="17">
        <f>IFERROR(__xludf.DUMMYFUNCTION("""COMPUTED_VALUE"""),7.0)</f>
        <v>7</v>
      </c>
    </row>
    <row r="239">
      <c r="A239" s="12">
        <v>237.0</v>
      </c>
      <c r="B239" s="9" t="s">
        <v>289</v>
      </c>
      <c r="C239" s="9" t="s">
        <v>7</v>
      </c>
      <c r="D239" s="9" t="s">
        <v>460</v>
      </c>
      <c r="E239" s="49">
        <v>75.7</v>
      </c>
      <c r="F239" s="23" t="s">
        <v>454</v>
      </c>
      <c r="G239" s="9" t="str">
        <f>IFERROR(VLOOKUP(C239,'MASTER TLPG'!A:B,2,FALSE),"")</f>
        <v>-7.203807110524606, 112.71950675497641</v>
      </c>
      <c r="H239" s="9" t="str">
        <f>IFERROR(VLOOKUP(D239,'MASTER PERUSAHAAN'!A:B,2,FALSE),"")</f>
        <v>-7.739292703683094, 112.77811053201322</v>
      </c>
      <c r="J239" s="9" t="str">
        <f t="shared" si="1"/>
        <v>SEDANG</v>
      </c>
      <c r="K239" s="11">
        <f t="shared" si="2"/>
        <v>2</v>
      </c>
      <c r="M239" s="17">
        <v>9.0</v>
      </c>
      <c r="N239" s="17"/>
      <c r="O239" s="17"/>
      <c r="P239" s="17"/>
      <c r="Q239" s="17"/>
      <c r="R239" s="17"/>
      <c r="S239" s="17"/>
      <c r="T239" s="17" t="str">
        <f>IFERROR(__xludf.DUMMYFUNCTION("""COMPUTED_VALUE"""),"W 9170 PD")</f>
        <v>W 9170 PD</v>
      </c>
      <c r="U239" s="17" t="str">
        <f>IFERROR(__xludf.DUMMYFUNCTION("""COMPUTED_VALUE"""),"TLPG TJ PERAK")</f>
        <v>TLPG TJ PERAK</v>
      </c>
      <c r="V239" s="17" t="str">
        <f>IFERROR(__xludf.DUMMYFUNCTION("""COMPUTED_VALUE"""),"PT NAWA PELITA RAYA")</f>
        <v>PT NAWA PELITA RAYA</v>
      </c>
      <c r="W239" s="17">
        <f>IFERROR(__xludf.DUMMYFUNCTION("""COMPUTED_VALUE"""),23.7)</f>
        <v>23.7</v>
      </c>
      <c r="X239" s="17" t="str">
        <f>IFERROR(__xludf.DUMMYFUNCTION("""COMPUTED_VALUE"""),"DEKAT")</f>
        <v>DEKAT</v>
      </c>
      <c r="Y239" s="17">
        <f>IFERROR(__xludf.DUMMYFUNCTION("""COMPUTED_VALUE"""),1.0)</f>
        <v>1</v>
      </c>
      <c r="Z239" s="17">
        <f>IFERROR(__xludf.DUMMYFUNCTION("""COMPUTED_VALUE"""),4.0)</f>
        <v>4</v>
      </c>
      <c r="AB239" s="48" t="str">
        <f>IFERROR(__xludf.DUMMYFUNCTION("""COMPUTED_VALUE"""),"PT WIN MED INDONESIA")</f>
        <v>PT WIN MED INDONESIA</v>
      </c>
      <c r="AC239" s="48" t="str">
        <f>IFERROR(__xludf.DUMMYFUNCTION("""COMPUTED_VALUE"""),"W 8921 UR")</f>
        <v>W 8921 UR</v>
      </c>
      <c r="AD239" s="48" t="str">
        <f>IFERROR(__xludf.DUMMYFUNCTION("""COMPUTED_VALUE"""),"TLPG TJ PERAK")</f>
        <v>TLPG TJ PERAK</v>
      </c>
      <c r="AE239" s="17">
        <f>IFERROR(__xludf.DUMMYFUNCTION("""COMPUTED_VALUE"""),7.0)</f>
        <v>7</v>
      </c>
    </row>
    <row r="240">
      <c r="A240" s="12">
        <v>238.0</v>
      </c>
      <c r="B240" s="9" t="s">
        <v>290</v>
      </c>
      <c r="C240" s="9" t="s">
        <v>7</v>
      </c>
      <c r="D240" s="9" t="s">
        <v>452</v>
      </c>
      <c r="E240" s="49">
        <v>146.9</v>
      </c>
      <c r="F240" s="23" t="s">
        <v>454</v>
      </c>
      <c r="G240" s="9" t="str">
        <f>IFERROR(VLOOKUP(C240,'MASTER TLPG'!A:B,2,FALSE),"")</f>
        <v>-7.203807110524606, 112.71950675497641</v>
      </c>
      <c r="H240" s="9" t="str">
        <f>IFERROR(VLOOKUP(D240,'MASTER PERUSAHAAN'!A:B,2,FALSE),"")</f>
        <v>-7.995451006439848, 111.9362872174144</v>
      </c>
      <c r="J240" s="9" t="str">
        <f t="shared" si="1"/>
        <v>SEDANG</v>
      </c>
      <c r="K240" s="11">
        <f t="shared" si="2"/>
        <v>2</v>
      </c>
      <c r="M240" s="17">
        <v>9.0</v>
      </c>
      <c r="N240" s="17"/>
      <c r="O240" s="17"/>
      <c r="P240" s="17"/>
      <c r="Q240" s="17"/>
      <c r="R240" s="17"/>
      <c r="S240" s="17"/>
      <c r="T240" s="17" t="str">
        <f>IFERROR(__xludf.DUMMYFUNCTION("""COMPUTED_VALUE"""),"W 8353 UR")</f>
        <v>W 8353 UR</v>
      </c>
      <c r="U240" s="17" t="str">
        <f>IFERROR(__xludf.DUMMYFUNCTION("""COMPUTED_VALUE"""),"TLPG TJ PERAK")</f>
        <v>TLPG TJ PERAK</v>
      </c>
      <c r="V240" s="17" t="str">
        <f>IFERROR(__xludf.DUMMYFUNCTION("""COMPUTED_VALUE"""),"PT NAWA PELITA RAYA")</f>
        <v>PT NAWA PELITA RAYA</v>
      </c>
      <c r="W240" s="17">
        <f>IFERROR(__xludf.DUMMYFUNCTION("""COMPUTED_VALUE"""),23.7)</f>
        <v>23.7</v>
      </c>
      <c r="X240" s="17" t="str">
        <f>IFERROR(__xludf.DUMMYFUNCTION("""COMPUTED_VALUE"""),"DEKAT")</f>
        <v>DEKAT</v>
      </c>
      <c r="Y240" s="17">
        <f>IFERROR(__xludf.DUMMYFUNCTION("""COMPUTED_VALUE"""),1.0)</f>
        <v>1</v>
      </c>
      <c r="Z240" s="17">
        <f>IFERROR(__xludf.DUMMYFUNCTION("""COMPUTED_VALUE"""),12.0)</f>
        <v>12</v>
      </c>
      <c r="AB240" s="48" t="str">
        <f>IFERROR(__xludf.DUMMYFUNCTION("""COMPUTED_VALUE"""),"PT WIN MED INDONESIA")</f>
        <v>PT WIN MED INDONESIA</v>
      </c>
      <c r="AC240" s="48" t="str">
        <f>IFERROR(__xludf.DUMMYFUNCTION("""COMPUTED_VALUE"""),"W 8041 UW")</f>
        <v>W 8041 UW</v>
      </c>
      <c r="AD240" s="48" t="str">
        <f>IFERROR(__xludf.DUMMYFUNCTION("""COMPUTED_VALUE"""),"TLPG TJ PERAK")</f>
        <v>TLPG TJ PERAK</v>
      </c>
      <c r="AE240" s="17">
        <f>IFERROR(__xludf.DUMMYFUNCTION("""COMPUTED_VALUE"""),12.0)</f>
        <v>12</v>
      </c>
    </row>
    <row r="241">
      <c r="A241" s="12">
        <v>239.0</v>
      </c>
      <c r="B241" s="9" t="s">
        <v>291</v>
      </c>
      <c r="C241" s="9" t="s">
        <v>25</v>
      </c>
      <c r="D241" s="9" t="s">
        <v>452</v>
      </c>
      <c r="E241" s="49">
        <v>142.0</v>
      </c>
      <c r="F241" s="23" t="s">
        <v>454</v>
      </c>
      <c r="G241" s="9" t="str">
        <f>IFERROR(VLOOKUP(C241,'MASTER TLPG'!A:B,2,FALSE),"")</f>
        <v>-7.109201954744449, 112.62272164861744</v>
      </c>
      <c r="H241" s="9" t="str">
        <f>IFERROR(VLOOKUP(D241,'MASTER PERUSAHAAN'!A:B,2,FALSE),"")</f>
        <v>-7.995451006439848, 111.9362872174144</v>
      </c>
      <c r="J241" s="9" t="str">
        <f t="shared" si="1"/>
        <v>SEDANG</v>
      </c>
      <c r="K241" s="11">
        <f t="shared" si="2"/>
        <v>2</v>
      </c>
      <c r="M241" s="17">
        <v>9.0</v>
      </c>
      <c r="N241" s="17"/>
      <c r="O241" s="17"/>
      <c r="P241" s="17"/>
      <c r="Q241" s="17"/>
      <c r="R241" s="17"/>
      <c r="S241" s="17"/>
      <c r="T241" s="17" t="str">
        <f>IFERROR(__xludf.DUMMYFUNCTION("""COMPUTED_VALUE"""),"DK 8139 TS")</f>
        <v>DK 8139 TS</v>
      </c>
      <c r="U241" s="17" t="str">
        <f>IFERROR(__xludf.DUMMYFUNCTION("""COMPUTED_VALUE"""),"TLPG MANGGIS")</f>
        <v>TLPG MANGGIS</v>
      </c>
      <c r="V241" s="17" t="str">
        <f>IFERROR(__xludf.DUMMYFUNCTION("""COMPUTED_VALUE"""),"SPPBE-PT. Gasari Mas Timur")</f>
        <v>SPPBE-PT. Gasari Mas Timur</v>
      </c>
      <c r="W241" s="17">
        <f>IFERROR(__xludf.DUMMYFUNCTION("""COMPUTED_VALUE"""),22.5)</f>
        <v>22.5</v>
      </c>
      <c r="X241" s="17" t="str">
        <f>IFERROR(__xludf.DUMMYFUNCTION("""COMPUTED_VALUE"""),"DEKAT")</f>
        <v>DEKAT</v>
      </c>
      <c r="Y241" s="17">
        <f>IFERROR(__xludf.DUMMYFUNCTION("""COMPUTED_VALUE"""),1.0)</f>
        <v>1</v>
      </c>
      <c r="Z241" s="17">
        <f>IFERROR(__xludf.DUMMYFUNCTION("""COMPUTED_VALUE"""),3.0)</f>
        <v>3</v>
      </c>
      <c r="AB241" s="48" t="str">
        <f>IFERROR(__xludf.DUMMYFUNCTION("""COMPUTED_VALUE"""),"PT ZATALINI CIPTA PERSADA")</f>
        <v>PT ZATALINI CIPTA PERSADA</v>
      </c>
      <c r="AC241" s="48" t="str">
        <f>IFERROR(__xludf.DUMMYFUNCTION("""COMPUTED_VALUE"""),"N 8756 UB")</f>
        <v>N 8756 UB</v>
      </c>
      <c r="AD241" s="48" t="str">
        <f>IFERROR(__xludf.DUMMYFUNCTION("""COMPUTED_VALUE"""),"TLPG TJ PERAK")</f>
        <v>TLPG TJ PERAK</v>
      </c>
      <c r="AE241" s="17">
        <f>IFERROR(__xludf.DUMMYFUNCTION("""COMPUTED_VALUE"""),11.0)</f>
        <v>11</v>
      </c>
    </row>
    <row r="242">
      <c r="A242" s="12">
        <v>240.0</v>
      </c>
      <c r="B242" s="9" t="s">
        <v>292</v>
      </c>
      <c r="C242" s="9" t="s">
        <v>7</v>
      </c>
      <c r="D242" s="9" t="s">
        <v>257</v>
      </c>
      <c r="E242" s="49">
        <v>131.7</v>
      </c>
      <c r="F242" s="23" t="s">
        <v>454</v>
      </c>
      <c r="G242" s="9" t="str">
        <f>IFERROR(VLOOKUP(C242,'MASTER TLPG'!A:B,2,FALSE),"")</f>
        <v>-7.203807110524606, 112.71950675497641</v>
      </c>
      <c r="H242" s="9" t="str">
        <f>IFERROR(VLOOKUP(D242,'MASTER PERUSAHAAN'!A:B,2,FALSE),"")</f>
        <v>-7.7932455650343995, 113.32764344583418</v>
      </c>
      <c r="J242" s="9" t="str">
        <f t="shared" si="1"/>
        <v>SEDANG</v>
      </c>
      <c r="K242" s="11">
        <f t="shared" si="2"/>
        <v>2</v>
      </c>
      <c r="M242" s="17">
        <v>9.0</v>
      </c>
      <c r="N242" s="17"/>
      <c r="O242" s="17"/>
      <c r="P242" s="17"/>
      <c r="Q242" s="17"/>
      <c r="R242" s="17"/>
      <c r="S242" s="17"/>
      <c r="T242" s="17" t="str">
        <f>IFERROR(__xludf.DUMMYFUNCTION("""COMPUTED_VALUE"""),"DK 8148 TS")</f>
        <v>DK 8148 TS</v>
      </c>
      <c r="U242" s="17" t="str">
        <f>IFERROR(__xludf.DUMMYFUNCTION("""COMPUTED_VALUE"""),"TLPG MANGGIS")</f>
        <v>TLPG MANGGIS</v>
      </c>
      <c r="V242" s="17" t="str">
        <f>IFERROR(__xludf.DUMMYFUNCTION("""COMPUTED_VALUE"""),"SPPBE-PT. Gasari Mas Timur")</f>
        <v>SPPBE-PT. Gasari Mas Timur</v>
      </c>
      <c r="W242" s="17">
        <f>IFERROR(__xludf.DUMMYFUNCTION("""COMPUTED_VALUE"""),22.5)</f>
        <v>22.5</v>
      </c>
      <c r="X242" s="17" t="str">
        <f>IFERROR(__xludf.DUMMYFUNCTION("""COMPUTED_VALUE"""),"DEKAT")</f>
        <v>DEKAT</v>
      </c>
      <c r="Y242" s="17">
        <f>IFERROR(__xludf.DUMMYFUNCTION("""COMPUTED_VALUE"""),1.0)</f>
        <v>1</v>
      </c>
      <c r="Z242" s="17">
        <f>IFERROR(__xludf.DUMMYFUNCTION("""COMPUTED_VALUE"""),4.0)</f>
        <v>4</v>
      </c>
      <c r="AB242" s="48" t="str">
        <f>IFERROR(__xludf.DUMMYFUNCTION("""COMPUTED_VALUE"""),"PT ZATALINI CIPTA PERSADA")</f>
        <v>PT ZATALINI CIPTA PERSADA</v>
      </c>
      <c r="AC242" s="48" t="str">
        <f>IFERROR(__xludf.DUMMYFUNCTION("""COMPUTED_VALUE"""),"N 8757 UB")</f>
        <v>N 8757 UB</v>
      </c>
      <c r="AD242" s="48" t="str">
        <f>IFERROR(__xludf.DUMMYFUNCTION("""COMPUTED_VALUE"""),"TLPG TJ PERAK")</f>
        <v>TLPG TJ PERAK</v>
      </c>
      <c r="AE242" s="17">
        <f>IFERROR(__xludf.DUMMYFUNCTION("""COMPUTED_VALUE"""),11.0)</f>
        <v>11</v>
      </c>
    </row>
    <row r="243">
      <c r="A243" s="12">
        <v>241.0</v>
      </c>
      <c r="B243" s="9" t="s">
        <v>293</v>
      </c>
      <c r="C243" s="9" t="s">
        <v>7</v>
      </c>
      <c r="D243" s="9" t="s">
        <v>419</v>
      </c>
      <c r="E243" s="49">
        <v>61.2</v>
      </c>
      <c r="F243" s="23" t="s">
        <v>454</v>
      </c>
      <c r="G243" s="9" t="str">
        <f>IFERROR(VLOOKUP(C243,'MASTER TLPG'!A:B,2,FALSE),"")</f>
        <v>-7.203807110524606, 112.71950675497641</v>
      </c>
      <c r="H243" s="9" t="str">
        <f>IFERROR(VLOOKUP(D243,'MASTER PERUSAHAAN'!A:B,2,FALSE),"")</f>
        <v>-7.557746950321399, 112.55761371619027</v>
      </c>
      <c r="J243" s="9" t="str">
        <f t="shared" si="1"/>
        <v>SEDANG</v>
      </c>
      <c r="K243" s="11">
        <f t="shared" si="2"/>
        <v>2</v>
      </c>
      <c r="M243" s="17">
        <v>9.0</v>
      </c>
      <c r="N243" s="17"/>
      <c r="O243" s="17"/>
      <c r="P243" s="17"/>
      <c r="Q243" s="17"/>
      <c r="R243" s="17"/>
      <c r="S243" s="17"/>
      <c r="T243" s="17" t="str">
        <f>IFERROR(__xludf.DUMMYFUNCTION("""COMPUTED_VALUE"""),"DR 8761 DC")</f>
        <v>DR 8761 DC</v>
      </c>
      <c r="U243" s="17" t="str">
        <f>IFERROR(__xludf.DUMMYFUNCTION("""COMPUTED_VALUE"""),"TLPG LOMBOK")</f>
        <v>TLPG LOMBOK</v>
      </c>
      <c r="V243" s="17" t="str">
        <f>IFERROR(__xludf.DUMMYFUNCTION("""COMPUTED_VALUE"""),"SPPBE-PT. Om Agus")</f>
        <v>SPPBE-PT. Om Agus</v>
      </c>
      <c r="W243" s="17">
        <f>IFERROR(__xludf.DUMMYFUNCTION("""COMPUTED_VALUE"""),18.7)</f>
        <v>18.7</v>
      </c>
      <c r="X243" s="17" t="str">
        <f>IFERROR(__xludf.DUMMYFUNCTION("""COMPUTED_VALUE"""),"DEKAT")</f>
        <v>DEKAT</v>
      </c>
      <c r="Y243" s="17">
        <f>IFERROR(__xludf.DUMMYFUNCTION("""COMPUTED_VALUE"""),1.0)</f>
        <v>1</v>
      </c>
      <c r="Z243" s="17">
        <f>IFERROR(__xludf.DUMMYFUNCTION("""COMPUTED_VALUE"""),1.0)</f>
        <v>1</v>
      </c>
      <c r="AB243" s="48" t="str">
        <f>IFERROR(__xludf.DUMMYFUNCTION("""COMPUTED_VALUE"""),"PT. Ayu Sari Pertiwi")</f>
        <v>PT. Ayu Sari Pertiwi</v>
      </c>
      <c r="AC243" s="48" t="str">
        <f>IFERROR(__xludf.DUMMYFUNCTION("""COMPUTED_VALUE"""),"DK 8170 UB")</f>
        <v>DK 8170 UB</v>
      </c>
      <c r="AD243" s="48" t="str">
        <f>IFERROR(__xludf.DUMMYFUNCTION("""COMPUTED_VALUE"""),"TLPG MANGGIS")</f>
        <v>TLPG MANGGIS</v>
      </c>
      <c r="AE243" s="17">
        <f>IFERROR(__xludf.DUMMYFUNCTION("""COMPUTED_VALUE"""),4.0)</f>
        <v>4</v>
      </c>
    </row>
    <row r="244">
      <c r="A244" s="12">
        <v>242.0</v>
      </c>
      <c r="B244" s="9" t="s">
        <v>294</v>
      </c>
      <c r="C244" s="9" t="s">
        <v>7</v>
      </c>
      <c r="D244" s="9" t="s">
        <v>465</v>
      </c>
      <c r="E244" s="49">
        <v>123.4</v>
      </c>
      <c r="F244" s="23" t="s">
        <v>454</v>
      </c>
      <c r="G244" s="9" t="str">
        <f>IFERROR(VLOOKUP(C244,'MASTER TLPG'!A:B,2,FALSE),"")</f>
        <v>-7.203807110524606, 112.71950675497641</v>
      </c>
      <c r="H244" s="9" t="str">
        <f>IFERROR(VLOOKUP(D244,'MASTER PERUSAHAAN'!A:B,2,FALSE),"")</f>
        <v>-8.115406105428027, 112.55792935152363</v>
      </c>
      <c r="J244" s="9" t="str">
        <f t="shared" si="1"/>
        <v>SEDANG</v>
      </c>
      <c r="K244" s="11">
        <f t="shared" si="2"/>
        <v>2</v>
      </c>
      <c r="M244" s="17">
        <v>9.0</v>
      </c>
      <c r="N244" s="17"/>
      <c r="O244" s="17"/>
      <c r="P244" s="17"/>
      <c r="Q244" s="17"/>
      <c r="R244" s="17"/>
      <c r="S244" s="17"/>
      <c r="T244" s="17" t="str">
        <f>IFERROR(__xludf.DUMMYFUNCTION("""COMPUTED_VALUE"""),"DR 8772 DC")</f>
        <v>DR 8772 DC</v>
      </c>
      <c r="U244" s="17" t="str">
        <f>IFERROR(__xludf.DUMMYFUNCTION("""COMPUTED_VALUE"""),"TLPG LOMBOK")</f>
        <v>TLPG LOMBOK</v>
      </c>
      <c r="V244" s="17" t="str">
        <f>IFERROR(__xludf.DUMMYFUNCTION("""COMPUTED_VALUE"""),"PT OM AGUS")</f>
        <v>PT OM AGUS</v>
      </c>
      <c r="W244" s="17">
        <f>IFERROR(__xludf.DUMMYFUNCTION("""COMPUTED_VALUE"""),18.7)</f>
        <v>18.7</v>
      </c>
      <c r="X244" s="17" t="str">
        <f>IFERROR(__xludf.DUMMYFUNCTION("""COMPUTED_VALUE"""),"DEKAT")</f>
        <v>DEKAT</v>
      </c>
      <c r="Y244" s="17">
        <f>IFERROR(__xludf.DUMMYFUNCTION("""COMPUTED_VALUE"""),1.0)</f>
        <v>1</v>
      </c>
      <c r="Z244" s="17">
        <f>IFERROR(__xludf.DUMMYFUNCTION("""COMPUTED_VALUE"""),4.0)</f>
        <v>4</v>
      </c>
      <c r="AB244" s="48" t="str">
        <f>IFERROR(__xludf.DUMMYFUNCTION("""COMPUTED_VALUE"""),"PT. Ayu Sari Pertiwi")</f>
        <v>PT. Ayu Sari Pertiwi</v>
      </c>
      <c r="AC244" s="48" t="str">
        <f>IFERROR(__xludf.DUMMYFUNCTION("""COMPUTED_VALUE"""),"DK 8640 VM")</f>
        <v>DK 8640 VM</v>
      </c>
      <c r="AD244" s="48" t="str">
        <f>IFERROR(__xludf.DUMMYFUNCTION("""COMPUTED_VALUE"""),"TLPG MANGGIS")</f>
        <v>TLPG MANGGIS</v>
      </c>
      <c r="AE244" s="17">
        <f>IFERROR(__xludf.DUMMYFUNCTION("""COMPUTED_VALUE"""),11.0)</f>
        <v>11</v>
      </c>
    </row>
    <row r="245">
      <c r="A245" s="12">
        <v>243.0</v>
      </c>
      <c r="B245" s="9" t="s">
        <v>295</v>
      </c>
      <c r="C245" s="9" t="s">
        <v>7</v>
      </c>
      <c r="D245" s="9" t="s">
        <v>450</v>
      </c>
      <c r="E245" s="49">
        <v>112.3</v>
      </c>
      <c r="F245" s="23" t="s">
        <v>454</v>
      </c>
      <c r="G245" s="9" t="str">
        <f>IFERROR(VLOOKUP(C245,'MASTER TLPG'!A:B,2,FALSE),"")</f>
        <v>-7.203807110524606, 112.71950675497641</v>
      </c>
      <c r="H245" s="9" t="str">
        <f>IFERROR(VLOOKUP(D245,'MASTER PERUSAHAAN'!A:B,2,FALSE),"")</f>
        <v>-8.03906528133318, 112.61029678275024</v>
      </c>
      <c r="J245" s="9" t="str">
        <f t="shared" si="1"/>
        <v>SEDANG</v>
      </c>
      <c r="K245" s="11">
        <f t="shared" si="2"/>
        <v>2</v>
      </c>
      <c r="M245" s="17">
        <v>9.0</v>
      </c>
      <c r="N245" s="17"/>
      <c r="O245" s="17"/>
      <c r="P245" s="17"/>
      <c r="Q245" s="17"/>
      <c r="R245" s="17"/>
      <c r="S245" s="17"/>
      <c r="T245" s="17" t="str">
        <f>IFERROR(__xludf.DUMMYFUNCTION("""COMPUTED_VALUE"""),"L 8035 BL")</f>
        <v>L 8035 BL</v>
      </c>
      <c r="U245" s="17" t="str">
        <f>IFERROR(__xludf.DUMMYFUNCTION("""COMPUTED_VALUE"""),"TLPG TJ PERAK")</f>
        <v>TLPG TJ PERAK</v>
      </c>
      <c r="V245" s="17" t="str">
        <f>IFERROR(__xludf.DUMMYFUNCTION("""COMPUTED_VALUE"""),"PT CAHAYA ANUGERAH GASINDO")</f>
        <v>PT CAHAYA ANUGERAH GASINDO</v>
      </c>
      <c r="W245" s="17">
        <f>IFERROR(__xludf.DUMMYFUNCTION("""COMPUTED_VALUE"""),18.0)</f>
        <v>18</v>
      </c>
      <c r="X245" s="17" t="str">
        <f>IFERROR(__xludf.DUMMYFUNCTION("""COMPUTED_VALUE"""),"DEKAT")</f>
        <v>DEKAT</v>
      </c>
      <c r="Y245" s="17">
        <f>IFERROR(__xludf.DUMMYFUNCTION("""COMPUTED_VALUE"""),1.0)</f>
        <v>1</v>
      </c>
      <c r="Z245" s="17">
        <f>IFERROR(__xludf.DUMMYFUNCTION("""COMPUTED_VALUE"""),5.0)</f>
        <v>5</v>
      </c>
      <c r="AB245" s="48" t="str">
        <f>IFERROR(__xludf.DUMMYFUNCTION("""COMPUTED_VALUE"""),"PT. BIMA OIL INTERNUSA")</f>
        <v>PT. BIMA OIL INTERNUSA</v>
      </c>
      <c r="AC245" s="48" t="str">
        <f>IFERROR(__xludf.DUMMYFUNCTION("""COMPUTED_VALUE"""),"EA 8670 SC")</f>
        <v>EA 8670 SC</v>
      </c>
      <c r="AD245" s="48" t="str">
        <f>IFERROR(__xludf.DUMMYFUNCTION("""COMPUTED_VALUE"""),"TLPG BIMA")</f>
        <v>TLPG BIMA</v>
      </c>
      <c r="AE245" s="17">
        <f>IFERROR(__xludf.DUMMYFUNCTION("""COMPUTED_VALUE"""),11.0)</f>
        <v>11</v>
      </c>
    </row>
    <row r="246">
      <c r="A246" s="12">
        <v>244.0</v>
      </c>
      <c r="B246" s="9" t="s">
        <v>296</v>
      </c>
      <c r="C246" s="9" t="s">
        <v>25</v>
      </c>
      <c r="D246" s="9" t="s">
        <v>452</v>
      </c>
      <c r="E246" s="49">
        <v>142.0</v>
      </c>
      <c r="F246" s="23" t="s">
        <v>454</v>
      </c>
      <c r="G246" s="9" t="str">
        <f>IFERROR(VLOOKUP(C246,'MASTER TLPG'!A:B,2,FALSE),"")</f>
        <v>-7.109201954744449, 112.62272164861744</v>
      </c>
      <c r="H246" s="9" t="str">
        <f>IFERROR(VLOOKUP(D246,'MASTER PERUSAHAAN'!A:B,2,FALSE),"")</f>
        <v>-7.995451006439848, 111.9362872174144</v>
      </c>
      <c r="J246" s="9" t="str">
        <f t="shared" si="1"/>
        <v>SEDANG</v>
      </c>
      <c r="K246" s="11">
        <f t="shared" si="2"/>
        <v>2</v>
      </c>
      <c r="M246" s="17">
        <v>9.0</v>
      </c>
      <c r="N246" s="17"/>
      <c r="O246" s="17"/>
      <c r="P246" s="17"/>
      <c r="Q246" s="17"/>
      <c r="R246" s="17"/>
      <c r="S246" s="17"/>
      <c r="T246" s="17" t="str">
        <f>IFERROR(__xludf.DUMMYFUNCTION("""COMPUTED_VALUE"""),"B 9914 PEI")</f>
        <v>B 9914 PEI</v>
      </c>
      <c r="U246" s="17" t="str">
        <f>IFERROR(__xludf.DUMMYFUNCTION("""COMPUTED_VALUE"""),"TLPG MANGGIS")</f>
        <v>TLPG MANGGIS</v>
      </c>
      <c r="V246" s="17" t="str">
        <f>IFERROR(__xludf.DUMMYFUNCTION("""COMPUTED_VALUE"""),"SPPBE-PT. Pancadarma Puspawira Putra")</f>
        <v>SPPBE-PT. Pancadarma Puspawira Putra</v>
      </c>
      <c r="W246" s="17">
        <f>IFERROR(__xludf.DUMMYFUNCTION("""COMPUTED_VALUE"""),17.2)</f>
        <v>17.2</v>
      </c>
      <c r="X246" s="17" t="str">
        <f>IFERROR(__xludf.DUMMYFUNCTION("""COMPUTED_VALUE"""),"DEKAT")</f>
        <v>DEKAT</v>
      </c>
      <c r="Y246" s="17">
        <f>IFERROR(__xludf.DUMMYFUNCTION("""COMPUTED_VALUE"""),1.0)</f>
        <v>1</v>
      </c>
      <c r="Z246" s="17">
        <f>IFERROR(__xludf.DUMMYFUNCTION("""COMPUTED_VALUE"""),1.0)</f>
        <v>1</v>
      </c>
      <c r="AB246" s="48" t="str">
        <f>IFERROR(__xludf.DUMMYFUNCTION("""COMPUTED_VALUE"""),"PT. BIMA OIL INTERNUSA")</f>
        <v>PT. BIMA OIL INTERNUSA</v>
      </c>
      <c r="AC246" s="48" t="str">
        <f>IFERROR(__xludf.DUMMYFUNCTION("""COMPUTED_VALUE"""),"EA 8671 SC")</f>
        <v>EA 8671 SC</v>
      </c>
      <c r="AD246" s="48" t="str">
        <f>IFERROR(__xludf.DUMMYFUNCTION("""COMPUTED_VALUE"""),"TLPG BIMA")</f>
        <v>TLPG BIMA</v>
      </c>
      <c r="AE246" s="17">
        <f>IFERROR(__xludf.DUMMYFUNCTION("""COMPUTED_VALUE"""),12.0)</f>
        <v>12</v>
      </c>
    </row>
    <row r="247">
      <c r="A247" s="12">
        <v>245.0</v>
      </c>
      <c r="B247" s="9" t="s">
        <v>297</v>
      </c>
      <c r="C247" s="9" t="s">
        <v>25</v>
      </c>
      <c r="D247" s="9" t="s">
        <v>452</v>
      </c>
      <c r="E247" s="49">
        <v>142.0</v>
      </c>
      <c r="F247" s="23" t="s">
        <v>454</v>
      </c>
      <c r="G247" s="9" t="str">
        <f>IFERROR(VLOOKUP(C247,'MASTER TLPG'!A:B,2,FALSE),"")</f>
        <v>-7.109201954744449, 112.62272164861744</v>
      </c>
      <c r="H247" s="9" t="str">
        <f>IFERROR(VLOOKUP(D247,'MASTER PERUSAHAAN'!A:B,2,FALSE),"")</f>
        <v>-7.995451006439848, 111.9362872174144</v>
      </c>
      <c r="J247" s="9" t="str">
        <f t="shared" si="1"/>
        <v>SEDANG</v>
      </c>
      <c r="K247" s="11">
        <f t="shared" si="2"/>
        <v>2</v>
      </c>
      <c r="M247" s="17">
        <v>9.0</v>
      </c>
      <c r="N247" s="17"/>
      <c r="O247" s="17"/>
      <c r="P247" s="17"/>
      <c r="Q247" s="17"/>
      <c r="R247" s="17"/>
      <c r="S247" s="17"/>
      <c r="T247" s="17" t="str">
        <f>IFERROR(__xludf.DUMMYFUNCTION("""COMPUTED_VALUE"""),"DK 8141 JM")</f>
        <v>DK 8141 JM</v>
      </c>
      <c r="U247" s="17" t="str">
        <f>IFERROR(__xludf.DUMMYFUNCTION("""COMPUTED_VALUE"""),"TLPG MANGGIS")</f>
        <v>TLPG MANGGIS</v>
      </c>
      <c r="V247" s="17" t="str">
        <f>IFERROR(__xludf.DUMMYFUNCTION("""COMPUTED_VALUE"""),"SPPBE-PT. Pancadarma Puspawira Putra")</f>
        <v>SPPBE-PT. Pancadarma Puspawira Putra</v>
      </c>
      <c r="W247" s="17">
        <f>IFERROR(__xludf.DUMMYFUNCTION("""COMPUTED_VALUE"""),17.2)</f>
        <v>17.2</v>
      </c>
      <c r="X247" s="17" t="str">
        <f>IFERROR(__xludf.DUMMYFUNCTION("""COMPUTED_VALUE"""),"DEKAT")</f>
        <v>DEKAT</v>
      </c>
      <c r="Y247" s="17">
        <f>IFERROR(__xludf.DUMMYFUNCTION("""COMPUTED_VALUE"""),1.0)</f>
        <v>1</v>
      </c>
      <c r="Z247" s="17">
        <f>IFERROR(__xludf.DUMMYFUNCTION("""COMPUTED_VALUE"""),3.0)</f>
        <v>3</v>
      </c>
      <c r="AB247" s="48" t="str">
        <f>IFERROR(__xludf.DUMMYFUNCTION("""COMPUTED_VALUE"""),"PT. Gaya Investama")</f>
        <v>PT. Gaya Investama</v>
      </c>
      <c r="AC247" s="48" t="str">
        <f>IFERROR(__xludf.DUMMYFUNCTION("""COMPUTED_VALUE"""),"DK 8902 UW")</f>
        <v>DK 8902 UW</v>
      </c>
      <c r="AD247" s="48" t="str">
        <f>IFERROR(__xludf.DUMMYFUNCTION("""COMPUTED_VALUE"""),"TLPG MANGGIS")</f>
        <v>TLPG MANGGIS</v>
      </c>
      <c r="AE247" s="17">
        <f>IFERROR(__xludf.DUMMYFUNCTION("""COMPUTED_VALUE"""),8.0)</f>
        <v>8</v>
      </c>
    </row>
    <row r="248">
      <c r="A248" s="12">
        <v>246.0</v>
      </c>
      <c r="B248" s="9" t="s">
        <v>298</v>
      </c>
      <c r="C248" s="9" t="s">
        <v>28</v>
      </c>
      <c r="D248" s="9" t="s">
        <v>474</v>
      </c>
      <c r="E248" s="49">
        <v>125.4</v>
      </c>
      <c r="F248" s="23" t="s">
        <v>454</v>
      </c>
      <c r="G248" s="9" t="str">
        <f>IFERROR(VLOOKUP(C248,'MASTER TLPG'!A:B,2,FALSE),"")</f>
        <v>-8.16862812274526, 114.38753900822569</v>
      </c>
      <c r="H248" s="9" t="str">
        <f>IFERROR(VLOOKUP(D248,'MASTER PERUSAHAAN'!A:B,2,FALSE),"")</f>
        <v>-8.235535972259855, 113.5747650547083</v>
      </c>
      <c r="J248" s="9" t="str">
        <f t="shared" si="1"/>
        <v>SEDANG</v>
      </c>
      <c r="K248" s="11">
        <f t="shared" si="2"/>
        <v>2</v>
      </c>
      <c r="M248" s="17">
        <v>9.0</v>
      </c>
      <c r="N248" s="17"/>
      <c r="O248" s="17"/>
      <c r="P248" s="17"/>
      <c r="Q248" s="17"/>
      <c r="R248" s="17"/>
      <c r="S248" s="17"/>
      <c r="T248" s="17" t="str">
        <f>IFERROR(__xludf.DUMMYFUNCTION("""COMPUTED_VALUE"""),"L 8121 UUA")</f>
        <v>L 8121 UUA</v>
      </c>
      <c r="U248" s="17" t="str">
        <f>IFERROR(__xludf.DUMMYFUNCTION("""COMPUTED_VALUE"""),"TLPG MEM GRESIK")</f>
        <v>TLPG MEM GRESIK</v>
      </c>
      <c r="V248" s="17" t="str">
        <f>IFERROR(__xludf.DUMMYFUNCTION("""COMPUTED_VALUE"""),"PT UNIVERSAL ENERGY PRATAMA")</f>
        <v>PT UNIVERSAL ENERGY PRATAMA</v>
      </c>
      <c r="W248" s="17">
        <f>IFERROR(__xludf.DUMMYFUNCTION("""COMPUTED_VALUE"""),17.0)</f>
        <v>17</v>
      </c>
      <c r="X248" s="17" t="str">
        <f>IFERROR(__xludf.DUMMYFUNCTION("""COMPUTED_VALUE"""),"DEKAT")</f>
        <v>DEKAT</v>
      </c>
      <c r="Y248" s="17">
        <f>IFERROR(__xludf.DUMMYFUNCTION("""COMPUTED_VALUE"""),1.0)</f>
        <v>1</v>
      </c>
      <c r="Z248" s="17">
        <f>IFERROR(__xludf.DUMMYFUNCTION("""COMPUTED_VALUE"""),6.0)</f>
        <v>6</v>
      </c>
      <c r="AB248" s="48" t="str">
        <f>IFERROR(__xludf.DUMMYFUNCTION("""COMPUTED_VALUE"""),"PT. SUMBAWA DUTA ENERGI")</f>
        <v>PT. SUMBAWA DUTA ENERGI</v>
      </c>
      <c r="AC248" s="48" t="str">
        <f>IFERROR(__xludf.DUMMYFUNCTION("""COMPUTED_VALUE"""),"W 8057 UD")</f>
        <v>W 8057 UD</v>
      </c>
      <c r="AD248" s="48" t="str">
        <f>IFERROR(__xludf.DUMMYFUNCTION("""COMPUTED_VALUE"""),"TLPG BIMA")</f>
        <v>TLPG BIMA</v>
      </c>
      <c r="AE248" s="17">
        <f>IFERROR(__xludf.DUMMYFUNCTION("""COMPUTED_VALUE"""),12.0)</f>
        <v>12</v>
      </c>
    </row>
    <row r="249">
      <c r="A249" s="12">
        <v>247.0</v>
      </c>
      <c r="B249" s="9" t="s">
        <v>300</v>
      </c>
      <c r="C249" s="9" t="s">
        <v>28</v>
      </c>
      <c r="D249" s="9" t="s">
        <v>444</v>
      </c>
      <c r="E249" s="49">
        <v>130.1</v>
      </c>
      <c r="F249" s="23" t="s">
        <v>454</v>
      </c>
      <c r="G249" s="9" t="str">
        <f>IFERROR(VLOOKUP(C249,'MASTER TLPG'!A:B,2,FALSE),"")</f>
        <v>-8.16862812274526, 114.38753900822569</v>
      </c>
      <c r="H249" s="9" t="str">
        <f>IFERROR(VLOOKUP(D249,'MASTER PERUSAHAAN'!A:B,2,FALSE),"")</f>
        <v>-7.971926214579004, 113.79943786838119</v>
      </c>
      <c r="J249" s="9" t="str">
        <f t="shared" si="1"/>
        <v>SEDANG</v>
      </c>
      <c r="K249" s="11">
        <f t="shared" si="2"/>
        <v>2</v>
      </c>
      <c r="M249" s="17">
        <v>9.0</v>
      </c>
      <c r="N249" s="17"/>
      <c r="O249" s="17"/>
      <c r="P249" s="17"/>
      <c r="Q249" s="17"/>
      <c r="R249" s="17"/>
      <c r="S249" s="17"/>
      <c r="T249" s="17" t="str">
        <f>IFERROR(__xludf.DUMMYFUNCTION("""COMPUTED_VALUE"""),"L 8303 UDD")</f>
        <v>L 8303 UDD</v>
      </c>
      <c r="U249" s="17" t="str">
        <f>IFERROR(__xludf.DUMMYFUNCTION("""COMPUTED_VALUE"""),"TLPG MEM GRESIK")</f>
        <v>TLPG MEM GRESIK</v>
      </c>
      <c r="V249" s="17" t="str">
        <f>IFERROR(__xludf.DUMMYFUNCTION("""COMPUTED_VALUE"""),"PT BAKTI NUSA PERDANA")</f>
        <v>PT BAKTI NUSA PERDANA</v>
      </c>
      <c r="W249" s="17">
        <f>IFERROR(__xludf.DUMMYFUNCTION("""COMPUTED_VALUE"""),17.0)</f>
        <v>17</v>
      </c>
      <c r="X249" s="17" t="str">
        <f>IFERROR(__xludf.DUMMYFUNCTION("""COMPUTED_VALUE"""),"DEKAT")</f>
        <v>DEKAT</v>
      </c>
      <c r="Y249" s="17">
        <f>IFERROR(__xludf.DUMMYFUNCTION("""COMPUTED_VALUE"""),1.0)</f>
        <v>1</v>
      </c>
      <c r="Z249" s="17">
        <f>IFERROR(__xludf.DUMMYFUNCTION("""COMPUTED_VALUE"""),7.0)</f>
        <v>7</v>
      </c>
      <c r="AB249" s="48" t="str">
        <f>IFERROR(__xludf.DUMMYFUNCTION("""COMPUTED_VALUE"""),"PT. SUMBAWA DUTA ENERGY")</f>
        <v>PT. SUMBAWA DUTA ENERGY</v>
      </c>
      <c r="AC249" s="48" t="str">
        <f>IFERROR(__xludf.DUMMYFUNCTION("""COMPUTED_VALUE"""),"L 8116 UUC")</f>
        <v>L 8116 UUC</v>
      </c>
      <c r="AD249" s="48" t="str">
        <f>IFERROR(__xludf.DUMMYFUNCTION("""COMPUTED_VALUE"""),"TLPG BIMA")</f>
        <v>TLPG BIMA</v>
      </c>
      <c r="AE249" s="17">
        <f>IFERROR(__xludf.DUMMYFUNCTION("""COMPUTED_VALUE"""),1.0)</f>
        <v>1</v>
      </c>
    </row>
    <row r="250">
      <c r="A250" s="12">
        <v>248.0</v>
      </c>
      <c r="B250" s="9" t="s">
        <v>301</v>
      </c>
      <c r="C250" s="9" t="s">
        <v>7</v>
      </c>
      <c r="D250" s="9" t="s">
        <v>450</v>
      </c>
      <c r="E250" s="49">
        <v>112.3</v>
      </c>
      <c r="F250" s="23" t="s">
        <v>454</v>
      </c>
      <c r="G250" s="9" t="str">
        <f>IFERROR(VLOOKUP(C250,'MASTER TLPG'!A:B,2,FALSE),"")</f>
        <v>-7.203807110524606, 112.71950675497641</v>
      </c>
      <c r="H250" s="9" t="str">
        <f>IFERROR(VLOOKUP(D250,'MASTER PERUSAHAAN'!A:B,2,FALSE),"")</f>
        <v>-8.03906528133318, 112.61029678275024</v>
      </c>
      <c r="J250" s="9" t="str">
        <f t="shared" si="1"/>
        <v>SEDANG</v>
      </c>
      <c r="K250" s="11">
        <f t="shared" si="2"/>
        <v>2</v>
      </c>
      <c r="M250" s="17">
        <v>9.0</v>
      </c>
      <c r="N250" s="17"/>
      <c r="O250" s="17"/>
      <c r="P250" s="17"/>
      <c r="Q250" s="17"/>
      <c r="R250" s="17"/>
      <c r="S250" s="17"/>
      <c r="T250" s="17" t="str">
        <f>IFERROR(__xludf.DUMMYFUNCTION("""COMPUTED_VALUE"""),"L 9552 UW")</f>
        <v>L 9552 UW</v>
      </c>
      <c r="U250" s="17" t="str">
        <f>IFERROR(__xludf.DUMMYFUNCTION("""COMPUTED_VALUE"""),"TLPG MEM GRESIK")</f>
        <v>TLPG MEM GRESIK</v>
      </c>
      <c r="V250" s="17" t="str">
        <f>IFERROR(__xludf.DUMMYFUNCTION("""COMPUTED_VALUE"""),"PT UNIVERSAL ENERGY PRATAMA")</f>
        <v>PT UNIVERSAL ENERGY PRATAMA</v>
      </c>
      <c r="W250" s="17">
        <f>IFERROR(__xludf.DUMMYFUNCTION("""COMPUTED_VALUE"""),17.0)</f>
        <v>17</v>
      </c>
      <c r="X250" s="17" t="str">
        <f>IFERROR(__xludf.DUMMYFUNCTION("""COMPUTED_VALUE"""),"DEKAT")</f>
        <v>DEKAT</v>
      </c>
      <c r="Y250" s="17">
        <f>IFERROR(__xludf.DUMMYFUNCTION("""COMPUTED_VALUE"""),1.0)</f>
        <v>1</v>
      </c>
      <c r="Z250" s="17">
        <f>IFERROR(__xludf.DUMMYFUNCTION("""COMPUTED_VALUE"""),7.0)</f>
        <v>7</v>
      </c>
      <c r="AB250" s="48" t="str">
        <f>IFERROR(__xludf.DUMMYFUNCTION("""COMPUTED_VALUE"""),"SPPBE-PT. Anugrah Narwastu Raya")</f>
        <v>SPPBE-PT. Anugrah Narwastu Raya</v>
      </c>
      <c r="AC250" s="48" t="str">
        <f>IFERROR(__xludf.DUMMYFUNCTION("""COMPUTED_VALUE"""),"DR 8105 LJ")</f>
        <v>DR 8105 LJ</v>
      </c>
      <c r="AD250" s="48" t="str">
        <f>IFERROR(__xludf.DUMMYFUNCTION("""COMPUTED_VALUE"""),"TLPG LOMBOK")</f>
        <v>TLPG LOMBOK</v>
      </c>
      <c r="AE250" s="17">
        <f>IFERROR(__xludf.DUMMYFUNCTION("""COMPUTED_VALUE"""),4.0)</f>
        <v>4</v>
      </c>
    </row>
    <row r="251">
      <c r="A251" s="12">
        <v>249.0</v>
      </c>
      <c r="B251" s="9" t="s">
        <v>303</v>
      </c>
      <c r="C251" s="9" t="s">
        <v>7</v>
      </c>
      <c r="D251" s="9" t="s">
        <v>450</v>
      </c>
      <c r="E251" s="49">
        <v>112.3</v>
      </c>
      <c r="F251" s="23" t="s">
        <v>454</v>
      </c>
      <c r="G251" s="9" t="str">
        <f>IFERROR(VLOOKUP(C251,'MASTER TLPG'!A:B,2,FALSE),"")</f>
        <v>-7.203807110524606, 112.71950675497641</v>
      </c>
      <c r="H251" s="9" t="str">
        <f>IFERROR(VLOOKUP(D251,'MASTER PERUSAHAAN'!A:B,2,FALSE),"")</f>
        <v>-8.03906528133318, 112.61029678275024</v>
      </c>
      <c r="J251" s="9" t="str">
        <f t="shared" si="1"/>
        <v>SEDANG</v>
      </c>
      <c r="K251" s="11">
        <f t="shared" si="2"/>
        <v>2</v>
      </c>
      <c r="M251" s="17">
        <v>10.0</v>
      </c>
      <c r="N251" s="17"/>
      <c r="O251" s="17"/>
      <c r="P251" s="17"/>
      <c r="Q251" s="17"/>
      <c r="R251" s="17"/>
      <c r="S251" s="17"/>
      <c r="T251" s="17" t="str">
        <f>IFERROR(__xludf.DUMMYFUNCTION("""COMPUTED_VALUE"""),"L 8684 AG")</f>
        <v>L 8684 AG</v>
      </c>
      <c r="U251" s="17" t="str">
        <f>IFERROR(__xludf.DUMMYFUNCTION("""COMPUTED_VALUE"""),"TLPG TJ PERAK")</f>
        <v>TLPG TJ PERAK</v>
      </c>
      <c r="V251" s="17" t="str">
        <f>IFERROR(__xludf.DUMMYFUNCTION("""COMPUTED_VALUE"""),"PT ANDHIKA PUTRA TRIGAS LENTERA")</f>
        <v>PT ANDHIKA PUTRA TRIGAS LENTERA</v>
      </c>
      <c r="W251" s="17">
        <f>IFERROR(__xludf.DUMMYFUNCTION("""COMPUTED_VALUE"""),12.8)</f>
        <v>12.8</v>
      </c>
      <c r="X251" s="17" t="str">
        <f>IFERROR(__xludf.DUMMYFUNCTION("""COMPUTED_VALUE"""),"DEKAT")</f>
        <v>DEKAT</v>
      </c>
      <c r="Y251" s="17">
        <f>IFERROR(__xludf.DUMMYFUNCTION("""COMPUTED_VALUE"""),1.0)</f>
        <v>1</v>
      </c>
      <c r="Z251" s="17">
        <f>IFERROR(__xludf.DUMMYFUNCTION("""COMPUTED_VALUE"""),5.0)</f>
        <v>5</v>
      </c>
      <c r="AB251" s="48" t="str">
        <f>IFERROR(__xludf.DUMMYFUNCTION("""COMPUTED_VALUE"""),"SPPBE-PT. Anugrah Narwastu Raya")</f>
        <v>SPPBE-PT. Anugrah Narwastu Raya</v>
      </c>
      <c r="AC251" s="48" t="str">
        <f>IFERROR(__xludf.DUMMYFUNCTION("""COMPUTED_VALUE"""),"DR 8792 KC")</f>
        <v>DR 8792 KC</v>
      </c>
      <c r="AD251" s="48" t="str">
        <f>IFERROR(__xludf.DUMMYFUNCTION("""COMPUTED_VALUE"""),"TLPG LOMBOK")</f>
        <v>TLPG LOMBOK</v>
      </c>
      <c r="AE251" s="17">
        <f>IFERROR(__xludf.DUMMYFUNCTION("""COMPUTED_VALUE"""),10.0)</f>
        <v>10</v>
      </c>
    </row>
    <row r="252">
      <c r="A252" s="12">
        <v>250.0</v>
      </c>
      <c r="B252" s="9" t="s">
        <v>305</v>
      </c>
      <c r="C252" s="9" t="s">
        <v>25</v>
      </c>
      <c r="D252" s="9" t="s">
        <v>371</v>
      </c>
      <c r="E252" s="9"/>
      <c r="G252" s="9" t="str">
        <f>IFERROR(VLOOKUP(C252,'MASTER TLPG'!A:B,2,FALSE),"")</f>
        <v>-7.109201954744449, 112.62272164861744</v>
      </c>
      <c r="H252" s="9" t="str">
        <f>IFERROR(VLOOKUP(D252,'MASTER PERUSAHAAN'!A:B,2,FALSE),"")</f>
        <v/>
      </c>
      <c r="J252" s="9" t="str">
        <f t="shared" si="1"/>
        <v/>
      </c>
      <c r="K252" s="11" t="str">
        <f t="shared" si="2"/>
        <v/>
      </c>
      <c r="M252" s="17">
        <v>10.0</v>
      </c>
      <c r="N252" s="17"/>
      <c r="O252" s="17"/>
      <c r="P252" s="17"/>
      <c r="Q252" s="17"/>
      <c r="R252" s="17"/>
      <c r="S252" s="17"/>
      <c r="T252" s="17" t="str">
        <f>IFERROR(__xludf.DUMMYFUNCTION("""COMPUTED_VALUE"""),"L 9644 BB")</f>
        <v>L 9644 BB</v>
      </c>
      <c r="U252" s="17" t="str">
        <f>IFERROR(__xludf.DUMMYFUNCTION("""COMPUTED_VALUE"""),"TLPG TJ PERAK")</f>
        <v>TLPG TJ PERAK</v>
      </c>
      <c r="V252" s="17" t="str">
        <f>IFERROR(__xludf.DUMMYFUNCTION("""COMPUTED_VALUE"""),"PT ANDHIKA PUTRA TRIGAS LENTERA")</f>
        <v>PT ANDHIKA PUTRA TRIGAS LENTERA</v>
      </c>
      <c r="W252" s="17">
        <f>IFERROR(__xludf.DUMMYFUNCTION("""COMPUTED_VALUE"""),12.8)</f>
        <v>12.8</v>
      </c>
      <c r="X252" s="17" t="str">
        <f>IFERROR(__xludf.DUMMYFUNCTION("""COMPUTED_VALUE"""),"DEKAT")</f>
        <v>DEKAT</v>
      </c>
      <c r="Y252" s="17">
        <f>IFERROR(__xludf.DUMMYFUNCTION("""COMPUTED_VALUE"""),1.0)</f>
        <v>1</v>
      </c>
      <c r="Z252" s="17">
        <f>IFERROR(__xludf.DUMMYFUNCTION("""COMPUTED_VALUE"""),6.0)</f>
        <v>6</v>
      </c>
      <c r="AB252" s="48" t="str">
        <f>IFERROR(__xludf.DUMMYFUNCTION("""COMPUTED_VALUE"""),"SPPBE-PT. Ayu Sari Pertiwi")</f>
        <v>SPPBE-PT. Ayu Sari Pertiwi</v>
      </c>
      <c r="AC252" s="48" t="str">
        <f>IFERROR(__xludf.DUMMYFUNCTION("""COMPUTED_VALUE"""),"DK 8011 UK")</f>
        <v>DK 8011 UK</v>
      </c>
      <c r="AD252" s="48" t="str">
        <f>IFERROR(__xludf.DUMMYFUNCTION("""COMPUTED_VALUE"""),"TLPG MANGGIS")</f>
        <v>TLPG MANGGIS</v>
      </c>
      <c r="AE252" s="17">
        <f>IFERROR(__xludf.DUMMYFUNCTION("""COMPUTED_VALUE"""),1.0)</f>
        <v>1</v>
      </c>
    </row>
    <row r="253">
      <c r="A253" s="12">
        <v>251.0</v>
      </c>
      <c r="B253" s="9" t="s">
        <v>306</v>
      </c>
      <c r="C253" s="9" t="s">
        <v>25</v>
      </c>
      <c r="D253" s="9" t="s">
        <v>121</v>
      </c>
      <c r="E253" s="9"/>
      <c r="G253" s="9" t="str">
        <f>IFERROR(VLOOKUP(C253,'MASTER TLPG'!A:B,2,FALSE),"")</f>
        <v>-7.109201954744449, 112.62272164861744</v>
      </c>
      <c r="H253" s="9" t="str">
        <f>IFERROR(VLOOKUP(D253,'MASTER PERUSAHAAN'!A:B,2,FALSE),"")</f>
        <v/>
      </c>
      <c r="J253" s="9" t="str">
        <f t="shared" si="1"/>
        <v/>
      </c>
      <c r="K253" s="11" t="str">
        <f t="shared" si="2"/>
        <v/>
      </c>
      <c r="M253" s="17">
        <v>10.0</v>
      </c>
      <c r="N253" s="17"/>
      <c r="O253" s="17"/>
      <c r="P253" s="17"/>
      <c r="Q253" s="17"/>
      <c r="R253" s="17"/>
      <c r="S253" s="17"/>
      <c r="T253" s="17" t="str">
        <f>IFERROR(__xludf.DUMMYFUNCTION("""COMPUTED_VALUE"""),"L 8454 N")</f>
        <v>L 8454 N</v>
      </c>
      <c r="U253" s="17" t="str">
        <f>IFERROR(__xludf.DUMMYFUNCTION("""COMPUTED_VALUE"""),"TLPG TJ PERAK")</f>
        <v>TLPG TJ PERAK</v>
      </c>
      <c r="V253" s="17" t="str">
        <f>IFERROR(__xludf.DUMMYFUNCTION("""COMPUTED_VALUE"""),"PT ANDHIKA DIAN UTAMA")</f>
        <v>PT ANDHIKA DIAN UTAMA</v>
      </c>
      <c r="W253" s="17">
        <f>IFERROR(__xludf.DUMMYFUNCTION("""COMPUTED_VALUE"""),12.7)</f>
        <v>12.7</v>
      </c>
      <c r="X253" s="17" t="str">
        <f>IFERROR(__xludf.DUMMYFUNCTION("""COMPUTED_VALUE"""),"DEKAT")</f>
        <v>DEKAT</v>
      </c>
      <c r="Y253" s="17">
        <f>IFERROR(__xludf.DUMMYFUNCTION("""COMPUTED_VALUE"""),1.0)</f>
        <v>1</v>
      </c>
      <c r="Z253" s="17">
        <f>IFERROR(__xludf.DUMMYFUNCTION("""COMPUTED_VALUE"""),5.0)</f>
        <v>5</v>
      </c>
      <c r="AB253" s="48" t="str">
        <f>IFERROR(__xludf.DUMMYFUNCTION("""COMPUTED_VALUE"""),"SPPBE-PT. Ayu Sari Pertiwi")</f>
        <v>SPPBE-PT. Ayu Sari Pertiwi</v>
      </c>
      <c r="AC253" s="48" t="str">
        <f>IFERROR(__xludf.DUMMYFUNCTION("""COMPUTED_VALUE"""),"DK 8029 UK")</f>
        <v>DK 8029 UK</v>
      </c>
      <c r="AD253" s="48" t="str">
        <f>IFERROR(__xludf.DUMMYFUNCTION("""COMPUTED_VALUE"""),"TLPG MANGGIS")</f>
        <v>TLPG MANGGIS</v>
      </c>
      <c r="AE253" s="17">
        <f>IFERROR(__xludf.DUMMYFUNCTION("""COMPUTED_VALUE"""),2.0)</f>
        <v>2</v>
      </c>
    </row>
    <row r="254">
      <c r="A254" s="12">
        <v>252.0</v>
      </c>
      <c r="B254" s="9" t="s">
        <v>308</v>
      </c>
      <c r="C254" s="9" t="s">
        <v>32</v>
      </c>
      <c r="D254" s="9" t="s">
        <v>184</v>
      </c>
      <c r="E254" s="9"/>
      <c r="G254" s="9" t="str">
        <f>IFERROR(VLOOKUP(C254,'MASTER TLPG'!A:B,2,FALSE),"")</f>
        <v>-8.509457097470957, 115.50344705076587</v>
      </c>
      <c r="H254" s="9" t="str">
        <f>IFERROR(VLOOKUP(D254,'MASTER PERUSAHAAN'!A:B,2,FALSE),"")</f>
        <v/>
      </c>
      <c r="J254" s="9" t="str">
        <f t="shared" si="1"/>
        <v/>
      </c>
      <c r="K254" s="11" t="str">
        <f t="shared" si="2"/>
        <v/>
      </c>
      <c r="M254" s="17">
        <v>10.0</v>
      </c>
      <c r="N254" s="17"/>
      <c r="O254" s="17"/>
      <c r="P254" s="17"/>
      <c r="Q254" s="17"/>
      <c r="R254" s="17"/>
      <c r="S254" s="17"/>
      <c r="T254" s="17" t="str">
        <f>IFERROR(__xludf.DUMMYFUNCTION("""COMPUTED_VALUE"""),"L 8013 UX")</f>
        <v>L 8013 UX</v>
      </c>
      <c r="U254" s="17" t="str">
        <f>IFERROR(__xludf.DUMMYFUNCTION("""COMPUTED_VALUE"""),"TLPG MEM GRESIK")</f>
        <v>TLPG MEM GRESIK</v>
      </c>
      <c r="V254" s="17" t="str">
        <f>IFERROR(__xludf.DUMMYFUNCTION("""COMPUTED_VALUE"""),"PT PERMATA ENERGI BUMI INDONESIA")</f>
        <v>PT PERMATA ENERGI BUMI INDONESIA</v>
      </c>
      <c r="W254" s="17">
        <f>IFERROR(__xludf.DUMMYFUNCTION("""COMPUTED_VALUE"""),12.2)</f>
        <v>12.2</v>
      </c>
      <c r="X254" s="17" t="str">
        <f>IFERROR(__xludf.DUMMYFUNCTION("""COMPUTED_VALUE"""),"DEKAT")</f>
        <v>DEKAT</v>
      </c>
      <c r="Y254" s="17">
        <f>IFERROR(__xludf.DUMMYFUNCTION("""COMPUTED_VALUE"""),1.0)</f>
        <v>1</v>
      </c>
      <c r="Z254" s="17">
        <f>IFERROR(__xludf.DUMMYFUNCTION("""COMPUTED_VALUE"""),4.0)</f>
        <v>4</v>
      </c>
      <c r="AB254" s="48" t="str">
        <f>IFERROR(__xludf.DUMMYFUNCTION("""COMPUTED_VALUE"""),"SPPBE-PT. Bintang Energi Abadi")</f>
        <v>SPPBE-PT. Bintang Energi Abadi</v>
      </c>
      <c r="AC254" s="48" t="str">
        <f>IFERROR(__xludf.DUMMYFUNCTION("""COMPUTED_VALUE"""),"DR 8309 LH")</f>
        <v>DR 8309 LH</v>
      </c>
      <c r="AD254" s="48" t="str">
        <f>IFERROR(__xludf.DUMMYFUNCTION("""COMPUTED_VALUE"""),"TLPG LOMBOK")</f>
        <v>TLPG LOMBOK</v>
      </c>
      <c r="AE254" s="17">
        <f>IFERROR(__xludf.DUMMYFUNCTION("""COMPUTED_VALUE"""),5.0)</f>
        <v>5</v>
      </c>
    </row>
    <row r="255">
      <c r="A255" s="12">
        <v>253.0</v>
      </c>
      <c r="B255" s="9" t="s">
        <v>309</v>
      </c>
      <c r="C255" s="9" t="s">
        <v>32</v>
      </c>
      <c r="D255" s="9" t="s">
        <v>446</v>
      </c>
      <c r="E255" s="49">
        <v>40.9</v>
      </c>
      <c r="F255" s="23" t="s">
        <v>454</v>
      </c>
      <c r="G255" s="9" t="str">
        <f>IFERROR(VLOOKUP(C255,'MASTER TLPG'!A:B,2,FALSE),"")</f>
        <v>-8.509457097470957, 115.50344705076587</v>
      </c>
      <c r="H255" s="9" t="str">
        <f>IFERROR(VLOOKUP(D255,'MASTER PERUSAHAAN'!A:B,2,FALSE),"")</f>
        <v>-8.562904448757598, 115.23399506847252</v>
      </c>
      <c r="J255" s="9" t="str">
        <f t="shared" si="1"/>
        <v>DEKAT</v>
      </c>
      <c r="K255" s="11">
        <f t="shared" si="2"/>
        <v>1</v>
      </c>
      <c r="M255" s="17">
        <v>10.0</v>
      </c>
      <c r="N255" s="17"/>
      <c r="O255" s="17"/>
      <c r="P255" s="17"/>
      <c r="Q255" s="17"/>
      <c r="R255" s="17"/>
      <c r="S255" s="17"/>
      <c r="T255" s="17" t="str">
        <f>IFERROR(__xludf.DUMMYFUNCTION("""COMPUTED_VALUE"""),"L 8192 UX")</f>
        <v>L 8192 UX</v>
      </c>
      <c r="U255" s="17" t="str">
        <f>IFERROR(__xludf.DUMMYFUNCTION("""COMPUTED_VALUE"""),"TLPG MEM GRESIK")</f>
        <v>TLPG MEM GRESIK</v>
      </c>
      <c r="V255" s="17" t="str">
        <f>IFERROR(__xludf.DUMMYFUNCTION("""COMPUTED_VALUE"""),"PT PERMATA ENERGI BUMI INDONESIA")</f>
        <v>PT PERMATA ENERGI BUMI INDONESIA</v>
      </c>
      <c r="W255" s="17">
        <f>IFERROR(__xludf.DUMMYFUNCTION("""COMPUTED_VALUE"""),12.2)</f>
        <v>12.2</v>
      </c>
      <c r="X255" s="17" t="str">
        <f>IFERROR(__xludf.DUMMYFUNCTION("""COMPUTED_VALUE"""),"DEKAT")</f>
        <v>DEKAT</v>
      </c>
      <c r="Y255" s="17">
        <f>IFERROR(__xludf.DUMMYFUNCTION("""COMPUTED_VALUE"""),1.0)</f>
        <v>1</v>
      </c>
      <c r="Z255" s="17">
        <f>IFERROR(__xludf.DUMMYFUNCTION("""COMPUTED_VALUE"""),7.0)</f>
        <v>7</v>
      </c>
      <c r="AB255" s="48" t="str">
        <f>IFERROR(__xludf.DUMMYFUNCTION("""COMPUTED_VALUE"""),"SPPBE-PT. Bintang Energi Abadi")</f>
        <v>SPPBE-PT. Bintang Energi Abadi</v>
      </c>
      <c r="AC255" s="48" t="str">
        <f>IFERROR(__xludf.DUMMYFUNCTION("""COMPUTED_VALUE"""),"DR 8527 KC")</f>
        <v>DR 8527 KC</v>
      </c>
      <c r="AD255" s="48" t="str">
        <f>IFERROR(__xludf.DUMMYFUNCTION("""COMPUTED_VALUE"""),"TLPG LOMBOK")</f>
        <v>TLPG LOMBOK</v>
      </c>
      <c r="AE255" s="17">
        <f>IFERROR(__xludf.DUMMYFUNCTION("""COMPUTED_VALUE"""),6.0)</f>
        <v>6</v>
      </c>
    </row>
    <row r="256">
      <c r="A256" s="12">
        <v>254.0</v>
      </c>
      <c r="B256" s="9" t="s">
        <v>311</v>
      </c>
      <c r="C256" s="9" t="s">
        <v>32</v>
      </c>
      <c r="D256" s="9" t="s">
        <v>446</v>
      </c>
      <c r="E256" s="49">
        <v>40.9</v>
      </c>
      <c r="F256" s="23" t="s">
        <v>454</v>
      </c>
      <c r="G256" s="9" t="str">
        <f>IFERROR(VLOOKUP(C256,'MASTER TLPG'!A:B,2,FALSE),"")</f>
        <v>-8.509457097470957, 115.50344705076587</v>
      </c>
      <c r="H256" s="9" t="str">
        <f>IFERROR(VLOOKUP(D256,'MASTER PERUSAHAAN'!A:B,2,FALSE),"")</f>
        <v>-8.562904448757598, 115.23399506847252</v>
      </c>
      <c r="J256" s="9" t="str">
        <f t="shared" si="1"/>
        <v>DEKAT</v>
      </c>
      <c r="K256" s="11">
        <f t="shared" si="2"/>
        <v>1</v>
      </c>
      <c r="M256" s="17">
        <v>10.0</v>
      </c>
      <c r="N256" s="17"/>
      <c r="O256" s="17"/>
      <c r="P256" s="17"/>
      <c r="Q256" s="17"/>
      <c r="R256" s="17"/>
      <c r="S256" s="17"/>
      <c r="T256" s="17" t="str">
        <f>IFERROR(__xludf.DUMMYFUNCTION("""COMPUTED_VALUE"""),"AE 8850 UT")</f>
        <v>AE 8850 UT</v>
      </c>
      <c r="U256" s="17" t="str">
        <f>IFERROR(__xludf.DUMMYFUNCTION("""COMPUTED_VALUE"""),"TLPG TJ PERAK")</f>
        <v>TLPG TJ PERAK</v>
      </c>
      <c r="V256" s="17" t="str">
        <f>IFERROR(__xludf.DUMMYFUNCTION("""COMPUTED_VALUE"""),"PT GUBAH TIARA PERKASA")</f>
        <v>PT GUBAH TIARA PERKASA</v>
      </c>
      <c r="W256" s="17">
        <f>IFERROR(__xludf.DUMMYFUNCTION("""COMPUTED_VALUE"""),11.9)</f>
        <v>11.9</v>
      </c>
      <c r="X256" s="17" t="str">
        <f>IFERROR(__xludf.DUMMYFUNCTION("""COMPUTED_VALUE"""),"DEKAT")</f>
        <v>DEKAT</v>
      </c>
      <c r="Y256" s="17">
        <f>IFERROR(__xludf.DUMMYFUNCTION("""COMPUTED_VALUE"""),1.0)</f>
        <v>1</v>
      </c>
      <c r="Z256" s="17">
        <f>IFERROR(__xludf.DUMMYFUNCTION("""COMPUTED_VALUE"""),6.0)</f>
        <v>6</v>
      </c>
      <c r="AB256" s="48" t="str">
        <f>IFERROR(__xludf.DUMMYFUNCTION("""COMPUTED_VALUE"""),"SPPBE-PT. Bintang Energi Abadi")</f>
        <v>SPPBE-PT. Bintang Energi Abadi</v>
      </c>
      <c r="AC256" s="48" t="str">
        <f>IFERROR(__xludf.DUMMYFUNCTION("""COMPUTED_VALUE"""),"DR 8528 KC")</f>
        <v>DR 8528 KC</v>
      </c>
      <c r="AD256" s="48" t="str">
        <f>IFERROR(__xludf.DUMMYFUNCTION("""COMPUTED_VALUE"""),"TLPG LOMBOK")</f>
        <v>TLPG LOMBOK</v>
      </c>
      <c r="AE256" s="17">
        <f>IFERROR(__xludf.DUMMYFUNCTION("""COMPUTED_VALUE"""),7.0)</f>
        <v>7</v>
      </c>
    </row>
    <row r="257">
      <c r="A257" s="12">
        <v>255.0</v>
      </c>
      <c r="B257" s="9" t="s">
        <v>312</v>
      </c>
      <c r="C257" s="9" t="s">
        <v>32</v>
      </c>
      <c r="D257" s="9" t="s">
        <v>446</v>
      </c>
      <c r="E257" s="49">
        <v>40.9</v>
      </c>
      <c r="F257" s="23" t="s">
        <v>454</v>
      </c>
      <c r="G257" s="9" t="str">
        <f>IFERROR(VLOOKUP(C257,'MASTER TLPG'!A:B,2,FALSE),"")</f>
        <v>-8.509457097470957, 115.50344705076587</v>
      </c>
      <c r="H257" s="9" t="str">
        <f>IFERROR(VLOOKUP(D257,'MASTER PERUSAHAAN'!A:B,2,FALSE),"")</f>
        <v>-8.562904448757598, 115.23399506847252</v>
      </c>
      <c r="J257" s="9" t="str">
        <f t="shared" si="1"/>
        <v>DEKAT</v>
      </c>
      <c r="K257" s="11">
        <f t="shared" si="2"/>
        <v>1</v>
      </c>
      <c r="M257" s="17">
        <v>10.0</v>
      </c>
      <c r="N257" s="17"/>
      <c r="O257" s="17"/>
      <c r="P257" s="17"/>
      <c r="Q257" s="17"/>
      <c r="R257" s="17"/>
      <c r="S257" s="17"/>
      <c r="T257" s="17" t="str">
        <f>IFERROR(__xludf.DUMMYFUNCTION("""COMPUTED_VALUE"""),"AG 8828 UW")</f>
        <v>AG 8828 UW</v>
      </c>
      <c r="U257" s="17" t="str">
        <f>IFERROR(__xludf.DUMMYFUNCTION("""COMPUTED_VALUE"""),"TLPG TJ PERAK")</f>
        <v>TLPG TJ PERAK</v>
      </c>
      <c r="V257" s="17" t="str">
        <f>IFERROR(__xludf.DUMMYFUNCTION("""COMPUTED_VALUE"""),"PT GUBAH TIARA PERKASA")</f>
        <v>PT GUBAH TIARA PERKASA</v>
      </c>
      <c r="W257" s="17">
        <f>IFERROR(__xludf.DUMMYFUNCTION("""COMPUTED_VALUE"""),11.9)</f>
        <v>11.9</v>
      </c>
      <c r="X257" s="17" t="str">
        <f>IFERROR(__xludf.DUMMYFUNCTION("""COMPUTED_VALUE"""),"DEKAT")</f>
        <v>DEKAT</v>
      </c>
      <c r="Y257" s="17">
        <f>IFERROR(__xludf.DUMMYFUNCTION("""COMPUTED_VALUE"""),1.0)</f>
        <v>1</v>
      </c>
      <c r="Z257" s="17">
        <f>IFERROR(__xludf.DUMMYFUNCTION("""COMPUTED_VALUE"""),6.0)</f>
        <v>6</v>
      </c>
      <c r="AB257" s="48" t="str">
        <f>IFERROR(__xludf.DUMMYFUNCTION("""COMPUTED_VALUE"""),"SPPBE-PT. Cahaya Astika Dharma")</f>
        <v>SPPBE-PT. Cahaya Astika Dharma</v>
      </c>
      <c r="AC257" s="48" t="str">
        <f>IFERROR(__xludf.DUMMYFUNCTION("""COMPUTED_VALUE"""),"DK 8834 BM")</f>
        <v>DK 8834 BM</v>
      </c>
      <c r="AD257" s="48" t="str">
        <f>IFERROR(__xludf.DUMMYFUNCTION("""COMPUTED_VALUE"""),"TLPG MANGGIS")</f>
        <v>TLPG MANGGIS</v>
      </c>
      <c r="AE257" s="17">
        <f>IFERROR(__xludf.DUMMYFUNCTION("""COMPUTED_VALUE"""),12.0)</f>
        <v>12</v>
      </c>
    </row>
    <row r="258">
      <c r="A258" s="12">
        <v>256.0</v>
      </c>
      <c r="B258" s="9" t="s">
        <v>314</v>
      </c>
      <c r="C258" s="9" t="s">
        <v>39</v>
      </c>
      <c r="D258" s="9" t="s">
        <v>184</v>
      </c>
      <c r="E258" s="9"/>
      <c r="G258" s="9" t="str">
        <f>IFERROR(VLOOKUP(C258,'MASTER TLPG'!A:B,2,FALSE),"")</f>
        <v>-8.477696591405829, 118.71143008615176</v>
      </c>
      <c r="H258" s="9" t="str">
        <f>IFERROR(VLOOKUP(D258,'MASTER PERUSAHAAN'!A:B,2,FALSE),"")</f>
        <v/>
      </c>
      <c r="J258" s="9" t="str">
        <f t="shared" si="1"/>
        <v/>
      </c>
      <c r="K258" s="11" t="str">
        <f t="shared" si="2"/>
        <v/>
      </c>
      <c r="M258" s="17">
        <v>10.0</v>
      </c>
      <c r="N258" s="17"/>
      <c r="O258" s="17"/>
      <c r="P258" s="17"/>
      <c r="Q258" s="17"/>
      <c r="R258" s="17"/>
      <c r="S258" s="17"/>
      <c r="T258" s="17" t="str">
        <f>IFERROR(__xludf.DUMMYFUNCTION("""COMPUTED_VALUE"""),"N 9579 US")</f>
        <v>N 9579 US</v>
      </c>
      <c r="U258" s="17" t="str">
        <f>IFERROR(__xludf.DUMMYFUNCTION("""COMPUTED_VALUE"""),"TLPG TJ PERAK")</f>
        <v>TLPG TJ PERAK</v>
      </c>
      <c r="V258" s="17" t="str">
        <f>IFERROR(__xludf.DUMMYFUNCTION("""COMPUTED_VALUE"""),"PT BINA ANUGERAH INTI KIMIA")</f>
        <v>PT BINA ANUGERAH INTI KIMIA</v>
      </c>
      <c r="W258" s="17">
        <f>IFERROR(__xludf.DUMMYFUNCTION("""COMPUTED_VALUE"""),10.1)</f>
        <v>10.1</v>
      </c>
      <c r="X258" s="17" t="str">
        <f>IFERROR(__xludf.DUMMYFUNCTION("""COMPUTED_VALUE"""),"DEKAT")</f>
        <v>DEKAT</v>
      </c>
      <c r="Y258" s="17">
        <f>IFERROR(__xludf.DUMMYFUNCTION("""COMPUTED_VALUE"""),1.0)</f>
        <v>1</v>
      </c>
      <c r="Z258" s="17">
        <f>IFERROR(__xludf.DUMMYFUNCTION("""COMPUTED_VALUE"""),4.0)</f>
        <v>4</v>
      </c>
      <c r="AB258" s="48" t="str">
        <f>IFERROR(__xludf.DUMMYFUNCTION("""COMPUTED_VALUE"""),"SPPBE-PT. Candra Karya Gas")</f>
        <v>SPPBE-PT. Candra Karya Gas</v>
      </c>
      <c r="AC258" s="48" t="str">
        <f>IFERROR(__xludf.DUMMYFUNCTION("""COMPUTED_VALUE"""),"DK 8735 DQ")</f>
        <v>DK 8735 DQ</v>
      </c>
      <c r="AD258" s="48" t="str">
        <f>IFERROR(__xludf.DUMMYFUNCTION("""COMPUTED_VALUE"""),"TLPG MANGGIS")</f>
        <v>TLPG MANGGIS</v>
      </c>
      <c r="AE258" s="17">
        <f>IFERROR(__xludf.DUMMYFUNCTION("""COMPUTED_VALUE"""),11.0)</f>
        <v>11</v>
      </c>
    </row>
    <row r="259">
      <c r="A259" s="12">
        <v>257.0</v>
      </c>
      <c r="B259" s="9" t="s">
        <v>315</v>
      </c>
      <c r="C259" s="9" t="s">
        <v>5</v>
      </c>
      <c r="D259" s="9" t="s">
        <v>142</v>
      </c>
      <c r="E259" s="49">
        <v>104.3</v>
      </c>
      <c r="F259" s="23" t="s">
        <v>454</v>
      </c>
      <c r="G259" s="9" t="str">
        <f>IFERROR(VLOOKUP(C259,'MASTER TLPG'!A:B,2,FALSE),"")</f>
        <v>-8.749911797697688, 116.03590255003817</v>
      </c>
      <c r="H259" s="9" t="str">
        <f>IFERROR(VLOOKUP(D259,'MASTER PERUSAHAAN'!A:B,2,FALSE),"")</f>
        <v>-8.531889087270354, 116.63823623710071</v>
      </c>
      <c r="J259" s="9" t="str">
        <f t="shared" si="1"/>
        <v>SEDANG</v>
      </c>
      <c r="K259" s="11">
        <f t="shared" si="2"/>
        <v>2</v>
      </c>
      <c r="M259" s="17">
        <v>10.0</v>
      </c>
      <c r="N259" s="17"/>
      <c r="O259" s="17"/>
      <c r="P259" s="17"/>
      <c r="Q259" s="17"/>
      <c r="R259" s="17"/>
      <c r="S259" s="17"/>
      <c r="T259" s="17" t="str">
        <f>IFERROR(__xludf.DUMMYFUNCTION("""COMPUTED_VALUE"""),"L 8973 UU")</f>
        <v>L 8973 UU</v>
      </c>
      <c r="U259" s="17" t="str">
        <f>IFERROR(__xludf.DUMMYFUNCTION("""COMPUTED_VALUE"""),"TLPG TJ PERAK")</f>
        <v>TLPG TJ PERAK</v>
      </c>
      <c r="V259" s="17" t="str">
        <f>IFERROR(__xludf.DUMMYFUNCTION("""COMPUTED_VALUE"""),"PT GOENADI GASINDO PRATAMA")</f>
        <v>PT GOENADI GASINDO PRATAMA</v>
      </c>
      <c r="W259" s="17">
        <f>IFERROR(__xludf.DUMMYFUNCTION("""COMPUTED_VALUE"""),10.1)</f>
        <v>10.1</v>
      </c>
      <c r="X259" s="17" t="str">
        <f>IFERROR(__xludf.DUMMYFUNCTION("""COMPUTED_VALUE"""),"DEKAT")</f>
        <v>DEKAT</v>
      </c>
      <c r="Y259" s="17">
        <f>IFERROR(__xludf.DUMMYFUNCTION("""COMPUTED_VALUE"""),1.0)</f>
        <v>1</v>
      </c>
      <c r="Z259" s="17">
        <f>IFERROR(__xludf.DUMMYFUNCTION("""COMPUTED_VALUE"""),6.0)</f>
        <v>6</v>
      </c>
      <c r="AB259" s="48" t="str">
        <f>IFERROR(__xludf.DUMMYFUNCTION("""COMPUTED_VALUE"""),"SPPBE-PT. Candra Karya Gas")</f>
        <v>SPPBE-PT. Candra Karya Gas</v>
      </c>
      <c r="AC259" s="48" t="str">
        <f>IFERROR(__xludf.DUMMYFUNCTION("""COMPUTED_VALUE"""),"DK 8737 DQ")</f>
        <v>DK 8737 DQ</v>
      </c>
      <c r="AD259" s="48" t="str">
        <f>IFERROR(__xludf.DUMMYFUNCTION("""COMPUTED_VALUE"""),"TLPG MANGGIS")</f>
        <v>TLPG MANGGIS</v>
      </c>
      <c r="AE259" s="17">
        <f>IFERROR(__xludf.DUMMYFUNCTION("""COMPUTED_VALUE"""),12.0)</f>
        <v>12</v>
      </c>
    </row>
    <row r="260">
      <c r="A260" s="12">
        <v>258.0</v>
      </c>
      <c r="B260" s="9" t="s">
        <v>316</v>
      </c>
      <c r="C260" s="9" t="s">
        <v>39</v>
      </c>
      <c r="D260" s="9" t="s">
        <v>184</v>
      </c>
      <c r="E260" s="9"/>
      <c r="G260" s="9" t="str">
        <f>IFERROR(VLOOKUP(C260,'MASTER TLPG'!A:B,2,FALSE),"")</f>
        <v>-8.477696591405829, 118.71143008615176</v>
      </c>
      <c r="H260" s="9" t="str">
        <f>IFERROR(VLOOKUP(D260,'MASTER PERUSAHAAN'!A:B,2,FALSE),"")</f>
        <v/>
      </c>
      <c r="J260" s="9" t="str">
        <f t="shared" si="1"/>
        <v/>
      </c>
      <c r="K260" s="11" t="str">
        <f t="shared" si="2"/>
        <v/>
      </c>
      <c r="M260" s="17">
        <v>10.0</v>
      </c>
      <c r="N260" s="17"/>
      <c r="O260" s="17"/>
      <c r="P260" s="17"/>
      <c r="Q260" s="17"/>
      <c r="R260" s="17"/>
      <c r="S260" s="17"/>
      <c r="T260" s="17" t="str">
        <f>IFERROR(__xludf.DUMMYFUNCTION("""COMPUTED_VALUE"""),"L 8547 UI")</f>
        <v>L 8547 UI</v>
      </c>
      <c r="U260" s="17" t="str">
        <f>IFERROR(__xludf.DUMMYFUNCTION("""COMPUTED_VALUE"""),"TLPG TJ PERAK")</f>
        <v>TLPG TJ PERAK</v>
      </c>
      <c r="V260" s="17" t="str">
        <f>IFERROR(__xludf.DUMMYFUNCTION("""COMPUTED_VALUE"""),"PT MULTI BERKAH AMANAH")</f>
        <v>PT MULTI BERKAH AMANAH</v>
      </c>
      <c r="W260" s="17">
        <f>IFERROR(__xludf.DUMMYFUNCTION("""COMPUTED_VALUE"""),7.7)</f>
        <v>7.7</v>
      </c>
      <c r="X260" s="17" t="str">
        <f>IFERROR(__xludf.DUMMYFUNCTION("""COMPUTED_VALUE"""),"DEKAT")</f>
        <v>DEKAT</v>
      </c>
      <c r="Y260" s="17">
        <f>IFERROR(__xludf.DUMMYFUNCTION("""COMPUTED_VALUE"""),1.0)</f>
        <v>1</v>
      </c>
      <c r="Z260" s="17">
        <f>IFERROR(__xludf.DUMMYFUNCTION("""COMPUTED_VALUE"""),5.0)</f>
        <v>5</v>
      </c>
      <c r="AB260" s="48" t="str">
        <f>IFERROR(__xludf.DUMMYFUNCTION("""COMPUTED_VALUE"""),"SPPBE-PT. Dasico Panca Rena")</f>
        <v>SPPBE-PT. Dasico Panca Rena</v>
      </c>
      <c r="AC260" s="48" t="str">
        <f>IFERROR(__xludf.DUMMYFUNCTION("""COMPUTED_VALUE"""),"DK 8203 KO")</f>
        <v>DK 8203 KO</v>
      </c>
      <c r="AD260" s="48" t="str">
        <f>IFERROR(__xludf.DUMMYFUNCTION("""COMPUTED_VALUE"""),"TLPG MANGGIS")</f>
        <v>TLPG MANGGIS</v>
      </c>
      <c r="AE260" s="17">
        <f>IFERROR(__xludf.DUMMYFUNCTION("""COMPUTED_VALUE"""),5.0)</f>
        <v>5</v>
      </c>
    </row>
    <row r="261">
      <c r="A261" s="12">
        <v>259.0</v>
      </c>
      <c r="B261" s="9" t="s">
        <v>318</v>
      </c>
      <c r="C261" s="9" t="s">
        <v>7</v>
      </c>
      <c r="D261" s="9" t="s">
        <v>459</v>
      </c>
      <c r="E261" s="49">
        <v>88.9</v>
      </c>
      <c r="F261" s="23" t="s">
        <v>454</v>
      </c>
      <c r="G261" s="9" t="str">
        <f>IFERROR(VLOOKUP(C261,'MASTER TLPG'!A:B,2,FALSE),"")</f>
        <v>-7.203807110524606, 112.71950675497641</v>
      </c>
      <c r="H261" s="9" t="str">
        <f>IFERROR(VLOOKUP(D261,'MASTER PERUSAHAAN'!A:B,2,FALSE),"")</f>
        <v>-7.876356051047304, 112.68834030244933</v>
      </c>
      <c r="J261" s="9" t="str">
        <f t="shared" si="1"/>
        <v>SEDANG</v>
      </c>
      <c r="K261" s="11">
        <f t="shared" si="2"/>
        <v>2</v>
      </c>
      <c r="M261" s="17">
        <v>10.0</v>
      </c>
      <c r="N261" s="17"/>
      <c r="O261" s="17"/>
      <c r="P261" s="17"/>
      <c r="Q261" s="17"/>
      <c r="R261" s="17"/>
      <c r="S261" s="17"/>
      <c r="T261" s="17" t="str">
        <f>IFERROR(__xludf.DUMMYFUNCTION("""COMPUTED_VALUE"""),"P 8176 UW")</f>
        <v>P 8176 UW</v>
      </c>
      <c r="U261" s="17" t="str">
        <f>IFERROR(__xludf.DUMMYFUNCTION("""COMPUTED_VALUE"""),"TLPG TJ WANGI")</f>
        <v>TLPG TJ WANGI</v>
      </c>
      <c r="V261" s="17" t="str">
        <f>IFERROR(__xludf.DUMMYFUNCTION("""COMPUTED_VALUE"""),"PT ARGOPURO MAJU SUKSES")</f>
        <v>PT ARGOPURO MAJU SUKSES</v>
      </c>
      <c r="W261" s="17">
        <f>IFERROR(__xludf.DUMMYFUNCTION("""COMPUTED_VALUE"""),4.9)</f>
        <v>4.9</v>
      </c>
      <c r="X261" s="17" t="str">
        <f>IFERROR(__xludf.DUMMYFUNCTION("""COMPUTED_VALUE"""),"DEKAT")</f>
        <v>DEKAT</v>
      </c>
      <c r="Y261" s="17">
        <f>IFERROR(__xludf.DUMMYFUNCTION("""COMPUTED_VALUE"""),1.0)</f>
        <v>1</v>
      </c>
      <c r="Z261" s="17">
        <f>IFERROR(__xludf.DUMMYFUNCTION("""COMPUTED_VALUE"""),4.0)</f>
        <v>4</v>
      </c>
      <c r="AB261" s="48" t="str">
        <f>IFERROR(__xludf.DUMMYFUNCTION("""COMPUTED_VALUE"""),"SPPBE-PT. Dasico Panca Rena")</f>
        <v>SPPBE-PT. Dasico Panca Rena</v>
      </c>
      <c r="AC261" s="48" t="str">
        <f>IFERROR(__xludf.DUMMYFUNCTION("""COMPUTED_VALUE"""),"DK 8204 KO")</f>
        <v>DK 8204 KO</v>
      </c>
      <c r="AD261" s="48" t="str">
        <f>IFERROR(__xludf.DUMMYFUNCTION("""COMPUTED_VALUE"""),"TLPG MANGGIS")</f>
        <v>TLPG MANGGIS</v>
      </c>
      <c r="AE261" s="17">
        <f>IFERROR(__xludf.DUMMYFUNCTION("""COMPUTED_VALUE"""),5.0)</f>
        <v>5</v>
      </c>
    </row>
    <row r="262">
      <c r="A262" s="12">
        <v>260.0</v>
      </c>
      <c r="B262" s="9" t="s">
        <v>319</v>
      </c>
      <c r="C262" s="9" t="s">
        <v>5</v>
      </c>
      <c r="D262" s="9" t="s">
        <v>375</v>
      </c>
      <c r="E262" s="49">
        <v>37.2</v>
      </c>
      <c r="F262" s="23" t="s">
        <v>454</v>
      </c>
      <c r="G262" s="9" t="str">
        <f>IFERROR(VLOOKUP(C262,'MASTER TLPG'!A:B,2,FALSE),"")</f>
        <v>-8.749911797697688, 116.03590255003817</v>
      </c>
      <c r="H262" s="9" t="str">
        <f>IFERROR(VLOOKUP(D262,'MASTER PERUSAHAAN'!A:B,2,FALSE),"")</f>
        <v>-8.620797184538066, 116.08694469811925</v>
      </c>
      <c r="J262" s="9" t="str">
        <f t="shared" si="1"/>
        <v>DEKAT</v>
      </c>
      <c r="K262" s="11">
        <f t="shared" si="2"/>
        <v>1</v>
      </c>
      <c r="M262" s="17">
        <v>10.0</v>
      </c>
      <c r="N262" s="17"/>
      <c r="O262" s="17"/>
      <c r="P262" s="17"/>
      <c r="Q262" s="17"/>
      <c r="R262" s="17"/>
      <c r="S262" s="17"/>
      <c r="T262" s="17" t="str">
        <f>IFERROR(__xludf.DUMMYFUNCTION("""COMPUTED_VALUE"""),"DK 8533 CE")</f>
        <v>DK 8533 CE</v>
      </c>
      <c r="U262" s="17" t="str">
        <f>IFERROR(__xludf.DUMMYFUNCTION("""COMPUTED_VALUE"""),"TLPG MANGGIS")</f>
        <v>TLPG MANGGIS</v>
      </c>
      <c r="V262" s="17" t="str">
        <f>IFERROR(__xludf.DUMMYFUNCTION("""COMPUTED_VALUE"""),"PT HELA CITRA AGUNG")</f>
        <v>PT HELA CITRA AGUNG</v>
      </c>
      <c r="W262" s="17">
        <f>IFERROR(__xludf.DUMMYFUNCTION("""COMPUTED_VALUE"""),3.0)</f>
        <v>3</v>
      </c>
      <c r="X262" s="17" t="str">
        <f>IFERROR(__xludf.DUMMYFUNCTION("""COMPUTED_VALUE"""),"DEKAT")</f>
        <v>DEKAT</v>
      </c>
      <c r="Y262" s="17">
        <f>IFERROR(__xludf.DUMMYFUNCTION("""COMPUTED_VALUE"""),1.0)</f>
        <v>1</v>
      </c>
      <c r="Z262" s="17">
        <f>IFERROR(__xludf.DUMMYFUNCTION("""COMPUTED_VALUE"""),2.0)</f>
        <v>2</v>
      </c>
      <c r="AB262" s="48" t="str">
        <f>IFERROR(__xludf.DUMMYFUNCTION("""COMPUTED_VALUE"""),"SPPBE-PT. Dinamika Utama Karya")</f>
        <v>SPPBE-PT. Dinamika Utama Karya</v>
      </c>
      <c r="AC262" s="48" t="str">
        <f>IFERROR(__xludf.DUMMYFUNCTION("""COMPUTED_VALUE"""),"DR 8653 AG")</f>
        <v>DR 8653 AG</v>
      </c>
      <c r="AD262" s="48" t="str">
        <f>IFERROR(__xludf.DUMMYFUNCTION("""COMPUTED_VALUE"""),"TLPG LOMBOK")</f>
        <v>TLPG LOMBOK</v>
      </c>
      <c r="AE262" s="17">
        <f>IFERROR(__xludf.DUMMYFUNCTION("""COMPUTED_VALUE"""),8.0)</f>
        <v>8</v>
      </c>
    </row>
    <row r="263">
      <c r="A263" s="12">
        <v>261.0</v>
      </c>
      <c r="B263" s="9" t="s">
        <v>320</v>
      </c>
      <c r="C263" s="9" t="s">
        <v>7</v>
      </c>
      <c r="D263" s="9" t="s">
        <v>459</v>
      </c>
      <c r="E263" s="49">
        <v>88.9</v>
      </c>
      <c r="F263" s="23" t="s">
        <v>454</v>
      </c>
      <c r="G263" s="9" t="str">
        <f>IFERROR(VLOOKUP(C263,'MASTER TLPG'!A:B,2,FALSE),"")</f>
        <v>-7.203807110524606, 112.71950675497641</v>
      </c>
      <c r="H263" s="9" t="str">
        <f>IFERROR(VLOOKUP(D263,'MASTER PERUSAHAAN'!A:B,2,FALSE),"")</f>
        <v>-7.876356051047304, 112.68834030244933</v>
      </c>
      <c r="J263" s="9" t="str">
        <f t="shared" si="1"/>
        <v>SEDANG</v>
      </c>
      <c r="K263" s="11">
        <f t="shared" si="2"/>
        <v>2</v>
      </c>
      <c r="M263" s="17">
        <v>10.0</v>
      </c>
      <c r="N263" s="17"/>
      <c r="O263" s="17"/>
      <c r="P263" s="17"/>
      <c r="Q263" s="17"/>
      <c r="R263" s="17"/>
      <c r="S263" s="17"/>
      <c r="T263" s="17" t="str">
        <f>IFERROR(__xludf.DUMMYFUNCTION("""COMPUTED_VALUE"""),"DK 8285 DT")</f>
        <v>DK 8285 DT</v>
      </c>
      <c r="U263" s="17" t="str">
        <f>IFERROR(__xludf.DUMMYFUNCTION("""COMPUTED_VALUE"""),"TLPG MANGGIS")</f>
        <v>TLPG MANGGIS</v>
      </c>
      <c r="V263" s="17" t="str">
        <f>IFERROR(__xludf.DUMMYFUNCTION("""COMPUTED_VALUE"""),"SPPBE-PT. Prapen Ananda Dewata")</f>
        <v>SPPBE-PT. Prapen Ananda Dewata</v>
      </c>
      <c r="W263" s="17">
        <f>IFERROR(__xludf.DUMMYFUNCTION("""COMPUTED_VALUE"""),3.0)</f>
        <v>3</v>
      </c>
      <c r="X263" s="17" t="str">
        <f>IFERROR(__xludf.DUMMYFUNCTION("""COMPUTED_VALUE"""),"DEKAT")</f>
        <v>DEKAT</v>
      </c>
      <c r="Y263" s="17">
        <f>IFERROR(__xludf.DUMMYFUNCTION("""COMPUTED_VALUE"""),1.0)</f>
        <v>1</v>
      </c>
      <c r="Z263" s="17">
        <f>IFERROR(__xludf.DUMMYFUNCTION("""COMPUTED_VALUE"""),6.0)</f>
        <v>6</v>
      </c>
      <c r="AB263" s="48" t="str">
        <f>IFERROR(__xludf.DUMMYFUNCTION("""COMPUTED_VALUE"""),"SPPBE-PT. Dinamika Utama Karya")</f>
        <v>SPPBE-PT. Dinamika Utama Karya</v>
      </c>
      <c r="AC263" s="48" t="str">
        <f>IFERROR(__xludf.DUMMYFUNCTION("""COMPUTED_VALUE"""),"DR 8751 AF")</f>
        <v>DR 8751 AF</v>
      </c>
      <c r="AD263" s="48" t="str">
        <f>IFERROR(__xludf.DUMMYFUNCTION("""COMPUTED_VALUE"""),"TLPG LOMBOK")</f>
        <v>TLPG LOMBOK</v>
      </c>
      <c r="AE263" s="17">
        <f>IFERROR(__xludf.DUMMYFUNCTION("""COMPUTED_VALUE"""),9.0)</f>
        <v>9</v>
      </c>
    </row>
    <row r="264">
      <c r="A264" s="12">
        <v>262.0</v>
      </c>
      <c r="B264" s="9" t="s">
        <v>322</v>
      </c>
      <c r="C264" s="9" t="s">
        <v>7</v>
      </c>
      <c r="D264" s="9" t="s">
        <v>419</v>
      </c>
      <c r="E264" s="49">
        <v>61.2</v>
      </c>
      <c r="F264" s="23" t="s">
        <v>454</v>
      </c>
      <c r="G264" s="9" t="str">
        <f>IFERROR(VLOOKUP(C264,'MASTER TLPG'!A:B,2,FALSE),"")</f>
        <v>-7.203807110524606, 112.71950675497641</v>
      </c>
      <c r="H264" s="9" t="str">
        <f>IFERROR(VLOOKUP(D264,'MASTER PERUSAHAAN'!A:B,2,FALSE),"")</f>
        <v>-7.557746950321399, 112.55761371619027</v>
      </c>
      <c r="J264" s="9" t="str">
        <f t="shared" si="1"/>
        <v>SEDANG</v>
      </c>
      <c r="K264" s="11">
        <f t="shared" si="2"/>
        <v>2</v>
      </c>
      <c r="M264" s="17">
        <v>10.0</v>
      </c>
      <c r="N264" s="17"/>
      <c r="O264" s="17"/>
      <c r="P264" s="17"/>
      <c r="Q264" s="17"/>
      <c r="R264" s="17"/>
      <c r="S264" s="17"/>
      <c r="T264" s="17" t="str">
        <f>IFERROR(__xludf.DUMMYFUNCTION("""COMPUTED_VALUE"""),"DK 8117 FS")</f>
        <v>DK 8117 FS</v>
      </c>
      <c r="U264" s="17" t="str">
        <f>IFERROR(__xludf.DUMMYFUNCTION("""COMPUTED_VALUE"""),"TLPG MANGGIS")</f>
        <v>TLPG MANGGIS</v>
      </c>
      <c r="V264" s="17" t="str">
        <f>IFERROR(__xludf.DUMMYFUNCTION("""COMPUTED_VALUE"""),"SPPBE-PT. Prapen Ananda Dewata")</f>
        <v>SPPBE-PT. Prapen Ananda Dewata</v>
      </c>
      <c r="W264" s="17">
        <f>IFERROR(__xludf.DUMMYFUNCTION("""COMPUTED_VALUE"""),3.0)</f>
        <v>3</v>
      </c>
      <c r="X264" s="17" t="str">
        <f>IFERROR(__xludf.DUMMYFUNCTION("""COMPUTED_VALUE"""),"DEKAT")</f>
        <v>DEKAT</v>
      </c>
      <c r="Y264" s="17">
        <f>IFERROR(__xludf.DUMMYFUNCTION("""COMPUTED_VALUE"""),1.0)</f>
        <v>1</v>
      </c>
      <c r="Z264" s="17">
        <f>IFERROR(__xludf.DUMMYFUNCTION("""COMPUTED_VALUE"""),7.0)</f>
        <v>7</v>
      </c>
      <c r="AB264" s="48" t="str">
        <f>IFERROR(__xludf.DUMMYFUNCTION("""COMPUTED_VALUE"""),"SPPBE-PT. Gasari Mas Timur")</f>
        <v>SPPBE-PT. Gasari Mas Timur</v>
      </c>
      <c r="AC264" s="48" t="str">
        <f>IFERROR(__xludf.DUMMYFUNCTION("""COMPUTED_VALUE"""),"DK 8139 TS")</f>
        <v>DK 8139 TS</v>
      </c>
      <c r="AD264" s="48" t="str">
        <f>IFERROR(__xludf.DUMMYFUNCTION("""COMPUTED_VALUE"""),"TLPG MANGGIS")</f>
        <v>TLPG MANGGIS</v>
      </c>
      <c r="AE264" s="17">
        <f>IFERROR(__xludf.DUMMYFUNCTION("""COMPUTED_VALUE"""),3.0)</f>
        <v>3</v>
      </c>
    </row>
    <row r="265">
      <c r="A265" s="12">
        <v>263.0</v>
      </c>
      <c r="B265" s="9" t="s">
        <v>323</v>
      </c>
      <c r="C265" s="9" t="s">
        <v>7</v>
      </c>
      <c r="D265" s="9" t="s">
        <v>452</v>
      </c>
      <c r="E265" s="49">
        <v>146.9</v>
      </c>
      <c r="F265" s="23" t="s">
        <v>454</v>
      </c>
      <c r="G265" s="9" t="str">
        <f>IFERROR(VLOOKUP(C265,'MASTER TLPG'!A:B,2,FALSE),"")</f>
        <v>-7.203807110524606, 112.71950675497641</v>
      </c>
      <c r="H265" s="9" t="str">
        <f>IFERROR(VLOOKUP(D265,'MASTER PERUSAHAAN'!A:B,2,FALSE),"")</f>
        <v>-7.995451006439848, 111.9362872174144</v>
      </c>
      <c r="J265" s="9" t="str">
        <f t="shared" si="1"/>
        <v>SEDANG</v>
      </c>
      <c r="K265" s="11">
        <f t="shared" si="2"/>
        <v>2</v>
      </c>
      <c r="M265" s="17">
        <v>10.0</v>
      </c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B265" s="48" t="str">
        <f>IFERROR(__xludf.DUMMYFUNCTION("""COMPUTED_VALUE"""),"SPPBE-PT. Gasari Mas Timur")</f>
        <v>SPPBE-PT. Gasari Mas Timur</v>
      </c>
      <c r="AC265" s="48" t="str">
        <f>IFERROR(__xludf.DUMMYFUNCTION("""COMPUTED_VALUE"""),"DK 8148 TS")</f>
        <v>DK 8148 TS</v>
      </c>
      <c r="AD265" s="48" t="str">
        <f>IFERROR(__xludf.DUMMYFUNCTION("""COMPUTED_VALUE"""),"TLPG MANGGIS")</f>
        <v>TLPG MANGGIS</v>
      </c>
      <c r="AE265" s="17">
        <f>IFERROR(__xludf.DUMMYFUNCTION("""COMPUTED_VALUE"""),4.0)</f>
        <v>4</v>
      </c>
    </row>
    <row r="266">
      <c r="A266" s="12">
        <v>264.0</v>
      </c>
      <c r="B266" s="9" t="s">
        <v>324</v>
      </c>
      <c r="C266" s="9" t="s">
        <v>7</v>
      </c>
      <c r="D266" s="9" t="s">
        <v>271</v>
      </c>
      <c r="E266" s="49">
        <v>66.7</v>
      </c>
      <c r="F266" s="23" t="s">
        <v>454</v>
      </c>
      <c r="G266" s="9" t="str">
        <f>IFERROR(VLOOKUP(C266,'MASTER TLPG'!A:B,2,FALSE),"")</f>
        <v>-7.203807110524606, 112.71950675497641</v>
      </c>
      <c r="H266" s="9" t="str">
        <f>IFERROR(VLOOKUP(D266,'MASTER PERUSAHAAN'!A:B,2,FALSE),"")</f>
        <v>-7.623221037073586, 112.81530028747939</v>
      </c>
      <c r="J266" s="9" t="str">
        <f t="shared" si="1"/>
        <v>SEDANG</v>
      </c>
      <c r="K266" s="11">
        <f t="shared" si="2"/>
        <v>2</v>
      </c>
      <c r="M266" s="17">
        <v>10.0</v>
      </c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B266" s="48" t="str">
        <f>IFERROR(__xludf.DUMMYFUNCTION("""COMPUTED_VALUE"""),"SPPBE-PT. Gaya Investama")</f>
        <v>SPPBE-PT. Gaya Investama</v>
      </c>
      <c r="AC266" s="48" t="str">
        <f>IFERROR(__xludf.DUMMYFUNCTION("""COMPUTED_VALUE"""),"DK 8018 UF")</f>
        <v>DK 8018 UF</v>
      </c>
      <c r="AD266" s="48" t="str">
        <f>IFERROR(__xludf.DUMMYFUNCTION("""COMPUTED_VALUE"""),"TLPG MANGGIS")</f>
        <v>TLPG MANGGIS</v>
      </c>
      <c r="AE266" s="17">
        <f>IFERROR(__xludf.DUMMYFUNCTION("""COMPUTED_VALUE"""),1.0)</f>
        <v>1</v>
      </c>
    </row>
    <row r="267">
      <c r="A267" s="12">
        <v>265.0</v>
      </c>
      <c r="B267" s="9" t="s">
        <v>326</v>
      </c>
      <c r="C267" s="9" t="s">
        <v>7</v>
      </c>
      <c r="D267" s="9" t="s">
        <v>271</v>
      </c>
      <c r="E267" s="49">
        <v>66.7</v>
      </c>
      <c r="F267" s="23" t="s">
        <v>454</v>
      </c>
      <c r="G267" s="9" t="str">
        <f>IFERROR(VLOOKUP(C267,'MASTER TLPG'!A:B,2,FALSE),"")</f>
        <v>-7.203807110524606, 112.71950675497641</v>
      </c>
      <c r="H267" s="9" t="str">
        <f>IFERROR(VLOOKUP(D267,'MASTER PERUSAHAAN'!A:B,2,FALSE),"")</f>
        <v>-7.623221037073586, 112.81530028747939</v>
      </c>
      <c r="J267" s="9" t="str">
        <f t="shared" si="1"/>
        <v>SEDANG</v>
      </c>
      <c r="K267" s="11">
        <f t="shared" si="2"/>
        <v>2</v>
      </c>
      <c r="M267" s="17">
        <v>10.0</v>
      </c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B267" s="48" t="str">
        <f>IFERROR(__xludf.DUMMYFUNCTION("""COMPUTED_VALUE"""),"SPPBE-PT. Gaya Investama")</f>
        <v>SPPBE-PT. Gaya Investama</v>
      </c>
      <c r="AC267" s="48" t="str">
        <f>IFERROR(__xludf.DUMMYFUNCTION("""COMPUTED_VALUE"""),"DK 8023 UK")</f>
        <v>DK 8023 UK</v>
      </c>
      <c r="AD267" s="48" t="str">
        <f>IFERROR(__xludf.DUMMYFUNCTION("""COMPUTED_VALUE"""),"TLPG MANGGIS")</f>
        <v>TLPG MANGGIS</v>
      </c>
      <c r="AE267" s="17">
        <f>IFERROR(__xludf.DUMMYFUNCTION("""COMPUTED_VALUE"""),2.0)</f>
        <v>2</v>
      </c>
    </row>
    <row r="268">
      <c r="A268" s="12">
        <v>266.0</v>
      </c>
      <c r="B268" s="9" t="s">
        <v>328</v>
      </c>
      <c r="C268" s="9" t="s">
        <v>25</v>
      </c>
      <c r="D268" s="9" t="s">
        <v>452</v>
      </c>
      <c r="E268" s="49">
        <v>142.0</v>
      </c>
      <c r="F268" s="23" t="s">
        <v>454</v>
      </c>
      <c r="G268" s="9" t="str">
        <f>IFERROR(VLOOKUP(C268,'MASTER TLPG'!A:B,2,FALSE),"")</f>
        <v>-7.109201954744449, 112.62272164861744</v>
      </c>
      <c r="H268" s="9" t="str">
        <f>IFERROR(VLOOKUP(D268,'MASTER PERUSAHAAN'!A:B,2,FALSE),"")</f>
        <v>-7.995451006439848, 111.9362872174144</v>
      </c>
      <c r="J268" s="9" t="str">
        <f t="shared" si="1"/>
        <v>SEDANG</v>
      </c>
      <c r="K268" s="11">
        <f t="shared" si="2"/>
        <v>2</v>
      </c>
      <c r="M268" s="17">
        <v>10.0</v>
      </c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B268" s="48" t="str">
        <f>IFERROR(__xludf.DUMMYFUNCTION("""COMPUTED_VALUE"""),"SPPBE-PT. Gaya Investama")</f>
        <v>SPPBE-PT. Gaya Investama</v>
      </c>
      <c r="AC268" s="48" t="str">
        <f>IFERROR(__xludf.DUMMYFUNCTION("""COMPUTED_VALUE"""),"DK 8035 UI")</f>
        <v>DK 8035 UI</v>
      </c>
      <c r="AD268" s="48" t="str">
        <f>IFERROR(__xludf.DUMMYFUNCTION("""COMPUTED_VALUE"""),"TLPG MANGGIS")</f>
        <v>TLPG MANGGIS</v>
      </c>
      <c r="AE268" s="17">
        <f>IFERROR(__xludf.DUMMYFUNCTION("""COMPUTED_VALUE"""),2.0)</f>
        <v>2</v>
      </c>
    </row>
    <row r="269">
      <c r="A269" s="12">
        <v>267.0</v>
      </c>
      <c r="B269" s="9" t="s">
        <v>330</v>
      </c>
      <c r="C269" s="9" t="s">
        <v>25</v>
      </c>
      <c r="D269" s="9" t="s">
        <v>457</v>
      </c>
      <c r="E269" s="49">
        <v>202.3</v>
      </c>
      <c r="F269" s="23" t="s">
        <v>454</v>
      </c>
      <c r="G269" s="9" t="str">
        <f>IFERROR(VLOOKUP(C269,'MASTER TLPG'!A:B,2,FALSE),"")</f>
        <v>-7.109201954744449, 112.62272164861744</v>
      </c>
      <c r="H269" s="9" t="str">
        <f>IFERROR(VLOOKUP(D269,'MASTER PERUSAHAAN'!A:B,2,FALSE),"")</f>
        <v>-8.200783105056905, 113.54431122765624</v>
      </c>
      <c r="J269" s="9" t="str">
        <f t="shared" si="1"/>
        <v>JAUH</v>
      </c>
      <c r="K269" s="11">
        <f t="shared" si="2"/>
        <v>3</v>
      </c>
      <c r="M269" s="17">
        <v>10.0</v>
      </c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B269" s="48" t="str">
        <f>IFERROR(__xludf.DUMMYFUNCTION("""COMPUTED_VALUE"""),"SPPBE-PT. Harapan Jaya Utama")</f>
        <v>SPPBE-PT. Harapan Jaya Utama</v>
      </c>
      <c r="AC269" s="48" t="str">
        <f>IFERROR(__xludf.DUMMYFUNCTION("""COMPUTED_VALUE"""),"DK 8773 MG")</f>
        <v>DK 8773 MG</v>
      </c>
      <c r="AD269" s="48" t="str">
        <f>IFERROR(__xludf.DUMMYFUNCTION("""COMPUTED_VALUE"""),"TLPG LOMBOK")</f>
        <v>TLPG LOMBOK</v>
      </c>
      <c r="AE269" s="17">
        <f>IFERROR(__xludf.DUMMYFUNCTION("""COMPUTED_VALUE"""),4.0)</f>
        <v>4</v>
      </c>
    </row>
    <row r="270">
      <c r="A270" s="12">
        <v>268.0</v>
      </c>
      <c r="B270" s="9" t="s">
        <v>331</v>
      </c>
      <c r="C270" s="9" t="s">
        <v>25</v>
      </c>
      <c r="D270" s="9" t="s">
        <v>444</v>
      </c>
      <c r="E270" s="49">
        <v>235.0</v>
      </c>
      <c r="F270" s="23" t="s">
        <v>454</v>
      </c>
      <c r="G270" s="9" t="str">
        <f>IFERROR(VLOOKUP(C270,'MASTER TLPG'!A:B,2,FALSE),"")</f>
        <v>-7.109201954744449, 112.62272164861744</v>
      </c>
      <c r="H270" s="9" t="str">
        <f>IFERROR(VLOOKUP(D270,'MASTER PERUSAHAAN'!A:B,2,FALSE),"")</f>
        <v>-7.971926214579004, 113.79943786838119</v>
      </c>
      <c r="J270" s="9" t="str">
        <f t="shared" si="1"/>
        <v>JAUH</v>
      </c>
      <c r="K270" s="11">
        <f t="shared" si="2"/>
        <v>3</v>
      </c>
      <c r="M270" s="17">
        <v>10.0</v>
      </c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B270" s="48" t="str">
        <f>IFERROR(__xludf.DUMMYFUNCTION("""COMPUTED_VALUE"""),"SPPBE-PT. Kiani Pasifik Nusantara")</f>
        <v>SPPBE-PT. Kiani Pasifik Nusantara</v>
      </c>
      <c r="AC270" s="48" t="str">
        <f>IFERROR(__xludf.DUMMYFUNCTION("""COMPUTED_VALUE"""),"DK 8236 GH")</f>
        <v>DK 8236 GH</v>
      </c>
      <c r="AD270" s="48" t="str">
        <f>IFERROR(__xludf.DUMMYFUNCTION("""COMPUTED_VALUE"""),"TLPG MANGGIS")</f>
        <v>TLPG MANGGIS</v>
      </c>
      <c r="AE270" s="17">
        <f>IFERROR(__xludf.DUMMYFUNCTION("""COMPUTED_VALUE"""),6.0)</f>
        <v>6</v>
      </c>
    </row>
    <row r="271">
      <c r="A271" s="12">
        <v>269.0</v>
      </c>
      <c r="B271" s="9" t="s">
        <v>333</v>
      </c>
      <c r="C271" s="9" t="s">
        <v>28</v>
      </c>
      <c r="D271" s="9" t="s">
        <v>472</v>
      </c>
      <c r="E271" s="49">
        <v>111.3</v>
      </c>
      <c r="F271" s="23" t="s">
        <v>454</v>
      </c>
      <c r="G271" s="9" t="str">
        <f>IFERROR(VLOOKUP(C271,'MASTER TLPG'!A:B,2,FALSE),"")</f>
        <v>-8.16862812274526, 114.38753900822569</v>
      </c>
      <c r="H271" s="9" t="str">
        <f>IFERROR(VLOOKUP(D271,'MASTER PERUSAHAAN'!A:B,2,FALSE),"")</f>
        <v>-8.052554144850264, 113.7756839083474</v>
      </c>
      <c r="J271" s="9" t="str">
        <f t="shared" si="1"/>
        <v>SEDANG</v>
      </c>
      <c r="K271" s="11">
        <f t="shared" si="2"/>
        <v>2</v>
      </c>
      <c r="M271" s="17">
        <v>10.0</v>
      </c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B271" s="48" t="str">
        <f>IFERROR(__xludf.DUMMYFUNCTION("""COMPUTED_VALUE"""),"SPPBE-PT. Kiani Pasifik Nusantara")</f>
        <v>SPPBE-PT. Kiani Pasifik Nusantara</v>
      </c>
      <c r="AC271" s="48" t="str">
        <f>IFERROR(__xludf.DUMMYFUNCTION("""COMPUTED_VALUE"""),"DK 8268 HH")</f>
        <v>DK 8268 HH</v>
      </c>
      <c r="AD271" s="48" t="str">
        <f>IFERROR(__xludf.DUMMYFUNCTION("""COMPUTED_VALUE"""),"TLPG MANGGIS")</f>
        <v>TLPG MANGGIS</v>
      </c>
      <c r="AE271" s="17">
        <f>IFERROR(__xludf.DUMMYFUNCTION("""COMPUTED_VALUE"""),6.0)</f>
        <v>6</v>
      </c>
    </row>
    <row r="272">
      <c r="A272" s="12">
        <v>270.0</v>
      </c>
      <c r="B272" s="9" t="s">
        <v>334</v>
      </c>
      <c r="C272" s="9" t="s">
        <v>7</v>
      </c>
      <c r="D272" s="9" t="s">
        <v>464</v>
      </c>
      <c r="E272" s="49">
        <v>64.1</v>
      </c>
      <c r="F272" s="23" t="s">
        <v>454</v>
      </c>
      <c r="G272" s="9" t="str">
        <f>IFERROR(VLOOKUP(C272,'MASTER TLPG'!A:B,2,FALSE),"")</f>
        <v>-7.203807110524606, 112.71950675497641</v>
      </c>
      <c r="H272" s="9" t="str">
        <f>IFERROR(VLOOKUP(D272,'MASTER PERUSAHAAN'!A:B,2,FALSE),"")</f>
        <v>-7.5131672323937995, 112.42362782017375</v>
      </c>
      <c r="J272" s="9" t="str">
        <f t="shared" si="1"/>
        <v>SEDANG</v>
      </c>
      <c r="K272" s="11">
        <f t="shared" si="2"/>
        <v>2</v>
      </c>
      <c r="M272" s="17">
        <v>10.0</v>
      </c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B272" s="48" t="str">
        <f>IFERROR(__xludf.DUMMYFUNCTION("""COMPUTED_VALUE"""),"SPPBE-PT. Kiani Pasifik Nusantara")</f>
        <v>SPPBE-PT. Kiani Pasifik Nusantara</v>
      </c>
      <c r="AC272" s="48" t="str">
        <f>IFERROR(__xludf.DUMMYFUNCTION("""COMPUTED_VALUE"""),"DK 8302 HF")</f>
        <v>DK 8302 HF</v>
      </c>
      <c r="AD272" s="48" t="str">
        <f>IFERROR(__xludf.DUMMYFUNCTION("""COMPUTED_VALUE"""),"TLPG MANGGIS")</f>
        <v>TLPG MANGGIS</v>
      </c>
      <c r="AE272" s="17">
        <f>IFERROR(__xludf.DUMMYFUNCTION("""COMPUTED_VALUE"""),7.0)</f>
        <v>7</v>
      </c>
    </row>
    <row r="273">
      <c r="A273" s="12">
        <v>271.0</v>
      </c>
      <c r="B273" s="9" t="s">
        <v>335</v>
      </c>
      <c r="C273" s="9" t="s">
        <v>7</v>
      </c>
      <c r="D273" s="9" t="s">
        <v>466</v>
      </c>
      <c r="E273" s="49">
        <v>98.5</v>
      </c>
      <c r="F273" s="23" t="s">
        <v>454</v>
      </c>
      <c r="G273" s="9" t="str">
        <f>IFERROR(VLOOKUP(C273,'MASTER TLPG'!A:B,2,FALSE),"")</f>
        <v>-7.203807110524606, 112.71950675497641</v>
      </c>
      <c r="H273" s="9" t="str">
        <f>IFERROR(VLOOKUP(D273,'MASTER PERUSAHAAN'!A:B,2,FALSE),"")</f>
        <v>-7.576161816552032, 112.18253050412837</v>
      </c>
      <c r="J273" s="9" t="str">
        <f t="shared" si="1"/>
        <v>SEDANG</v>
      </c>
      <c r="K273" s="11">
        <f t="shared" si="2"/>
        <v>2</v>
      </c>
      <c r="M273" s="17">
        <v>10.0</v>
      </c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B273" s="48" t="str">
        <f>IFERROR(__xludf.DUMMYFUNCTION("""COMPUTED_VALUE"""),"SPPBE-PT. Lombok Menara Energigas")</f>
        <v>SPPBE-PT. Lombok Menara Energigas</v>
      </c>
      <c r="AC273" s="48" t="str">
        <f>IFERROR(__xludf.DUMMYFUNCTION("""COMPUTED_VALUE"""),"DR 8542 AG")</f>
        <v>DR 8542 AG</v>
      </c>
      <c r="AD273" s="48" t="str">
        <f>IFERROR(__xludf.DUMMYFUNCTION("""COMPUTED_VALUE"""),"TLPG LOMBOK")</f>
        <v>TLPG LOMBOK</v>
      </c>
      <c r="AE273" s="17">
        <f>IFERROR(__xludf.DUMMYFUNCTION("""COMPUTED_VALUE"""),7.0)</f>
        <v>7</v>
      </c>
    </row>
    <row r="274">
      <c r="A274" s="12">
        <v>272.0</v>
      </c>
      <c r="B274" s="9" t="s">
        <v>336</v>
      </c>
      <c r="C274" s="9" t="s">
        <v>7</v>
      </c>
      <c r="D274" s="9" t="s">
        <v>469</v>
      </c>
      <c r="E274" s="49">
        <v>90.2</v>
      </c>
      <c r="F274" s="23" t="s">
        <v>454</v>
      </c>
      <c r="G274" s="9" t="str">
        <f>IFERROR(VLOOKUP(C274,'MASTER TLPG'!A:B,2,FALSE),"")</f>
        <v>-7.203807110524606, 112.71950675497641</v>
      </c>
      <c r="H274" s="9" t="str">
        <f>IFERROR(VLOOKUP(D274,'MASTER PERUSAHAAN'!A:B,2,FALSE),"")</f>
        <v>-7.164935603441255, 112.03860801596035</v>
      </c>
      <c r="J274" s="9" t="str">
        <f t="shared" si="1"/>
        <v>SEDANG</v>
      </c>
      <c r="K274" s="11">
        <f t="shared" si="2"/>
        <v>2</v>
      </c>
      <c r="M274" s="17">
        <v>10.0</v>
      </c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B274" s="48" t="str">
        <f>IFERROR(__xludf.DUMMYFUNCTION("""COMPUTED_VALUE"""),"SPPBE-PT. Lombok Menara Energigas")</f>
        <v>SPPBE-PT. Lombok Menara Energigas</v>
      </c>
      <c r="AC274" s="48" t="str">
        <f>IFERROR(__xludf.DUMMYFUNCTION("""COMPUTED_VALUE"""),"DR 8543 AG")</f>
        <v>DR 8543 AG</v>
      </c>
      <c r="AD274" s="48" t="str">
        <f>IFERROR(__xludf.DUMMYFUNCTION("""COMPUTED_VALUE"""),"TLPG LOMBOK")</f>
        <v>TLPG LOMBOK</v>
      </c>
      <c r="AE274" s="17">
        <f>IFERROR(__xludf.DUMMYFUNCTION("""COMPUTED_VALUE"""),8.0)</f>
        <v>8</v>
      </c>
    </row>
    <row r="275">
      <c r="A275" s="12">
        <v>273.0</v>
      </c>
      <c r="B275" s="9" t="s">
        <v>337</v>
      </c>
      <c r="C275" s="9" t="s">
        <v>7</v>
      </c>
      <c r="D275" s="9" t="s">
        <v>471</v>
      </c>
      <c r="E275" s="49">
        <v>84.5</v>
      </c>
      <c r="F275" s="23" t="s">
        <v>454</v>
      </c>
      <c r="G275" s="9" t="str">
        <f>IFERROR(VLOOKUP(C275,'MASTER TLPG'!A:B,2,FALSE),"")</f>
        <v>-7.203807110524606, 112.71950675497641</v>
      </c>
      <c r="H275" s="9" t="str">
        <f>IFERROR(VLOOKUP(D275,'MASTER PERUSAHAAN'!A:B,2,FALSE),"")</f>
        <v>-7.004587233024438, 112.13331401673868</v>
      </c>
      <c r="J275" s="9" t="str">
        <f t="shared" si="1"/>
        <v>SEDANG</v>
      </c>
      <c r="K275" s="11">
        <f t="shared" si="2"/>
        <v>2</v>
      </c>
      <c r="M275" s="17">
        <v>10.0</v>
      </c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B275" s="48" t="str">
        <f>IFERROR(__xludf.DUMMYFUNCTION("""COMPUTED_VALUE"""),"SPPBE-PT. Lombok Putra Gas")</f>
        <v>SPPBE-PT. Lombok Putra Gas</v>
      </c>
      <c r="AC275" s="48" t="str">
        <f>IFERROR(__xludf.DUMMYFUNCTION("""COMPUTED_VALUE"""),"AD 9780 AB")</f>
        <v>AD 9780 AB</v>
      </c>
      <c r="AD275" s="48" t="str">
        <f>IFERROR(__xludf.DUMMYFUNCTION("""COMPUTED_VALUE"""),"TLPG LOMBOK")</f>
        <v>TLPG LOMBOK</v>
      </c>
      <c r="AE275" s="17">
        <f>IFERROR(__xludf.DUMMYFUNCTION("""COMPUTED_VALUE"""),1.0)</f>
        <v>1</v>
      </c>
    </row>
    <row r="276">
      <c r="A276" s="12">
        <v>274.0</v>
      </c>
      <c r="B276" s="9" t="s">
        <v>338</v>
      </c>
      <c r="C276" s="9" t="s">
        <v>7</v>
      </c>
      <c r="D276" s="9" t="s">
        <v>466</v>
      </c>
      <c r="E276" s="49">
        <v>98.5</v>
      </c>
      <c r="F276" s="23" t="s">
        <v>454</v>
      </c>
      <c r="G276" s="9" t="str">
        <f>IFERROR(VLOOKUP(C276,'MASTER TLPG'!A:B,2,FALSE),"")</f>
        <v>-7.203807110524606, 112.71950675497641</v>
      </c>
      <c r="H276" s="9" t="str">
        <f>IFERROR(VLOOKUP(D276,'MASTER PERUSAHAAN'!A:B,2,FALSE),"")</f>
        <v>-7.576161816552032, 112.18253050412837</v>
      </c>
      <c r="J276" s="9" t="str">
        <f t="shared" si="1"/>
        <v>SEDANG</v>
      </c>
      <c r="K276" s="11">
        <f t="shared" si="2"/>
        <v>2</v>
      </c>
      <c r="M276" s="17">
        <v>10.0</v>
      </c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B276" s="48" t="str">
        <f>IFERROR(__xludf.DUMMYFUNCTION("""COMPUTED_VALUE"""),"SPPBE-PT. Lombok Putra Gas")</f>
        <v>SPPBE-PT. Lombok Putra Gas</v>
      </c>
      <c r="AC276" s="48" t="str">
        <f>IFERROR(__xludf.DUMMYFUNCTION("""COMPUTED_VALUE"""),"AD 9838 AB")</f>
        <v>AD 9838 AB</v>
      </c>
      <c r="AD276" s="48" t="str">
        <f>IFERROR(__xludf.DUMMYFUNCTION("""COMPUTED_VALUE"""),"TLPG LOMBOK")</f>
        <v>TLPG LOMBOK</v>
      </c>
      <c r="AE276" s="17">
        <f>IFERROR(__xludf.DUMMYFUNCTION("""COMPUTED_VALUE"""),2.0)</f>
        <v>2</v>
      </c>
    </row>
    <row r="277">
      <c r="A277" s="12">
        <v>275.0</v>
      </c>
      <c r="B277" s="9" t="s">
        <v>340</v>
      </c>
      <c r="C277" s="9" t="s">
        <v>7</v>
      </c>
      <c r="D277" s="9" t="s">
        <v>488</v>
      </c>
      <c r="E277" s="49">
        <v>94.9</v>
      </c>
      <c r="F277" s="23" t="s">
        <v>454</v>
      </c>
      <c r="G277" s="9" t="str">
        <f>IFERROR(VLOOKUP(C277,'MASTER TLPG'!A:B,2,FALSE),"")</f>
        <v>-7.203807110524606, 112.71950675497641</v>
      </c>
      <c r="H277" s="9" t="str">
        <f>IFERROR(VLOOKUP(D277,'MASTER PERUSAHAAN'!A:B,2,FALSE),"")</f>
        <v>-7.5929458046787595, 112.12675242049964</v>
      </c>
      <c r="J277" s="9" t="str">
        <f t="shared" si="1"/>
        <v>SEDANG</v>
      </c>
      <c r="K277" s="11">
        <f t="shared" si="2"/>
        <v>2</v>
      </c>
      <c r="M277" s="17">
        <v>10.0</v>
      </c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B277" s="48" t="str">
        <f>IFERROR(__xludf.DUMMYFUNCTION("""COMPUTED_VALUE"""),"SPPBE-PT. Lombok Putra Gas")</f>
        <v>SPPBE-PT. Lombok Putra Gas</v>
      </c>
      <c r="AC277" s="48" t="str">
        <f>IFERROR(__xludf.DUMMYFUNCTION("""COMPUTED_VALUE"""),"AD 9877 AB")</f>
        <v>AD 9877 AB</v>
      </c>
      <c r="AD277" s="48" t="str">
        <f>IFERROR(__xludf.DUMMYFUNCTION("""COMPUTED_VALUE"""),"TLPG LOMBOK")</f>
        <v>TLPG LOMBOK</v>
      </c>
      <c r="AE277" s="17">
        <f>IFERROR(__xludf.DUMMYFUNCTION("""COMPUTED_VALUE"""),2.0)</f>
        <v>2</v>
      </c>
    </row>
    <row r="278">
      <c r="A278" s="12">
        <v>276.0</v>
      </c>
      <c r="B278" s="9" t="s">
        <v>342</v>
      </c>
      <c r="C278" s="9" t="s">
        <v>7</v>
      </c>
      <c r="D278" s="9" t="s">
        <v>184</v>
      </c>
      <c r="E278" s="9"/>
      <c r="G278" s="9" t="str">
        <f>IFERROR(VLOOKUP(C278,'MASTER TLPG'!A:B,2,FALSE),"")</f>
        <v>-7.203807110524606, 112.71950675497641</v>
      </c>
      <c r="H278" s="9" t="str">
        <f>IFERROR(VLOOKUP(D278,'MASTER PERUSAHAAN'!A:B,2,FALSE),"")</f>
        <v/>
      </c>
      <c r="J278" s="9" t="str">
        <f t="shared" si="1"/>
        <v/>
      </c>
      <c r="K278" s="11" t="str">
        <f t="shared" si="2"/>
        <v/>
      </c>
      <c r="M278" s="17">
        <v>10.0</v>
      </c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B278" s="48" t="str">
        <f>IFERROR(__xludf.DUMMYFUNCTION("""COMPUTED_VALUE"""),"SPPBE-PT. Om Agus")</f>
        <v>SPPBE-PT. Om Agus</v>
      </c>
      <c r="AC278" s="48" t="str">
        <f>IFERROR(__xludf.DUMMYFUNCTION("""COMPUTED_VALUE"""),"DR 8761 DC")</f>
        <v>DR 8761 DC</v>
      </c>
      <c r="AD278" s="48" t="str">
        <f>IFERROR(__xludf.DUMMYFUNCTION("""COMPUTED_VALUE"""),"TLPG LOMBOK")</f>
        <v>TLPG LOMBOK</v>
      </c>
      <c r="AE278" s="17">
        <f>IFERROR(__xludf.DUMMYFUNCTION("""COMPUTED_VALUE"""),1.0)</f>
        <v>1</v>
      </c>
    </row>
    <row r="279">
      <c r="A279" s="12">
        <v>277.0</v>
      </c>
      <c r="B279" s="9" t="s">
        <v>344</v>
      </c>
      <c r="C279" s="9" t="s">
        <v>25</v>
      </c>
      <c r="D279" s="9" t="s">
        <v>83</v>
      </c>
      <c r="E279" s="9"/>
      <c r="G279" s="9" t="str">
        <f>IFERROR(VLOOKUP(C279,'MASTER TLPG'!A:B,2,FALSE),"")</f>
        <v>-7.109201954744449, 112.62272164861744</v>
      </c>
      <c r="H279" s="9" t="str">
        <f>IFERROR(VLOOKUP(D279,'MASTER PERUSAHAAN'!A:B,2,FALSE),"")</f>
        <v/>
      </c>
      <c r="J279" s="9" t="str">
        <f t="shared" si="1"/>
        <v/>
      </c>
      <c r="K279" s="11" t="str">
        <f t="shared" si="2"/>
        <v/>
      </c>
      <c r="M279" s="17">
        <v>11.0</v>
      </c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B279" s="48" t="str">
        <f>IFERROR(__xludf.DUMMYFUNCTION("""COMPUTED_VALUE"""),"SPPBE-PT. Pancadarma Puspawira Putra")</f>
        <v>SPPBE-PT. Pancadarma Puspawira Putra</v>
      </c>
      <c r="AC279" s="48" t="str">
        <f>IFERROR(__xludf.DUMMYFUNCTION("""COMPUTED_VALUE"""),"B 9914 PEI")</f>
        <v>B 9914 PEI</v>
      </c>
      <c r="AD279" s="48" t="str">
        <f>IFERROR(__xludf.DUMMYFUNCTION("""COMPUTED_VALUE"""),"TLPG MANGGIS")</f>
        <v>TLPG MANGGIS</v>
      </c>
      <c r="AE279" s="17">
        <f>IFERROR(__xludf.DUMMYFUNCTION("""COMPUTED_VALUE"""),1.0)</f>
        <v>1</v>
      </c>
    </row>
    <row r="280">
      <c r="A280" s="12">
        <v>278.0</v>
      </c>
      <c r="B280" s="9" t="s">
        <v>345</v>
      </c>
      <c r="C280" s="9" t="s">
        <v>25</v>
      </c>
      <c r="D280" s="9" t="s">
        <v>121</v>
      </c>
      <c r="E280" s="9"/>
      <c r="G280" s="9" t="str">
        <f>IFERROR(VLOOKUP(C280,'MASTER TLPG'!A:B,2,FALSE),"")</f>
        <v>-7.109201954744449, 112.62272164861744</v>
      </c>
      <c r="H280" s="9" t="str">
        <f>IFERROR(VLOOKUP(D280,'MASTER PERUSAHAAN'!A:B,2,FALSE),"")</f>
        <v/>
      </c>
      <c r="J280" s="9" t="str">
        <f t="shared" si="1"/>
        <v/>
      </c>
      <c r="K280" s="11" t="str">
        <f t="shared" si="2"/>
        <v/>
      </c>
      <c r="M280" s="17">
        <v>11.0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B280" s="48" t="str">
        <f>IFERROR(__xludf.DUMMYFUNCTION("""COMPUTED_VALUE"""),"SPPBE-PT. Pancadarma Puspawira Putra")</f>
        <v>SPPBE-PT. Pancadarma Puspawira Putra</v>
      </c>
      <c r="AC280" s="48" t="str">
        <f>IFERROR(__xludf.DUMMYFUNCTION("""COMPUTED_VALUE"""),"DK 8141 JM")</f>
        <v>DK 8141 JM</v>
      </c>
      <c r="AD280" s="48" t="str">
        <f>IFERROR(__xludf.DUMMYFUNCTION("""COMPUTED_VALUE"""),"TLPG MANGGIS")</f>
        <v>TLPG MANGGIS</v>
      </c>
      <c r="AE280" s="17">
        <f>IFERROR(__xludf.DUMMYFUNCTION("""COMPUTED_VALUE"""),3.0)</f>
        <v>3</v>
      </c>
    </row>
    <row r="281">
      <c r="A281" s="12">
        <v>279.0</v>
      </c>
      <c r="B281" s="9" t="s">
        <v>346</v>
      </c>
      <c r="C281" s="9" t="s">
        <v>25</v>
      </c>
      <c r="D281" s="9" t="s">
        <v>121</v>
      </c>
      <c r="E281" s="9"/>
      <c r="G281" s="9" t="str">
        <f>IFERROR(VLOOKUP(C281,'MASTER TLPG'!A:B,2,FALSE),"")</f>
        <v>-7.109201954744449, 112.62272164861744</v>
      </c>
      <c r="H281" s="9" t="str">
        <f>IFERROR(VLOOKUP(D281,'MASTER PERUSAHAAN'!A:B,2,FALSE),"")</f>
        <v/>
      </c>
      <c r="J281" s="9" t="str">
        <f t="shared" si="1"/>
        <v/>
      </c>
      <c r="K281" s="11" t="str">
        <f t="shared" si="2"/>
        <v/>
      </c>
      <c r="M281" s="17">
        <v>11.0</v>
      </c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B281" s="48" t="str">
        <f>IFERROR(__xludf.DUMMYFUNCTION("""COMPUTED_VALUE"""),"SPPBE-PT. Pande Agung Dewata")</f>
        <v>SPPBE-PT. Pande Agung Dewata</v>
      </c>
      <c r="AC281" s="48" t="str">
        <f>IFERROR(__xludf.DUMMYFUNCTION("""COMPUTED_VALUE"""),"DK 8146 BZ")</f>
        <v>DK 8146 BZ</v>
      </c>
      <c r="AD281" s="48" t="str">
        <f>IFERROR(__xludf.DUMMYFUNCTION("""COMPUTED_VALUE"""),"TLPG MANGGIS")</f>
        <v>TLPG MANGGIS</v>
      </c>
      <c r="AE281" s="17">
        <f>IFERROR(__xludf.DUMMYFUNCTION("""COMPUTED_VALUE"""),3.0)</f>
        <v>3</v>
      </c>
    </row>
    <row r="282">
      <c r="A282" s="12">
        <v>280.0</v>
      </c>
      <c r="B282" s="9" t="s">
        <v>347</v>
      </c>
      <c r="C282" s="9" t="s">
        <v>32</v>
      </c>
      <c r="D282" s="9" t="s">
        <v>184</v>
      </c>
      <c r="E282" s="9"/>
      <c r="G282" s="9" t="str">
        <f>IFERROR(VLOOKUP(C282,'MASTER TLPG'!A:B,2,FALSE),"")</f>
        <v>-8.509457097470957, 115.50344705076587</v>
      </c>
      <c r="H282" s="9" t="str">
        <f>IFERROR(VLOOKUP(D282,'MASTER PERUSAHAAN'!A:B,2,FALSE),"")</f>
        <v/>
      </c>
      <c r="J282" s="9" t="str">
        <f t="shared" si="1"/>
        <v/>
      </c>
      <c r="K282" s="11" t="str">
        <f t="shared" si="2"/>
        <v/>
      </c>
      <c r="M282" s="17">
        <v>11.0</v>
      </c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B282" s="48" t="str">
        <f>IFERROR(__xludf.DUMMYFUNCTION("""COMPUTED_VALUE"""),"SPPBE-PT. Pande Agung Dewata")</f>
        <v>SPPBE-PT. Pande Agung Dewata</v>
      </c>
      <c r="AC282" s="48" t="str">
        <f>IFERROR(__xludf.DUMMYFUNCTION("""COMPUTED_VALUE"""),"DK 8859 CK")</f>
        <v>DK 8859 CK</v>
      </c>
      <c r="AD282" s="48" t="str">
        <f>IFERROR(__xludf.DUMMYFUNCTION("""COMPUTED_VALUE"""),"TLPG MANGGIS")</f>
        <v>TLPG MANGGIS</v>
      </c>
      <c r="AE282" s="17">
        <f>IFERROR(__xludf.DUMMYFUNCTION("""COMPUTED_VALUE"""),5.0)</f>
        <v>5</v>
      </c>
    </row>
    <row r="283">
      <c r="A283" s="12">
        <v>281.0</v>
      </c>
      <c r="B283" s="9" t="s">
        <v>348</v>
      </c>
      <c r="C283" s="9" t="s">
        <v>32</v>
      </c>
      <c r="D283" s="9" t="s">
        <v>206</v>
      </c>
      <c r="E283" s="49">
        <v>110.1</v>
      </c>
      <c r="F283" s="23" t="s">
        <v>454</v>
      </c>
      <c r="G283" s="9" t="str">
        <f>IFERROR(VLOOKUP(C283,'MASTER TLPG'!A:B,2,FALSE),"")</f>
        <v>-8.509457097470957, 115.50344705076587</v>
      </c>
      <c r="H283" s="9" t="str">
        <f>IFERROR(VLOOKUP(D283,'MASTER PERUSAHAAN'!A:B,2,FALSE),"")</f>
        <v>-8.176693652789284, 115.00358837055657</v>
      </c>
      <c r="J283" s="9" t="str">
        <f t="shared" si="1"/>
        <v>SEDANG</v>
      </c>
      <c r="K283" s="11">
        <f t="shared" si="2"/>
        <v>2</v>
      </c>
      <c r="M283" s="17">
        <v>11.0</v>
      </c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B283" s="48" t="str">
        <f>IFERROR(__xludf.DUMMYFUNCTION("""COMPUTED_VALUE"""),"SPPBE-PT. Pande Agung Dewata")</f>
        <v>SPPBE-PT. Pande Agung Dewata</v>
      </c>
      <c r="AC283" s="48" t="str">
        <f>IFERROR(__xludf.DUMMYFUNCTION("""COMPUTED_VALUE"""),"DK 8565 BS")</f>
        <v>DK 8565 BS</v>
      </c>
      <c r="AD283" s="48" t="str">
        <f>IFERROR(__xludf.DUMMYFUNCTION("""COMPUTED_VALUE"""),"TLPG MANGGIS")</f>
        <v>TLPG MANGGIS</v>
      </c>
      <c r="AE283" s="17">
        <f>IFERROR(__xludf.DUMMYFUNCTION("""COMPUTED_VALUE"""),9.0)</f>
        <v>9</v>
      </c>
    </row>
    <row r="284">
      <c r="A284" s="12">
        <v>282.0</v>
      </c>
      <c r="B284" s="9" t="s">
        <v>349</v>
      </c>
      <c r="C284" s="9" t="s">
        <v>32</v>
      </c>
      <c r="D284" s="9" t="s">
        <v>476</v>
      </c>
      <c r="E284" s="49">
        <v>49.9</v>
      </c>
      <c r="F284" s="23" t="s">
        <v>454</v>
      </c>
      <c r="G284" s="9" t="str">
        <f>IFERROR(VLOOKUP(C284,'MASTER TLPG'!A:B,2,FALSE),"")</f>
        <v>-8.509457097470957, 115.50344705076587</v>
      </c>
      <c r="H284" s="9" t="str">
        <f>IFERROR(VLOOKUP(D284,'MASTER PERUSAHAAN'!A:B,2,FALSE),"")</f>
        <v>-8.398676673158386, 115.32623697915217</v>
      </c>
      <c r="J284" s="9" t="str">
        <f t="shared" si="1"/>
        <v>DEKAT</v>
      </c>
      <c r="K284" s="11">
        <f t="shared" si="2"/>
        <v>1</v>
      </c>
      <c r="M284" s="17">
        <v>11.0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B284" s="48" t="str">
        <f>IFERROR(__xludf.DUMMYFUNCTION("""COMPUTED_VALUE"""),"SPPBE-PT. Permata Indah Dewata")</f>
        <v>SPPBE-PT. Permata Indah Dewata</v>
      </c>
      <c r="AC284" s="48" t="str">
        <f>IFERROR(__xludf.DUMMYFUNCTION("""COMPUTED_VALUE"""),"DK 8596 AO")</f>
        <v>DK 8596 AO</v>
      </c>
      <c r="AD284" s="48" t="str">
        <f>IFERROR(__xludf.DUMMYFUNCTION("""COMPUTED_VALUE"""),"TLPG LOMBOK")</f>
        <v>TLPG LOMBOK</v>
      </c>
      <c r="AE284" s="17">
        <f>IFERROR(__xludf.DUMMYFUNCTION("""COMPUTED_VALUE"""),3.0)</f>
        <v>3</v>
      </c>
    </row>
    <row r="285">
      <c r="A285" s="12">
        <v>283.0</v>
      </c>
      <c r="B285" s="9" t="s">
        <v>350</v>
      </c>
      <c r="C285" s="9" t="s">
        <v>32</v>
      </c>
      <c r="D285" s="9" t="s">
        <v>461</v>
      </c>
      <c r="E285" s="49">
        <v>41.3</v>
      </c>
      <c r="F285" s="23" t="s">
        <v>454</v>
      </c>
      <c r="G285" s="9" t="str">
        <f>IFERROR(VLOOKUP(C285,'MASTER TLPG'!A:B,2,FALSE),"")</f>
        <v>-8.509457097470957, 115.50344705076587</v>
      </c>
      <c r="H285" s="9" t="str">
        <f>IFERROR(VLOOKUP(D285,'MASTER PERUSAHAAN'!A:B,2,FALSE),"")</f>
        <v>-8.60490527416331, 115.23575573605264</v>
      </c>
      <c r="J285" s="9" t="str">
        <f t="shared" si="1"/>
        <v>DEKAT</v>
      </c>
      <c r="K285" s="11">
        <f t="shared" si="2"/>
        <v>1</v>
      </c>
      <c r="M285" s="17">
        <v>11.0</v>
      </c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B285" s="48" t="str">
        <f>IFERROR(__xludf.DUMMYFUNCTION("""COMPUTED_VALUE"""),"SPPBE-PT. Permata Indah Dewata")</f>
        <v>SPPBE-PT. Permata Indah Dewata</v>
      </c>
      <c r="AC285" s="48" t="str">
        <f>IFERROR(__xludf.DUMMYFUNCTION("""COMPUTED_VALUE"""),"DK 8611 AO")</f>
        <v>DK 8611 AO</v>
      </c>
      <c r="AD285" s="48" t="str">
        <f>IFERROR(__xludf.DUMMYFUNCTION("""COMPUTED_VALUE"""),"TLPG LOMBOK")</f>
        <v>TLPG LOMBOK</v>
      </c>
      <c r="AE285" s="17">
        <f>IFERROR(__xludf.DUMMYFUNCTION("""COMPUTED_VALUE"""),3.0)</f>
        <v>3</v>
      </c>
    </row>
    <row r="286">
      <c r="A286" s="12">
        <v>284.0</v>
      </c>
      <c r="B286" s="9" t="s">
        <v>351</v>
      </c>
      <c r="C286" s="9" t="s">
        <v>39</v>
      </c>
      <c r="D286" s="9" t="s">
        <v>473</v>
      </c>
      <c r="E286" s="9"/>
      <c r="G286" s="9" t="str">
        <f>IFERROR(VLOOKUP(C286,'MASTER TLPG'!A:B,2,FALSE),"")</f>
        <v>-8.477696591405829, 118.71143008615176</v>
      </c>
      <c r="H286" s="9" t="str">
        <f>IFERROR(VLOOKUP(D286,'MASTER PERUSAHAAN'!A:B,2,FALSE),"")</f>
        <v/>
      </c>
      <c r="J286" s="9" t="str">
        <f t="shared" si="1"/>
        <v/>
      </c>
      <c r="K286" s="11" t="str">
        <f t="shared" si="2"/>
        <v/>
      </c>
      <c r="M286" s="17">
        <v>11.0</v>
      </c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B286" s="48" t="str">
        <f>IFERROR(__xludf.DUMMYFUNCTION("""COMPUTED_VALUE"""),"SPPBE-PT. Prapen Ananda Dewata")</f>
        <v>SPPBE-PT. Prapen Ananda Dewata</v>
      </c>
      <c r="AC286" s="48" t="str">
        <f>IFERROR(__xludf.DUMMYFUNCTION("""COMPUTED_VALUE"""),"DK 8285 DT")</f>
        <v>DK 8285 DT</v>
      </c>
      <c r="AD286" s="48" t="str">
        <f>IFERROR(__xludf.DUMMYFUNCTION("""COMPUTED_VALUE"""),"TLPG MANGGIS")</f>
        <v>TLPG MANGGIS</v>
      </c>
      <c r="AE286" s="17">
        <f>IFERROR(__xludf.DUMMYFUNCTION("""COMPUTED_VALUE"""),6.0)</f>
        <v>6</v>
      </c>
    </row>
    <row r="287">
      <c r="A287" s="12">
        <v>285.0</v>
      </c>
      <c r="B287" s="9" t="s">
        <v>352</v>
      </c>
      <c r="C287" s="9" t="s">
        <v>7</v>
      </c>
      <c r="D287" s="9" t="s">
        <v>482</v>
      </c>
      <c r="E287" s="49">
        <v>109.8</v>
      </c>
      <c r="F287" s="23" t="s">
        <v>454</v>
      </c>
      <c r="G287" s="9" t="str">
        <f>IFERROR(VLOOKUP(C287,'MASTER TLPG'!A:B,2,FALSE),"")</f>
        <v>-7.203807110524606, 112.71950675497641</v>
      </c>
      <c r="H287" s="9" t="str">
        <f>IFERROR(VLOOKUP(D287,'MASTER PERUSAHAAN'!A:B,2,FALSE),"")</f>
        <v>-8.048465679770125, 112.6417271521968</v>
      </c>
      <c r="J287" s="9" t="str">
        <f t="shared" si="1"/>
        <v>SEDANG</v>
      </c>
      <c r="K287" s="11">
        <f t="shared" si="2"/>
        <v>2</v>
      </c>
      <c r="M287" s="17">
        <v>11.0</v>
      </c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B287" s="48" t="str">
        <f>IFERROR(__xludf.DUMMYFUNCTION("""COMPUTED_VALUE"""),"SPPBE-PT. Prapen Ananda Dewata")</f>
        <v>SPPBE-PT. Prapen Ananda Dewata</v>
      </c>
      <c r="AC287" s="48" t="str">
        <f>IFERROR(__xludf.DUMMYFUNCTION("""COMPUTED_VALUE"""),"DK 8117 FS")</f>
        <v>DK 8117 FS</v>
      </c>
      <c r="AD287" s="48" t="str">
        <f>IFERROR(__xludf.DUMMYFUNCTION("""COMPUTED_VALUE"""),"TLPG MANGGIS")</f>
        <v>TLPG MANGGIS</v>
      </c>
      <c r="AE287" s="17">
        <f>IFERROR(__xludf.DUMMYFUNCTION("""COMPUTED_VALUE"""),7.0)</f>
        <v>7</v>
      </c>
    </row>
    <row r="288">
      <c r="A288" s="12">
        <v>286.0</v>
      </c>
      <c r="B288" s="9" t="s">
        <v>353</v>
      </c>
      <c r="C288" s="9" t="s">
        <v>7</v>
      </c>
      <c r="D288" s="9" t="s">
        <v>482</v>
      </c>
      <c r="E288" s="49">
        <v>109.8</v>
      </c>
      <c r="F288" s="23" t="s">
        <v>454</v>
      </c>
      <c r="G288" s="9" t="str">
        <f>IFERROR(VLOOKUP(C288,'MASTER TLPG'!A:B,2,FALSE),"")</f>
        <v>-7.203807110524606, 112.71950675497641</v>
      </c>
      <c r="H288" s="9" t="str">
        <f>IFERROR(VLOOKUP(D288,'MASTER PERUSAHAAN'!A:B,2,FALSE),"")</f>
        <v>-8.048465679770125, 112.6417271521968</v>
      </c>
      <c r="J288" s="9" t="str">
        <f t="shared" si="1"/>
        <v>SEDANG</v>
      </c>
      <c r="K288" s="11">
        <f t="shared" si="2"/>
        <v>2</v>
      </c>
      <c r="M288" s="17">
        <v>11.0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B288" s="48" t="str">
        <f>IFERROR(__xludf.DUMMYFUNCTION("""COMPUTED_VALUE"""),"SPPBE-PT. Prapen Artha Dewata")</f>
        <v>SPPBE-PT. Prapen Artha Dewata</v>
      </c>
      <c r="AC288" s="48" t="str">
        <f>IFERROR(__xludf.DUMMYFUNCTION("""COMPUTED_VALUE"""),"DK 8694 KP")</f>
        <v>DK 8694 KP</v>
      </c>
      <c r="AD288" s="48" t="str">
        <f>IFERROR(__xludf.DUMMYFUNCTION("""COMPUTED_VALUE"""),"TLPG MANGGIS")</f>
        <v>TLPG MANGGIS</v>
      </c>
      <c r="AE288" s="17">
        <f>IFERROR(__xludf.DUMMYFUNCTION("""COMPUTED_VALUE"""),11.0)</f>
        <v>11</v>
      </c>
    </row>
    <row r="289">
      <c r="A289" s="12">
        <v>287.0</v>
      </c>
      <c r="B289" s="9" t="s">
        <v>354</v>
      </c>
      <c r="C289" s="9" t="s">
        <v>28</v>
      </c>
      <c r="D289" s="9" t="s">
        <v>184</v>
      </c>
      <c r="E289" s="9"/>
      <c r="G289" s="9" t="str">
        <f>IFERROR(VLOOKUP(C289,'MASTER TLPG'!A:B,2,FALSE),"")</f>
        <v>-8.16862812274526, 114.38753900822569</v>
      </c>
      <c r="H289" s="9" t="str">
        <f>IFERROR(VLOOKUP(D289,'MASTER PERUSAHAAN'!A:B,2,FALSE),"")</f>
        <v/>
      </c>
      <c r="J289" s="9" t="str">
        <f t="shared" si="1"/>
        <v/>
      </c>
      <c r="K289" s="11" t="str">
        <f t="shared" si="2"/>
        <v/>
      </c>
      <c r="M289" s="17">
        <v>11.0</v>
      </c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B289" s="48" t="str">
        <f>IFERROR(__xludf.DUMMYFUNCTION("""COMPUTED_VALUE"""),"SPPBE-PT. Putra Bali Dwipa")</f>
        <v>SPPBE-PT. Putra Bali Dwipa</v>
      </c>
      <c r="AC289" s="48" t="str">
        <f>IFERROR(__xludf.DUMMYFUNCTION("""COMPUTED_VALUE"""),"DK 8584 OL")</f>
        <v>DK 8584 OL</v>
      </c>
      <c r="AD289" s="48" t="str">
        <f>IFERROR(__xludf.DUMMYFUNCTION("""COMPUTED_VALUE"""),"TLPG MANGGIS")</f>
        <v>TLPG MANGGIS</v>
      </c>
      <c r="AE289" s="17">
        <f>IFERROR(__xludf.DUMMYFUNCTION("""COMPUTED_VALUE"""),10.0)</f>
        <v>10</v>
      </c>
    </row>
    <row r="290">
      <c r="A290" s="12">
        <v>288.0</v>
      </c>
      <c r="B290" s="9" t="s">
        <v>355</v>
      </c>
      <c r="C290" s="9" t="s">
        <v>25</v>
      </c>
      <c r="D290" s="9" t="s">
        <v>457</v>
      </c>
      <c r="E290" s="49">
        <v>202.3</v>
      </c>
      <c r="F290" s="23" t="s">
        <v>454</v>
      </c>
      <c r="G290" s="9" t="str">
        <f>IFERROR(VLOOKUP(C290,'MASTER TLPG'!A:B,2,FALSE),"")</f>
        <v>-7.109201954744449, 112.62272164861744</v>
      </c>
      <c r="H290" s="9" t="str">
        <f>IFERROR(VLOOKUP(D290,'MASTER PERUSAHAAN'!A:B,2,FALSE),"")</f>
        <v>-8.200783105056905, 113.54431122765624</v>
      </c>
      <c r="J290" s="9" t="str">
        <f t="shared" si="1"/>
        <v>JAUH</v>
      </c>
      <c r="K290" s="11">
        <f t="shared" si="2"/>
        <v>3</v>
      </c>
      <c r="M290" s="17">
        <v>11.0</v>
      </c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B290" s="48" t="str">
        <f>IFERROR(__xludf.DUMMYFUNCTION("""COMPUTED_VALUE"""),"SPPBE-PT. Putra Bali Dwipa")</f>
        <v>SPPBE-PT. Putra Bali Dwipa</v>
      </c>
      <c r="AC290" s="48" t="str">
        <f>IFERROR(__xludf.DUMMYFUNCTION("""COMPUTED_VALUE"""),"DK 8587 OL")</f>
        <v>DK 8587 OL</v>
      </c>
      <c r="AD290" s="48" t="str">
        <f>IFERROR(__xludf.DUMMYFUNCTION("""COMPUTED_VALUE"""),"TLPG MANGGIS")</f>
        <v>TLPG MANGGIS</v>
      </c>
      <c r="AE290" s="17">
        <f>IFERROR(__xludf.DUMMYFUNCTION("""COMPUTED_VALUE"""),10.0)</f>
        <v>10</v>
      </c>
    </row>
    <row r="291">
      <c r="A291" s="12">
        <v>289.0</v>
      </c>
      <c r="B291" s="9" t="s">
        <v>356</v>
      </c>
      <c r="C291" s="9" t="s">
        <v>28</v>
      </c>
      <c r="D291" s="9" t="s">
        <v>457</v>
      </c>
      <c r="E291" s="49">
        <v>127.7</v>
      </c>
      <c r="F291" s="23" t="s">
        <v>454</v>
      </c>
      <c r="G291" s="9" t="str">
        <f>IFERROR(VLOOKUP(C291,'MASTER TLPG'!A:B,2,FALSE),"")</f>
        <v>-8.16862812274526, 114.38753900822569</v>
      </c>
      <c r="H291" s="9" t="str">
        <f>IFERROR(VLOOKUP(D291,'MASTER PERUSAHAAN'!A:B,2,FALSE),"")</f>
        <v>-8.200783105056905, 113.54431122765624</v>
      </c>
      <c r="J291" s="9" t="str">
        <f t="shared" si="1"/>
        <v>SEDANG</v>
      </c>
      <c r="K291" s="11">
        <f t="shared" si="2"/>
        <v>2</v>
      </c>
      <c r="M291" s="17">
        <v>11.0</v>
      </c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B291" s="48" t="str">
        <f>IFERROR(__xludf.DUMMYFUNCTION("""COMPUTED_VALUE"""),"SPPBE-PT. Putra Bali Dwipa")</f>
        <v>SPPBE-PT. Putra Bali Dwipa</v>
      </c>
      <c r="AC291" s="48" t="str">
        <f>IFERROR(__xludf.DUMMYFUNCTION("""COMPUTED_VALUE"""),"DK 8588 OL")</f>
        <v>DK 8588 OL</v>
      </c>
      <c r="AD291" s="48" t="str">
        <f>IFERROR(__xludf.DUMMYFUNCTION("""COMPUTED_VALUE"""),"TLPG MANGGIS")</f>
        <v>TLPG MANGGIS</v>
      </c>
      <c r="AE291" s="17">
        <f>IFERROR(__xludf.DUMMYFUNCTION("""COMPUTED_VALUE"""),10.0)</f>
        <v>10</v>
      </c>
    </row>
    <row r="292">
      <c r="A292" s="12">
        <v>290.0</v>
      </c>
      <c r="B292" s="9" t="s">
        <v>357</v>
      </c>
      <c r="C292" s="9" t="s">
        <v>25</v>
      </c>
      <c r="D292" s="9" t="s">
        <v>484</v>
      </c>
      <c r="E292" s="49">
        <v>53.4</v>
      </c>
      <c r="F292" s="23" t="s">
        <v>454</v>
      </c>
      <c r="G292" s="9" t="str">
        <f>IFERROR(VLOOKUP(C292,'MASTER TLPG'!A:B,2,FALSE),"")</f>
        <v>-7.109201954744449, 112.62272164861744</v>
      </c>
      <c r="H292" s="9" t="str">
        <f>IFERROR(VLOOKUP(D292,'MASTER PERUSAHAAN'!A:B,2,FALSE),"")</f>
        <v>-7.1012023947750125, 112.21670364834188</v>
      </c>
      <c r="J292" s="9" t="str">
        <f t="shared" si="1"/>
        <v>SEDANG</v>
      </c>
      <c r="K292" s="11">
        <f t="shared" si="2"/>
        <v>2</v>
      </c>
      <c r="M292" s="17">
        <v>11.0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B292" s="48" t="str">
        <f>IFERROR(__xludf.DUMMYFUNCTION("""COMPUTED_VALUE"""),"SPPBE-PT. Sadikun LPG 3Kg")</f>
        <v>SPPBE-PT. Sadikun LPG 3Kg</v>
      </c>
      <c r="AC292" s="48" t="str">
        <f>IFERROR(__xludf.DUMMYFUNCTION("""COMPUTED_VALUE"""),"DK 8394 CP")</f>
        <v>DK 8394 CP</v>
      </c>
      <c r="AD292" s="48" t="str">
        <f>IFERROR(__xludf.DUMMYFUNCTION("""COMPUTED_VALUE"""),"TLPG MANGGIS")</f>
        <v>TLPG MANGGIS</v>
      </c>
      <c r="AE292" s="17">
        <f>IFERROR(__xludf.DUMMYFUNCTION("""COMPUTED_VALUE"""),8.0)</f>
        <v>8</v>
      </c>
    </row>
    <row r="293">
      <c r="A293" s="12">
        <v>291.0</v>
      </c>
      <c r="B293" s="9" t="s">
        <v>358</v>
      </c>
      <c r="C293" s="9" t="s">
        <v>7</v>
      </c>
      <c r="D293" s="9" t="s">
        <v>488</v>
      </c>
      <c r="E293" s="49">
        <v>94.9</v>
      </c>
      <c r="F293" s="23" t="s">
        <v>454</v>
      </c>
      <c r="G293" s="9" t="str">
        <f>IFERROR(VLOOKUP(C293,'MASTER TLPG'!A:B,2,FALSE),"")</f>
        <v>-7.203807110524606, 112.71950675497641</v>
      </c>
      <c r="H293" s="9" t="str">
        <f>IFERROR(VLOOKUP(D293,'MASTER PERUSAHAAN'!A:B,2,FALSE),"")</f>
        <v>-7.5929458046787595, 112.12675242049964</v>
      </c>
      <c r="J293" s="9" t="str">
        <f t="shared" si="1"/>
        <v>SEDANG</v>
      </c>
      <c r="K293" s="11">
        <f t="shared" si="2"/>
        <v>2</v>
      </c>
      <c r="M293" s="17">
        <v>11.0</v>
      </c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B293" s="48" t="str">
        <f>IFERROR(__xludf.DUMMYFUNCTION("""COMPUTED_VALUE"""),"SPPBE-PT. Sadikun LPG 3Kg")</f>
        <v>SPPBE-PT. Sadikun LPG 3Kg</v>
      </c>
      <c r="AC293" s="48" t="str">
        <f>IFERROR(__xludf.DUMMYFUNCTION("""COMPUTED_VALUE"""),"DK 8100 CL")</f>
        <v>DK 8100 CL</v>
      </c>
      <c r="AD293" s="48" t="str">
        <f>IFERROR(__xludf.DUMMYFUNCTION("""COMPUTED_VALUE"""),"TLPG MANGGIS")</f>
        <v>TLPG MANGGIS</v>
      </c>
      <c r="AE293" s="17">
        <f>IFERROR(__xludf.DUMMYFUNCTION("""COMPUTED_VALUE"""),9.0)</f>
        <v>9</v>
      </c>
    </row>
    <row r="294">
      <c r="A294" s="12">
        <v>292.0</v>
      </c>
      <c r="B294" s="9" t="s">
        <v>360</v>
      </c>
      <c r="C294" s="9" t="s">
        <v>7</v>
      </c>
      <c r="D294" s="9" t="s">
        <v>492</v>
      </c>
      <c r="E294" s="49">
        <v>77.9</v>
      </c>
      <c r="F294" s="23" t="s">
        <v>454</v>
      </c>
      <c r="G294" s="9" t="str">
        <f>IFERROR(VLOOKUP(C294,'MASTER TLPG'!A:B,2,FALSE),"")</f>
        <v>-7.203807110524606, 112.71950675497641</v>
      </c>
      <c r="H294" s="9" t="str">
        <f>IFERROR(VLOOKUP(D294,'MASTER PERUSAHAAN'!A:B,2,FALSE),"")</f>
        <v>-7.564115246483624, 112.32550520634713</v>
      </c>
      <c r="J294" s="9" t="str">
        <f t="shared" si="1"/>
        <v>SEDANG</v>
      </c>
      <c r="K294" s="11">
        <f t="shared" si="2"/>
        <v>2</v>
      </c>
      <c r="M294" s="17">
        <v>11.0</v>
      </c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B294" s="48" t="str">
        <f>IFERROR(__xludf.DUMMYFUNCTION("""COMPUTED_VALUE"""),"SPPBE-PT. Sadikun LPG 3Kg")</f>
        <v>SPPBE-PT. Sadikun LPG 3Kg</v>
      </c>
      <c r="AC294" s="48" t="str">
        <f>IFERROR(__xludf.DUMMYFUNCTION("""COMPUTED_VALUE"""),"DK 8547 CV")</f>
        <v>DK 8547 CV</v>
      </c>
      <c r="AD294" s="48" t="str">
        <f>IFERROR(__xludf.DUMMYFUNCTION("""COMPUTED_VALUE"""),"TLPG MANGGIS")</f>
        <v>TLPG MANGGIS</v>
      </c>
      <c r="AE294" s="17">
        <f>IFERROR(__xludf.DUMMYFUNCTION("""COMPUTED_VALUE"""),9.0)</f>
        <v>9</v>
      </c>
    </row>
    <row r="295">
      <c r="A295" s="12">
        <v>293.0</v>
      </c>
      <c r="B295" s="9" t="s">
        <v>361</v>
      </c>
      <c r="C295" s="9" t="s">
        <v>7</v>
      </c>
      <c r="D295" s="9" t="s">
        <v>494</v>
      </c>
      <c r="E295" s="49">
        <v>44.3</v>
      </c>
      <c r="F295" s="23" t="s">
        <v>454</v>
      </c>
      <c r="G295" s="9" t="str">
        <f>IFERROR(VLOOKUP(C295,'MASTER TLPG'!A:B,2,FALSE),"")</f>
        <v>-7.203807110524606, 112.71950675497641</v>
      </c>
      <c r="H295" s="9" t="str">
        <f>IFERROR(VLOOKUP(D295,'MASTER PERUSAHAAN'!A:B,2,FALSE),"")</f>
        <v>-7.490760492490211, 112.62539867849952</v>
      </c>
      <c r="J295" s="9" t="str">
        <f t="shared" si="1"/>
        <v>DEKAT</v>
      </c>
      <c r="K295" s="11">
        <f t="shared" si="2"/>
        <v>1</v>
      </c>
      <c r="M295" s="17">
        <v>11.0</v>
      </c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B295" s="48" t="str">
        <f>IFERROR(__xludf.DUMMYFUNCTION("""COMPUTED_VALUE"""),"SPPBE-PT. Sari Dharma Mandiri")</f>
        <v>SPPBE-PT. Sari Dharma Mandiri</v>
      </c>
      <c r="AC295" s="48" t="str">
        <f>IFERROR(__xludf.DUMMYFUNCTION("""COMPUTED_VALUE"""),"DK 8197 BK")</f>
        <v>DK 8197 BK</v>
      </c>
      <c r="AD295" s="48" t="str">
        <f>IFERROR(__xludf.DUMMYFUNCTION("""COMPUTED_VALUE"""),"TLPG MANGGIS")</f>
        <v>TLPG MANGGIS</v>
      </c>
      <c r="AE295" s="17">
        <f>IFERROR(__xludf.DUMMYFUNCTION("""COMPUTED_VALUE"""),4.0)</f>
        <v>4</v>
      </c>
    </row>
    <row r="296">
      <c r="A296" s="12">
        <v>294.0</v>
      </c>
      <c r="B296" s="9" t="s">
        <v>362</v>
      </c>
      <c r="C296" s="9" t="s">
        <v>7</v>
      </c>
      <c r="D296" s="9" t="s">
        <v>489</v>
      </c>
      <c r="E296" s="49">
        <v>65.8</v>
      </c>
      <c r="F296" s="23" t="s">
        <v>454</v>
      </c>
      <c r="G296" s="9" t="str">
        <f>IFERROR(VLOOKUP(C296,'MASTER TLPG'!A:B,2,FALSE),"")</f>
        <v>-7.203807110524606, 112.71950675497641</v>
      </c>
      <c r="H296" s="9" t="str">
        <f>IFERROR(VLOOKUP(D296,'MASTER PERUSAHAAN'!A:B,2,FALSE),"")</f>
        <v>-7.616120955612881, 112.53741549199214</v>
      </c>
      <c r="J296" s="9" t="str">
        <f t="shared" si="1"/>
        <v>SEDANG</v>
      </c>
      <c r="K296" s="11">
        <f t="shared" si="2"/>
        <v>2</v>
      </c>
      <c r="M296" s="17">
        <v>11.0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B296" s="48" t="str">
        <f>IFERROR(__xludf.DUMMYFUNCTION("""COMPUTED_VALUE"""),"SPPBE-PT. Sari Dharma Mandiri")</f>
        <v>SPPBE-PT. Sari Dharma Mandiri</v>
      </c>
      <c r="AC296" s="48" t="str">
        <f>IFERROR(__xludf.DUMMYFUNCTION("""COMPUTED_VALUE"""),"DK 8198 BK")</f>
        <v>DK 8198 BK</v>
      </c>
      <c r="AD296" s="48" t="str">
        <f>IFERROR(__xludf.DUMMYFUNCTION("""COMPUTED_VALUE"""),"TLPG MANGGIS")</f>
        <v>TLPG MANGGIS</v>
      </c>
      <c r="AE296" s="17">
        <f>IFERROR(__xludf.DUMMYFUNCTION("""COMPUTED_VALUE"""),5.0)</f>
        <v>5</v>
      </c>
    </row>
    <row r="297">
      <c r="A297" s="12">
        <v>295.0</v>
      </c>
      <c r="B297" s="9" t="s">
        <v>364</v>
      </c>
      <c r="C297" s="9" t="s">
        <v>7</v>
      </c>
      <c r="D297" s="9" t="s">
        <v>489</v>
      </c>
      <c r="E297" s="49">
        <v>65.8</v>
      </c>
      <c r="F297" s="23" t="s">
        <v>454</v>
      </c>
      <c r="G297" s="9" t="str">
        <f>IFERROR(VLOOKUP(C297,'MASTER TLPG'!A:B,2,FALSE),"")</f>
        <v>-7.203807110524606, 112.71950675497641</v>
      </c>
      <c r="H297" s="9" t="str">
        <f>IFERROR(VLOOKUP(D297,'MASTER PERUSAHAAN'!A:B,2,FALSE),"")</f>
        <v>-7.616120955612881, 112.53741549199214</v>
      </c>
      <c r="J297" s="9" t="str">
        <f t="shared" si="1"/>
        <v>SEDANG</v>
      </c>
      <c r="K297" s="11">
        <f t="shared" si="2"/>
        <v>2</v>
      </c>
      <c r="M297" s="17">
        <v>11.0</v>
      </c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B297" s="48" t="str">
        <f>IFERROR(__xludf.DUMMYFUNCTION("""COMPUTED_VALUE"""),"SPPBE-PT. Sari Dharma Mandiri")</f>
        <v>SPPBE-PT. Sari Dharma Mandiri</v>
      </c>
      <c r="AC297" s="48" t="str">
        <f>IFERROR(__xludf.DUMMYFUNCTION("""COMPUTED_VALUE"""),"DK 8967 CA")</f>
        <v>DK 8967 CA</v>
      </c>
      <c r="AD297" s="48" t="str">
        <f>IFERROR(__xludf.DUMMYFUNCTION("""COMPUTED_VALUE"""),"TLPG MANGGIS")</f>
        <v>TLPG MANGGIS</v>
      </c>
      <c r="AE297" s="17">
        <f>IFERROR(__xludf.DUMMYFUNCTION("""COMPUTED_VALUE"""),9.0)</f>
        <v>9</v>
      </c>
    </row>
    <row r="298">
      <c r="A298" s="12">
        <v>296.0</v>
      </c>
      <c r="B298" s="9" t="s">
        <v>365</v>
      </c>
      <c r="C298" s="9" t="s">
        <v>7</v>
      </c>
      <c r="D298" s="9" t="s">
        <v>493</v>
      </c>
      <c r="E298" s="49">
        <v>140.5</v>
      </c>
      <c r="F298" s="23" t="s">
        <v>454</v>
      </c>
      <c r="G298" s="9" t="str">
        <f>IFERROR(VLOOKUP(C298,'MASTER TLPG'!A:B,2,FALSE),"")</f>
        <v>-7.203807110524606, 112.71950675497641</v>
      </c>
      <c r="H298" s="9" t="str">
        <f>IFERROR(VLOOKUP(D298,'MASTER PERUSAHAAN'!A:B,2,FALSE),"")</f>
        <v>-7.1615437520195675, 111.63705730006576</v>
      </c>
      <c r="J298" s="9" t="str">
        <f t="shared" si="1"/>
        <v>SEDANG</v>
      </c>
      <c r="K298" s="11">
        <f t="shared" si="2"/>
        <v>2</v>
      </c>
      <c r="M298" s="17">
        <v>11.0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B298" s="48" t="str">
        <f>IFERROR(__xludf.DUMMYFUNCTION("""COMPUTED_VALUE"""),"SPPBE-PT. Segara Windhu Dewata")</f>
        <v>SPPBE-PT. Segara Windhu Dewata</v>
      </c>
      <c r="AC298" s="48" t="str">
        <f>IFERROR(__xludf.DUMMYFUNCTION("""COMPUTED_VALUE"""),"DK 8368 PA")</f>
        <v>DK 8368 PA</v>
      </c>
      <c r="AD298" s="48" t="str">
        <f>IFERROR(__xludf.DUMMYFUNCTION("""COMPUTED_VALUE"""),"TLPG MANGGIS")</f>
        <v>TLPG MANGGIS</v>
      </c>
      <c r="AE298" s="17">
        <f>IFERROR(__xludf.DUMMYFUNCTION("""COMPUTED_VALUE"""),8.0)</f>
        <v>8</v>
      </c>
    </row>
    <row r="299">
      <c r="A299" s="12">
        <v>297.0</v>
      </c>
      <c r="B299" s="9" t="s">
        <v>367</v>
      </c>
      <c r="C299" s="9" t="s">
        <v>7</v>
      </c>
      <c r="D299" s="9" t="s">
        <v>495</v>
      </c>
      <c r="E299" s="9"/>
      <c r="G299" s="9" t="str">
        <f>IFERROR(VLOOKUP(C299,'MASTER TLPG'!A:B,2,FALSE),"")</f>
        <v>-7.203807110524606, 112.71950675497641</v>
      </c>
      <c r="H299" s="9" t="str">
        <f>IFERROR(VLOOKUP(D299,'MASTER PERUSAHAAN'!A:B,2,FALSE),"")</f>
        <v/>
      </c>
      <c r="J299" s="9" t="str">
        <f t="shared" si="1"/>
        <v/>
      </c>
      <c r="K299" s="11" t="str">
        <f t="shared" si="2"/>
        <v/>
      </c>
      <c r="M299" s="17">
        <v>11.0</v>
      </c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B299" s="48" t="str">
        <f>IFERROR(__xludf.DUMMYFUNCTION("""COMPUTED_VALUE"""),"SPPBE-PT. Segara Windhu Dewata")</f>
        <v>SPPBE-PT. Segara Windhu Dewata</v>
      </c>
      <c r="AC299" s="48" t="str">
        <f>IFERROR(__xludf.DUMMYFUNCTION("""COMPUTED_VALUE"""),"DK 8369 PA")</f>
        <v>DK 8369 PA</v>
      </c>
      <c r="AD299" s="48" t="str">
        <f>IFERROR(__xludf.DUMMYFUNCTION("""COMPUTED_VALUE"""),"TLPG MANGGIS")</f>
        <v>TLPG MANGGIS</v>
      </c>
      <c r="AE299" s="17">
        <f>IFERROR(__xludf.DUMMYFUNCTION("""COMPUTED_VALUE"""),8.0)</f>
        <v>8</v>
      </c>
    </row>
    <row r="300">
      <c r="A300" s="12">
        <v>298.0</v>
      </c>
      <c r="B300" s="9" t="s">
        <v>368</v>
      </c>
      <c r="C300" s="9" t="s">
        <v>7</v>
      </c>
      <c r="D300" s="9" t="s">
        <v>496</v>
      </c>
      <c r="E300" s="49">
        <v>119.1</v>
      </c>
      <c r="F300" s="23" t="s">
        <v>454</v>
      </c>
      <c r="G300" s="9" t="str">
        <f>IFERROR(VLOOKUP(C300,'MASTER TLPG'!A:B,2,FALSE),"")</f>
        <v>-7.203807110524606, 112.71950675497641</v>
      </c>
      <c r="H300" s="9" t="str">
        <f>IFERROR(VLOOKUP(D300,'MASTER PERUSAHAAN'!A:B,2,FALSE),"")</f>
        <v>-7.136922328243007, 111.8152299474836</v>
      </c>
      <c r="J300" s="9" t="str">
        <f t="shared" si="1"/>
        <v>SEDANG</v>
      </c>
      <c r="K300" s="11">
        <f t="shared" si="2"/>
        <v>2</v>
      </c>
      <c r="M300" s="17">
        <v>11.0</v>
      </c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B300" s="48" t="str">
        <f>IFERROR(__xludf.DUMMYFUNCTION("""COMPUTED_VALUE"""),"SPPBE-PT. Sembilan Semangat")</f>
        <v>SPPBE-PT. Sembilan Semangat</v>
      </c>
      <c r="AC300" s="48" t="str">
        <f>IFERROR(__xludf.DUMMYFUNCTION("""COMPUTED_VALUE"""),"DK 8837 HC")</f>
        <v>DK 8837 HC</v>
      </c>
      <c r="AD300" s="48" t="str">
        <f>IFERROR(__xludf.DUMMYFUNCTION("""COMPUTED_VALUE"""),"TLPG MANGGIS")</f>
        <v>TLPG MANGGIS</v>
      </c>
      <c r="AE300" s="17">
        <f>IFERROR(__xludf.DUMMYFUNCTION("""COMPUTED_VALUE"""),4.0)</f>
        <v>4</v>
      </c>
    </row>
    <row r="301">
      <c r="A301" s="12">
        <v>299.0</v>
      </c>
      <c r="B301" s="9" t="s">
        <v>369</v>
      </c>
      <c r="C301" s="9" t="s">
        <v>7</v>
      </c>
      <c r="D301" s="9" t="s">
        <v>469</v>
      </c>
      <c r="E301" s="49">
        <v>90.2</v>
      </c>
      <c r="F301" s="23" t="s">
        <v>454</v>
      </c>
      <c r="G301" s="9" t="str">
        <f>IFERROR(VLOOKUP(C301,'MASTER TLPG'!A:B,2,FALSE),"")</f>
        <v>-7.203807110524606, 112.71950675497641</v>
      </c>
      <c r="H301" s="9" t="str">
        <f>IFERROR(VLOOKUP(D301,'MASTER PERUSAHAAN'!A:B,2,FALSE),"")</f>
        <v>-7.164935603441255, 112.03860801596035</v>
      </c>
      <c r="J301" s="9" t="str">
        <f t="shared" si="1"/>
        <v>SEDANG</v>
      </c>
      <c r="K301" s="11">
        <f t="shared" si="2"/>
        <v>2</v>
      </c>
      <c r="M301" s="17">
        <v>11.0</v>
      </c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B301" s="48" t="str">
        <f>IFERROR(__xludf.DUMMYFUNCTION("""COMPUTED_VALUE"""),"SPPBE-PT. Sembilan Semangat")</f>
        <v>SPPBE-PT. Sembilan Semangat</v>
      </c>
      <c r="AC301" s="48" t="str">
        <f>IFERROR(__xludf.DUMMYFUNCTION("""COMPUTED_VALUE"""),"DK 8352 GZ")</f>
        <v>DK 8352 GZ</v>
      </c>
      <c r="AD301" s="48" t="str">
        <f>IFERROR(__xludf.DUMMYFUNCTION("""COMPUTED_VALUE"""),"TLPG MANGGIS")</f>
        <v>TLPG MANGGIS</v>
      </c>
      <c r="AE301" s="17">
        <f>IFERROR(__xludf.DUMMYFUNCTION("""COMPUTED_VALUE"""),7.0)</f>
        <v>7</v>
      </c>
    </row>
    <row r="302">
      <c r="A302" s="12">
        <v>300.0</v>
      </c>
      <c r="B302" s="9" t="s">
        <v>370</v>
      </c>
      <c r="C302" s="9" t="s">
        <v>25</v>
      </c>
      <c r="D302" s="9" t="s">
        <v>467</v>
      </c>
      <c r="E302" s="49">
        <v>132.2</v>
      </c>
      <c r="F302" s="23" t="s">
        <v>454</v>
      </c>
      <c r="G302" s="9" t="str">
        <f>IFERROR(VLOOKUP(C302,'MASTER TLPG'!A:B,2,FALSE),"")</f>
        <v>-7.109201954744449, 112.62272164861744</v>
      </c>
      <c r="H302" s="9" t="str">
        <f>IFERROR(VLOOKUP(D302,'MASTER PERUSAHAAN'!A:B,2,FALSE),"")</f>
        <v>-6.787977822230522, 111.70503097056276</v>
      </c>
      <c r="J302" s="9" t="str">
        <f t="shared" si="1"/>
        <v>SEDANG</v>
      </c>
      <c r="K302" s="11">
        <f t="shared" si="2"/>
        <v>2</v>
      </c>
      <c r="M302" s="17">
        <v>11.0</v>
      </c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B302" s="48" t="str">
        <f>IFERROR(__xludf.DUMMYFUNCTION("""COMPUTED_VALUE"""),"SPPBE-PT. Sembilan Semangat")</f>
        <v>SPPBE-PT. Sembilan Semangat</v>
      </c>
      <c r="AC302" s="48" t="str">
        <f>IFERROR(__xludf.DUMMYFUNCTION("""COMPUTED_VALUE"""),"DK 8078 HJ")</f>
        <v>DK 8078 HJ</v>
      </c>
      <c r="AD302" s="48" t="str">
        <f>IFERROR(__xludf.DUMMYFUNCTION("""COMPUTED_VALUE"""),"TLPG MANGGIS")</f>
        <v>TLPG MANGGIS</v>
      </c>
      <c r="AE302" s="17">
        <f>IFERROR(__xludf.DUMMYFUNCTION("""COMPUTED_VALUE"""),12.0)</f>
        <v>12</v>
      </c>
    </row>
    <row r="303">
      <c r="A303" s="12">
        <v>301.0</v>
      </c>
      <c r="B303" s="9" t="s">
        <v>372</v>
      </c>
      <c r="C303" s="9" t="s">
        <v>7</v>
      </c>
      <c r="D303" s="9" t="s">
        <v>464</v>
      </c>
      <c r="E303" s="49">
        <v>64.1</v>
      </c>
      <c r="F303" s="23" t="s">
        <v>454</v>
      </c>
      <c r="G303" s="9" t="str">
        <f>IFERROR(VLOOKUP(C303,'MASTER TLPG'!A:B,2,FALSE),"")</f>
        <v>-7.203807110524606, 112.71950675497641</v>
      </c>
      <c r="H303" s="9" t="str">
        <f>IFERROR(VLOOKUP(D303,'MASTER PERUSAHAAN'!A:B,2,FALSE),"")</f>
        <v>-7.5131672323937995, 112.42362782017375</v>
      </c>
      <c r="J303" s="9" t="str">
        <f t="shared" si="1"/>
        <v>SEDANG</v>
      </c>
      <c r="K303" s="11">
        <f t="shared" si="2"/>
        <v>2</v>
      </c>
      <c r="M303" s="17">
        <v>11.0</v>
      </c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B303" s="48" t="str">
        <f>IFERROR(__xludf.DUMMYFUNCTION("""COMPUTED_VALUE"""),"SPPBE-PT. Surya Adiguna Indogas")</f>
        <v>SPPBE-PT. Surya Adiguna Indogas</v>
      </c>
      <c r="AC303" s="48" t="str">
        <f>IFERROR(__xludf.DUMMYFUNCTION("""COMPUTED_VALUE"""),"DR 8129 AH")</f>
        <v>DR 8129 AH</v>
      </c>
      <c r="AD303" s="48" t="str">
        <f>IFERROR(__xludf.DUMMYFUNCTION("""COMPUTED_VALUE"""),"TLPG LOMBOK")</f>
        <v>TLPG LOMBOK</v>
      </c>
      <c r="AE303" s="17">
        <f>IFERROR(__xludf.DUMMYFUNCTION("""COMPUTED_VALUE"""),5.0)</f>
        <v>5</v>
      </c>
    </row>
    <row r="304">
      <c r="A304" s="12">
        <v>302.0</v>
      </c>
      <c r="B304" s="9" t="s">
        <v>373</v>
      </c>
      <c r="C304" s="9" t="s">
        <v>7</v>
      </c>
      <c r="D304" s="9" t="s">
        <v>502</v>
      </c>
      <c r="E304" s="49">
        <v>42.2</v>
      </c>
      <c r="F304" s="23" t="s">
        <v>454</v>
      </c>
      <c r="G304" s="9" t="str">
        <f>IFERROR(VLOOKUP(C304,'MASTER TLPG'!A:B,2,FALSE),"")</f>
        <v>-7.203807110524606, 112.71950675497641</v>
      </c>
      <c r="H304" s="9" t="str">
        <f>IFERROR(VLOOKUP(D304,'MASTER PERUSAHAAN'!A:B,2,FALSE),"")</f>
        <v>-7.120520536659684, 112.46067041312722</v>
      </c>
      <c r="J304" s="9" t="str">
        <f t="shared" si="1"/>
        <v>DEKAT</v>
      </c>
      <c r="K304" s="11">
        <f t="shared" si="2"/>
        <v>1</v>
      </c>
      <c r="M304" s="17">
        <v>11.0</v>
      </c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B304" s="48" t="str">
        <f>IFERROR(__xludf.DUMMYFUNCTION("""COMPUTED_VALUE"""),"SPPBE-PT. Surya Adiguna Indogas")</f>
        <v>SPPBE-PT. Surya Adiguna Indogas</v>
      </c>
      <c r="AC304" s="48" t="str">
        <f>IFERROR(__xludf.DUMMYFUNCTION("""COMPUTED_VALUE"""),"L 8115 UUC")</f>
        <v>L 8115 UUC</v>
      </c>
      <c r="AD304" s="48" t="str">
        <f>IFERROR(__xludf.DUMMYFUNCTION("""COMPUTED_VALUE"""),"TLPG LOMBOK")</f>
        <v>TLPG LOMBOK</v>
      </c>
      <c r="AE304" s="17">
        <f>IFERROR(__xludf.DUMMYFUNCTION("""COMPUTED_VALUE"""),10.0)</f>
        <v>10</v>
      </c>
    </row>
    <row r="305">
      <c r="A305" s="12">
        <v>303.0</v>
      </c>
      <c r="B305" s="9" t="s">
        <v>374</v>
      </c>
      <c r="C305" s="9" t="s">
        <v>5</v>
      </c>
      <c r="D305" s="9" t="s">
        <v>375</v>
      </c>
      <c r="E305" s="49">
        <v>37.2</v>
      </c>
      <c r="F305" s="23" t="s">
        <v>454</v>
      </c>
      <c r="G305" s="9" t="str">
        <f>IFERROR(VLOOKUP(C305,'MASTER TLPG'!A:B,2,FALSE),"")</f>
        <v>-8.749911797697688, 116.03590255003817</v>
      </c>
      <c r="H305" s="9" t="str">
        <f>IFERROR(VLOOKUP(D305,'MASTER PERUSAHAAN'!A:B,2,FALSE),"")</f>
        <v>-8.620797184538066, 116.08694469811925</v>
      </c>
      <c r="J305" s="9" t="str">
        <f t="shared" si="1"/>
        <v>DEKAT</v>
      </c>
      <c r="K305" s="11">
        <f t="shared" si="2"/>
        <v>1</v>
      </c>
      <c r="M305" s="17">
        <v>11.0</v>
      </c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B305" s="48" t="str">
        <f>IFERROR(__xludf.DUMMYFUNCTION("""COMPUTED_VALUE"""),"SPPBE-PT. Surya Adiguna Indogas")</f>
        <v>SPPBE-PT. Surya Adiguna Indogas</v>
      </c>
      <c r="AC305" s="48" t="str">
        <f>IFERROR(__xludf.DUMMYFUNCTION("""COMPUTED_VALUE"""),"W 8059 UD")</f>
        <v>W 8059 UD</v>
      </c>
      <c r="AD305" s="48" t="str">
        <f>IFERROR(__xludf.DUMMYFUNCTION("""COMPUTED_VALUE"""),"TLPG LOMBOK")</f>
        <v>TLPG LOMBOK</v>
      </c>
      <c r="AE305" s="17">
        <f>IFERROR(__xludf.DUMMYFUNCTION("""COMPUTED_VALUE"""),11.0)</f>
        <v>11</v>
      </c>
    </row>
    <row r="306">
      <c r="A306" s="12">
        <v>304.0</v>
      </c>
      <c r="B306" s="9" t="s">
        <v>377</v>
      </c>
      <c r="C306" s="9" t="s">
        <v>25</v>
      </c>
      <c r="D306" s="9" t="s">
        <v>121</v>
      </c>
      <c r="E306" s="9"/>
      <c r="G306" s="9" t="str">
        <f>IFERROR(VLOOKUP(C306,'MASTER TLPG'!A:B,2,FALSE),"")</f>
        <v>-7.109201954744449, 112.62272164861744</v>
      </c>
      <c r="H306" s="9" t="str">
        <f>IFERROR(VLOOKUP(D306,'MASTER PERUSAHAAN'!A:B,2,FALSE),"")</f>
        <v/>
      </c>
      <c r="J306" s="9" t="str">
        <f t="shared" si="1"/>
        <v/>
      </c>
      <c r="K306" s="11" t="str">
        <f t="shared" si="2"/>
        <v/>
      </c>
      <c r="M306" s="17">
        <v>12.0</v>
      </c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B306" s="48" t="str">
        <f>IFERROR(__xludf.DUMMYFUNCTION("""COMPUTED_VALUE"""),"SPPBE-PT. Surya Adiguna Indogas")</f>
        <v>SPPBE-PT. Surya Adiguna Indogas</v>
      </c>
      <c r="AC306" s="48" t="str">
        <f>IFERROR(__xludf.DUMMYFUNCTION("""COMPUTED_VALUE"""),"W 8042 UD")</f>
        <v>W 8042 UD</v>
      </c>
      <c r="AD306" s="48" t="str">
        <f>IFERROR(__xludf.DUMMYFUNCTION("""COMPUTED_VALUE"""),"TLPG LOMBOK")</f>
        <v>TLPG LOMBOK</v>
      </c>
      <c r="AE306" s="17">
        <f>IFERROR(__xludf.DUMMYFUNCTION("""COMPUTED_VALUE"""),12.0)</f>
        <v>12</v>
      </c>
    </row>
    <row r="307">
      <c r="A307" s="12">
        <v>305.0</v>
      </c>
      <c r="B307" s="9" t="s">
        <v>378</v>
      </c>
      <c r="C307" s="9" t="s">
        <v>32</v>
      </c>
      <c r="D307" s="9" t="s">
        <v>127</v>
      </c>
      <c r="E307" s="49">
        <v>67.4</v>
      </c>
      <c r="F307" s="23" t="s">
        <v>454</v>
      </c>
      <c r="G307" s="9" t="str">
        <f>IFERROR(VLOOKUP(C307,'MASTER TLPG'!A:B,2,FALSE),"")</f>
        <v>-8.509457097470957, 115.50344705076587</v>
      </c>
      <c r="H307" s="9" t="str">
        <f>IFERROR(VLOOKUP(D307,'MASTER PERUSAHAAN'!A:B,2,FALSE),"")</f>
        <v>-8.362243075746033, 115.1904744944812</v>
      </c>
      <c r="J307" s="9" t="str">
        <f t="shared" si="1"/>
        <v>SEDANG</v>
      </c>
      <c r="K307" s="11">
        <f t="shared" si="2"/>
        <v>2</v>
      </c>
      <c r="M307" s="17">
        <v>12.0</v>
      </c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B307" s="48"/>
      <c r="AC307" s="48"/>
      <c r="AD307" s="48"/>
      <c r="AE307" s="17"/>
    </row>
    <row r="308">
      <c r="A308" s="12">
        <v>306.0</v>
      </c>
      <c r="B308" s="9" t="s">
        <v>380</v>
      </c>
      <c r="C308" s="9" t="s">
        <v>32</v>
      </c>
      <c r="D308" s="9" t="s">
        <v>498</v>
      </c>
      <c r="E308" s="49">
        <v>49.4</v>
      </c>
      <c r="F308" s="23" t="s">
        <v>454</v>
      </c>
      <c r="G308" s="9" t="str">
        <f>IFERROR(VLOOKUP(C308,'MASTER TLPG'!A:B,2,FALSE),"")</f>
        <v>-8.509457097470957, 115.50344705076587</v>
      </c>
      <c r="H308" s="9" t="str">
        <f>IFERROR(VLOOKUP(D308,'MASTER PERUSAHAAN'!A:B,2,FALSE),"")</f>
        <v>-8.318336825195194, 115.36059537579473</v>
      </c>
      <c r="J308" s="9" t="str">
        <f t="shared" si="1"/>
        <v>DEKAT</v>
      </c>
      <c r="K308" s="11">
        <f t="shared" si="2"/>
        <v>1</v>
      </c>
      <c r="M308" s="17">
        <v>12.0</v>
      </c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B308" s="48"/>
      <c r="AC308" s="48"/>
      <c r="AD308" s="48"/>
      <c r="AE308" s="17"/>
    </row>
    <row r="309">
      <c r="A309" s="12">
        <v>307.0</v>
      </c>
      <c r="B309" s="9" t="s">
        <v>381</v>
      </c>
      <c r="C309" s="9" t="s">
        <v>32</v>
      </c>
      <c r="D309" s="9" t="s">
        <v>461</v>
      </c>
      <c r="E309" s="49">
        <v>41.3</v>
      </c>
      <c r="F309" s="23" t="s">
        <v>454</v>
      </c>
      <c r="G309" s="9" t="str">
        <f>IFERROR(VLOOKUP(C309,'MASTER TLPG'!A:B,2,FALSE),"")</f>
        <v>-8.509457097470957, 115.50344705076587</v>
      </c>
      <c r="H309" s="9" t="str">
        <f>IFERROR(VLOOKUP(D309,'MASTER PERUSAHAAN'!A:B,2,FALSE),"")</f>
        <v>-8.60490527416331, 115.23575573605264</v>
      </c>
      <c r="J309" s="9" t="str">
        <f t="shared" si="1"/>
        <v>DEKAT</v>
      </c>
      <c r="K309" s="11">
        <f t="shared" si="2"/>
        <v>1</v>
      </c>
      <c r="M309" s="17">
        <v>12.0</v>
      </c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B309" s="48"/>
      <c r="AC309" s="48"/>
      <c r="AD309" s="48"/>
      <c r="AE309" s="17"/>
    </row>
    <row r="310">
      <c r="A310" s="12">
        <v>308.0</v>
      </c>
      <c r="B310" s="9" t="s">
        <v>382</v>
      </c>
      <c r="C310" s="9" t="s">
        <v>32</v>
      </c>
      <c r="D310" s="9" t="s">
        <v>184</v>
      </c>
      <c r="E310" s="9"/>
      <c r="G310" s="9" t="str">
        <f>IFERROR(VLOOKUP(C310,'MASTER TLPG'!A:B,2,FALSE),"")</f>
        <v>-8.509457097470957, 115.50344705076587</v>
      </c>
      <c r="H310" s="9" t="str">
        <f>IFERROR(VLOOKUP(D310,'MASTER PERUSAHAAN'!A:B,2,FALSE),"")</f>
        <v/>
      </c>
      <c r="J310" s="9" t="str">
        <f t="shared" si="1"/>
        <v/>
      </c>
      <c r="K310" s="11" t="str">
        <f t="shared" si="2"/>
        <v/>
      </c>
      <c r="M310" s="17">
        <v>12.0</v>
      </c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B310" s="48"/>
      <c r="AC310" s="48"/>
      <c r="AD310" s="48"/>
      <c r="AE310" s="17"/>
    </row>
    <row r="311">
      <c r="A311" s="12">
        <v>309.0</v>
      </c>
      <c r="B311" s="9" t="s">
        <v>384</v>
      </c>
      <c r="C311" s="9" t="s">
        <v>32</v>
      </c>
      <c r="D311" s="9" t="s">
        <v>500</v>
      </c>
      <c r="E311" s="49">
        <v>49.4</v>
      </c>
      <c r="F311" s="23" t="s">
        <v>454</v>
      </c>
      <c r="G311" s="9" t="str">
        <f>IFERROR(VLOOKUP(C311,'MASTER TLPG'!A:B,2,FALSE),"")</f>
        <v>-8.509457097470957, 115.50344705076587</v>
      </c>
      <c r="H311" s="9" t="str">
        <f>IFERROR(VLOOKUP(D311,'MASTER PERUSAHAAN'!A:B,2,FALSE),"")</f>
        <v>-8.318307828172028, 115.36057245868871</v>
      </c>
      <c r="J311" s="9" t="str">
        <f t="shared" si="1"/>
        <v>DEKAT</v>
      </c>
      <c r="K311" s="11">
        <f t="shared" si="2"/>
        <v>1</v>
      </c>
      <c r="M311" s="17">
        <v>12.0</v>
      </c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B311" s="48"/>
      <c r="AC311" s="48"/>
      <c r="AD311" s="48"/>
      <c r="AE311" s="17"/>
    </row>
    <row r="312">
      <c r="A312" s="12">
        <v>310.0</v>
      </c>
      <c r="B312" s="9" t="s">
        <v>386</v>
      </c>
      <c r="C312" s="9" t="s">
        <v>39</v>
      </c>
      <c r="D312" s="9" t="s">
        <v>473</v>
      </c>
      <c r="E312" s="9"/>
      <c r="G312" s="9" t="str">
        <f>IFERROR(VLOOKUP(C312,'MASTER TLPG'!A:B,2,FALSE),"")</f>
        <v>-8.477696591405829, 118.71143008615176</v>
      </c>
      <c r="H312" s="9" t="str">
        <f>IFERROR(VLOOKUP(D312,'MASTER PERUSAHAAN'!A:B,2,FALSE),"")</f>
        <v/>
      </c>
      <c r="J312" s="9" t="str">
        <f t="shared" si="1"/>
        <v/>
      </c>
      <c r="K312" s="11" t="str">
        <f t="shared" si="2"/>
        <v/>
      </c>
      <c r="M312" s="17">
        <v>12.0</v>
      </c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B312" s="48"/>
      <c r="AC312" s="48"/>
      <c r="AD312" s="48"/>
      <c r="AE312" s="17"/>
    </row>
    <row r="313">
      <c r="A313" s="12">
        <v>311.0</v>
      </c>
      <c r="B313" s="9" t="s">
        <v>387</v>
      </c>
      <c r="C313" s="9" t="s">
        <v>25</v>
      </c>
      <c r="D313" s="9" t="s">
        <v>83</v>
      </c>
      <c r="E313" s="9"/>
      <c r="G313" s="9" t="str">
        <f>IFERROR(VLOOKUP(C313,'MASTER TLPG'!A:B,2,FALSE),"")</f>
        <v>-7.109201954744449, 112.62272164861744</v>
      </c>
      <c r="H313" s="9" t="str">
        <f>IFERROR(VLOOKUP(D313,'MASTER PERUSAHAAN'!A:B,2,FALSE),"")</f>
        <v/>
      </c>
      <c r="J313" s="9" t="str">
        <f t="shared" si="1"/>
        <v/>
      </c>
      <c r="K313" s="11" t="str">
        <f t="shared" si="2"/>
        <v/>
      </c>
      <c r="M313" s="17">
        <v>12.0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B313" s="48"/>
      <c r="AC313" s="48"/>
      <c r="AD313" s="48"/>
      <c r="AE313" s="17"/>
    </row>
    <row r="314">
      <c r="A314" s="12">
        <v>312.0</v>
      </c>
      <c r="B314" s="9" t="s">
        <v>388</v>
      </c>
      <c r="C314" s="9" t="s">
        <v>25</v>
      </c>
      <c r="D314" s="9" t="s">
        <v>497</v>
      </c>
      <c r="E314" s="49">
        <v>173.6</v>
      </c>
      <c r="F314" s="23" t="s">
        <v>454</v>
      </c>
      <c r="G314" s="9" t="str">
        <f>IFERROR(VLOOKUP(C314,'MASTER TLPG'!A:B,2,FALSE),"")</f>
        <v>-7.109201954744449, 112.62272164861744</v>
      </c>
      <c r="H314" s="9" t="str">
        <f>IFERROR(VLOOKUP(D314,'MASTER PERUSAHAAN'!A:B,2,FALSE),"")</f>
        <v>-8.140639112582104, 113.24288988856287</v>
      </c>
      <c r="J314" s="9" t="str">
        <f t="shared" si="1"/>
        <v>JAUH</v>
      </c>
      <c r="K314" s="11">
        <f t="shared" si="2"/>
        <v>3</v>
      </c>
      <c r="M314" s="17">
        <v>12.0</v>
      </c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B314" s="48"/>
      <c r="AC314" s="48"/>
      <c r="AD314" s="48"/>
      <c r="AE314" s="17"/>
    </row>
    <row r="315">
      <c r="A315" s="12">
        <v>313.0</v>
      </c>
      <c r="B315" s="9" t="s">
        <v>389</v>
      </c>
      <c r="C315" s="9" t="s">
        <v>28</v>
      </c>
      <c r="D315" s="9" t="s">
        <v>472</v>
      </c>
      <c r="E315" s="49">
        <v>111.3</v>
      </c>
      <c r="F315" s="23" t="s">
        <v>454</v>
      </c>
      <c r="G315" s="9" t="str">
        <f>IFERROR(VLOOKUP(C315,'MASTER TLPG'!A:B,2,FALSE),"")</f>
        <v>-8.16862812274526, 114.38753900822569</v>
      </c>
      <c r="H315" s="9" t="str">
        <f>IFERROR(VLOOKUP(D315,'MASTER PERUSAHAAN'!A:B,2,FALSE),"")</f>
        <v>-8.052554144850264, 113.7756839083474</v>
      </c>
      <c r="J315" s="9" t="str">
        <f t="shared" si="1"/>
        <v>SEDANG</v>
      </c>
      <c r="K315" s="11">
        <f t="shared" si="2"/>
        <v>2</v>
      </c>
      <c r="M315" s="17">
        <v>12.0</v>
      </c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B315" s="48"/>
      <c r="AC315" s="48"/>
      <c r="AD315" s="48"/>
      <c r="AE315" s="17"/>
    </row>
    <row r="316">
      <c r="A316" s="12">
        <v>314.0</v>
      </c>
      <c r="B316" s="9" t="s">
        <v>391</v>
      </c>
      <c r="C316" s="9" t="s">
        <v>28</v>
      </c>
      <c r="D316" s="9" t="s">
        <v>457</v>
      </c>
      <c r="E316" s="49">
        <v>127.7</v>
      </c>
      <c r="F316" s="23" t="s">
        <v>454</v>
      </c>
      <c r="G316" s="9" t="str">
        <f>IFERROR(VLOOKUP(C316,'MASTER TLPG'!A:B,2,FALSE),"")</f>
        <v>-8.16862812274526, 114.38753900822569</v>
      </c>
      <c r="H316" s="9" t="str">
        <f>IFERROR(VLOOKUP(D316,'MASTER PERUSAHAAN'!A:B,2,FALSE),"")</f>
        <v>-8.200783105056905, 113.54431122765624</v>
      </c>
      <c r="J316" s="9" t="str">
        <f t="shared" si="1"/>
        <v>SEDANG</v>
      </c>
      <c r="K316" s="11">
        <f t="shared" si="2"/>
        <v>2</v>
      </c>
      <c r="M316" s="17">
        <v>12.0</v>
      </c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B316" s="48"/>
      <c r="AC316" s="48"/>
      <c r="AD316" s="48"/>
      <c r="AE316" s="17"/>
    </row>
    <row r="317">
      <c r="A317" s="12">
        <v>315.0</v>
      </c>
      <c r="B317" s="9" t="s">
        <v>392</v>
      </c>
      <c r="C317" s="9" t="s">
        <v>7</v>
      </c>
      <c r="D317" s="9" t="s">
        <v>507</v>
      </c>
      <c r="E317" s="49">
        <v>58.9</v>
      </c>
      <c r="F317" s="23" t="s">
        <v>454</v>
      </c>
      <c r="G317" s="9" t="str">
        <f>IFERROR(VLOOKUP(C317,'MASTER TLPG'!A:B,2,FALSE),"")</f>
        <v>-7.203807110524606, 112.71950675497641</v>
      </c>
      <c r="H317" s="9" t="str">
        <f>IFERROR(VLOOKUP(D317,'MASTER PERUSAHAAN'!A:B,2,FALSE),"")</f>
        <v>-7.0942612566103405, 112.29796414368377</v>
      </c>
      <c r="J317" s="9" t="str">
        <f t="shared" si="1"/>
        <v>SEDANG</v>
      </c>
      <c r="K317" s="11">
        <f t="shared" si="2"/>
        <v>2</v>
      </c>
      <c r="M317" s="17">
        <v>12.0</v>
      </c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B317" s="48"/>
      <c r="AC317" s="48"/>
      <c r="AD317" s="48"/>
      <c r="AE317" s="17"/>
    </row>
    <row r="318">
      <c r="A318" s="12">
        <v>316.0</v>
      </c>
      <c r="B318" s="9" t="s">
        <v>393</v>
      </c>
      <c r="C318" s="9" t="s">
        <v>25</v>
      </c>
      <c r="D318" s="9" t="s">
        <v>467</v>
      </c>
      <c r="E318" s="49">
        <v>132.2</v>
      </c>
      <c r="F318" s="23" t="s">
        <v>454</v>
      </c>
      <c r="G318" s="9" t="str">
        <f>IFERROR(VLOOKUP(C318,'MASTER TLPG'!A:B,2,FALSE),"")</f>
        <v>-7.109201954744449, 112.62272164861744</v>
      </c>
      <c r="H318" s="9" t="str">
        <f>IFERROR(VLOOKUP(D318,'MASTER PERUSAHAAN'!A:B,2,FALSE),"")</f>
        <v>-6.787977822230522, 111.70503097056276</v>
      </c>
      <c r="J318" s="9" t="str">
        <f t="shared" si="1"/>
        <v>SEDANG</v>
      </c>
      <c r="K318" s="11">
        <f t="shared" si="2"/>
        <v>2</v>
      </c>
      <c r="M318" s="17">
        <v>12.0</v>
      </c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B318" s="48"/>
      <c r="AC318" s="48"/>
      <c r="AD318" s="48"/>
      <c r="AE318" s="17"/>
    </row>
    <row r="319">
      <c r="A319" s="12">
        <v>317.0</v>
      </c>
      <c r="B319" s="9" t="s">
        <v>394</v>
      </c>
      <c r="C319" s="9" t="s">
        <v>7</v>
      </c>
      <c r="D319" s="9" t="s">
        <v>477</v>
      </c>
      <c r="E319" s="49">
        <v>67.2</v>
      </c>
      <c r="F319" s="23" t="s">
        <v>454</v>
      </c>
      <c r="G319" s="9" t="str">
        <f>IFERROR(VLOOKUP(C319,'MASTER TLPG'!A:B,2,FALSE),"")</f>
        <v>-7.203807110524606, 112.71950675497641</v>
      </c>
      <c r="H319" s="9" t="str">
        <f>IFERROR(VLOOKUP(D319,'MASTER PERUSAHAAN'!A:B,2,FALSE),"")</f>
        <v>-7.543381033074753, 112.40979480253507</v>
      </c>
      <c r="J319" s="9" t="str">
        <f t="shared" si="1"/>
        <v>SEDANG</v>
      </c>
      <c r="K319" s="11">
        <f t="shared" si="2"/>
        <v>2</v>
      </c>
      <c r="M319" s="17">
        <v>12.0</v>
      </c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B319" s="48"/>
      <c r="AC319" s="48"/>
      <c r="AD319" s="48"/>
      <c r="AE319" s="17"/>
    </row>
    <row r="320">
      <c r="A320" s="12">
        <v>318.0</v>
      </c>
      <c r="B320" s="9" t="s">
        <v>395</v>
      </c>
      <c r="C320" s="9" t="s">
        <v>7</v>
      </c>
      <c r="D320" s="9" t="s">
        <v>479</v>
      </c>
      <c r="E320" s="49">
        <v>84.3</v>
      </c>
      <c r="F320" s="23" t="s">
        <v>454</v>
      </c>
      <c r="G320" s="9" t="str">
        <f>IFERROR(VLOOKUP(C320,'MASTER TLPG'!A:B,2,FALSE),"")</f>
        <v>-7.203807110524606, 112.71950675497641</v>
      </c>
      <c r="H320" s="9" t="str">
        <f>IFERROR(VLOOKUP(D320,'MASTER PERUSAHAAN'!A:B,2,FALSE),"")</f>
        <v>-7.006169165400142, 112.1346354612337</v>
      </c>
      <c r="J320" s="9" t="str">
        <f t="shared" si="1"/>
        <v>SEDANG</v>
      </c>
      <c r="K320" s="11">
        <f t="shared" si="2"/>
        <v>2</v>
      </c>
      <c r="M320" s="17">
        <v>12.0</v>
      </c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B320" s="48"/>
      <c r="AC320" s="48"/>
      <c r="AD320" s="48"/>
      <c r="AE320" s="17"/>
    </row>
    <row r="321">
      <c r="A321" s="12">
        <v>319.0</v>
      </c>
      <c r="B321" s="9" t="s">
        <v>397</v>
      </c>
      <c r="C321" s="9" t="s">
        <v>7</v>
      </c>
      <c r="D321" s="9" t="s">
        <v>483</v>
      </c>
      <c r="E321" s="49">
        <v>92.0</v>
      </c>
      <c r="F321" s="23" t="s">
        <v>454</v>
      </c>
      <c r="G321" s="9" t="str">
        <f>IFERROR(VLOOKUP(C321,'MASTER TLPG'!A:B,2,FALSE),"")</f>
        <v>-7.203807110524606, 112.71950675497641</v>
      </c>
      <c r="H321" s="9" t="str">
        <f>IFERROR(VLOOKUP(D321,'MASTER PERUSAHAAN'!A:B,2,FALSE),"")</f>
        <v>-7.588891785169581, 112.20342849001652</v>
      </c>
      <c r="J321" s="9" t="str">
        <f t="shared" si="1"/>
        <v>SEDANG</v>
      </c>
      <c r="K321" s="11">
        <f t="shared" si="2"/>
        <v>2</v>
      </c>
      <c r="M321" s="17">
        <v>12.0</v>
      </c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B321" s="48"/>
      <c r="AC321" s="48"/>
      <c r="AD321" s="48"/>
      <c r="AE321" s="17"/>
    </row>
    <row r="322">
      <c r="A322" s="12">
        <v>320.0</v>
      </c>
      <c r="B322" s="9" t="s">
        <v>398</v>
      </c>
      <c r="C322" s="9" t="s">
        <v>7</v>
      </c>
      <c r="D322" s="9" t="s">
        <v>485</v>
      </c>
      <c r="E322" s="49">
        <v>55.9</v>
      </c>
      <c r="F322" s="23" t="s">
        <v>454</v>
      </c>
      <c r="G322" s="9" t="str">
        <f>IFERROR(VLOOKUP(C322,'MASTER TLPG'!A:B,2,FALSE),"")</f>
        <v>-7.203807110524606, 112.71950675497641</v>
      </c>
      <c r="H322" s="9" t="str">
        <f>IFERROR(VLOOKUP(D322,'MASTER PERUSAHAAN'!A:B,2,FALSE),"")</f>
        <v>-7.088661989455614, 112.33412154095103</v>
      </c>
      <c r="J322" s="9" t="str">
        <f t="shared" si="1"/>
        <v>SEDANG</v>
      </c>
      <c r="K322" s="11">
        <f t="shared" si="2"/>
        <v>2</v>
      </c>
      <c r="M322" s="17">
        <v>12.0</v>
      </c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B322" s="48"/>
      <c r="AC322" s="48"/>
      <c r="AD322" s="48"/>
      <c r="AE322" s="17"/>
    </row>
    <row r="323">
      <c r="A323" s="12">
        <v>321.0</v>
      </c>
      <c r="B323" s="9" t="s">
        <v>399</v>
      </c>
      <c r="C323" s="9" t="s">
        <v>7</v>
      </c>
      <c r="D323" s="9" t="s">
        <v>485</v>
      </c>
      <c r="E323" s="49">
        <v>55.9</v>
      </c>
      <c r="F323" s="23" t="s">
        <v>454</v>
      </c>
      <c r="G323" s="9" t="str">
        <f>IFERROR(VLOOKUP(C323,'MASTER TLPG'!A:B,2,FALSE),"")</f>
        <v>-7.203807110524606, 112.71950675497641</v>
      </c>
      <c r="H323" s="9" t="str">
        <f>IFERROR(VLOOKUP(D323,'MASTER PERUSAHAAN'!A:B,2,FALSE),"")</f>
        <v>-7.088661989455614, 112.33412154095103</v>
      </c>
      <c r="J323" s="9" t="str">
        <f t="shared" si="1"/>
        <v>SEDANG</v>
      </c>
      <c r="K323" s="11">
        <f t="shared" si="2"/>
        <v>2</v>
      </c>
      <c r="M323" s="17">
        <v>12.0</v>
      </c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B323" s="48"/>
      <c r="AC323" s="48"/>
      <c r="AD323" s="48"/>
      <c r="AE323" s="17"/>
    </row>
    <row r="324">
      <c r="A324" s="12">
        <v>322.0</v>
      </c>
      <c r="B324" s="9" t="s">
        <v>400</v>
      </c>
      <c r="C324" s="9" t="s">
        <v>7</v>
      </c>
      <c r="D324" s="9" t="s">
        <v>479</v>
      </c>
      <c r="E324" s="49">
        <v>84.3</v>
      </c>
      <c r="F324" s="23" t="s">
        <v>454</v>
      </c>
      <c r="G324" s="9" t="str">
        <f>IFERROR(VLOOKUP(C324,'MASTER TLPG'!A:B,2,FALSE),"")</f>
        <v>-7.203807110524606, 112.71950675497641</v>
      </c>
      <c r="H324" s="9" t="str">
        <f>IFERROR(VLOOKUP(D324,'MASTER PERUSAHAAN'!A:B,2,FALSE),"")</f>
        <v>-7.006169165400142, 112.1346354612337</v>
      </c>
      <c r="J324" s="9" t="str">
        <f t="shared" si="1"/>
        <v>SEDANG</v>
      </c>
      <c r="K324" s="11">
        <f t="shared" si="2"/>
        <v>2</v>
      </c>
      <c r="M324" s="17">
        <v>12.0</v>
      </c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B324" s="48"/>
      <c r="AC324" s="48"/>
      <c r="AD324" s="48"/>
      <c r="AE324" s="17"/>
    </row>
    <row r="325">
      <c r="A325" s="12">
        <v>323.0</v>
      </c>
      <c r="B325" s="9" t="s">
        <v>402</v>
      </c>
      <c r="C325" s="9" t="s">
        <v>7</v>
      </c>
      <c r="D325" s="9" t="s">
        <v>477</v>
      </c>
      <c r="E325" s="49">
        <v>67.2</v>
      </c>
      <c r="F325" s="23" t="s">
        <v>454</v>
      </c>
      <c r="G325" s="9" t="str">
        <f>IFERROR(VLOOKUP(C325,'MASTER TLPG'!A:B,2,FALSE),"")</f>
        <v>-7.203807110524606, 112.71950675497641</v>
      </c>
      <c r="H325" s="9" t="str">
        <f>IFERROR(VLOOKUP(D325,'MASTER PERUSAHAAN'!A:B,2,FALSE),"")</f>
        <v>-7.543381033074753, 112.40979480253507</v>
      </c>
      <c r="J325" s="9" t="str">
        <f t="shared" si="1"/>
        <v>SEDANG</v>
      </c>
      <c r="K325" s="11">
        <f t="shared" si="2"/>
        <v>2</v>
      </c>
      <c r="M325" s="17">
        <v>12.0</v>
      </c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B325" s="48"/>
      <c r="AC325" s="48"/>
      <c r="AD325" s="48"/>
      <c r="AE325" s="17"/>
    </row>
    <row r="326">
      <c r="A326" s="12">
        <v>324.0</v>
      </c>
      <c r="B326" s="9" t="s">
        <v>403</v>
      </c>
      <c r="C326" s="9" t="s">
        <v>7</v>
      </c>
      <c r="D326" s="9" t="s">
        <v>451</v>
      </c>
      <c r="E326" s="49">
        <v>47.8</v>
      </c>
      <c r="F326" s="23" t="s">
        <v>454</v>
      </c>
      <c r="G326" s="9" t="str">
        <f>IFERROR(VLOOKUP(C326,'MASTER TLPG'!A:B,2,FALSE),"")</f>
        <v>-7.203807110524606, 112.71950675497641</v>
      </c>
      <c r="H326" s="9" t="str">
        <f>IFERROR(VLOOKUP(D326,'MASTER PERUSAHAAN'!A:B,2,FALSE),"")</f>
        <v>-7.470797401083355, 112.56310279545893</v>
      </c>
      <c r="J326" s="9" t="str">
        <f t="shared" si="1"/>
        <v>DEKAT</v>
      </c>
      <c r="K326" s="11">
        <f t="shared" si="2"/>
        <v>1</v>
      </c>
      <c r="M326" s="17">
        <v>12.0</v>
      </c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B326" s="48"/>
      <c r="AC326" s="48"/>
      <c r="AD326" s="48"/>
      <c r="AE326" s="17"/>
    </row>
    <row r="327">
      <c r="A327" s="12">
        <v>325.0</v>
      </c>
      <c r="B327" s="9" t="s">
        <v>405</v>
      </c>
      <c r="C327" s="9" t="s">
        <v>39</v>
      </c>
      <c r="D327" s="9" t="s">
        <v>506</v>
      </c>
      <c r="E327" s="49">
        <v>240.9</v>
      </c>
      <c r="F327" s="23" t="s">
        <v>454</v>
      </c>
      <c r="G327" s="9" t="str">
        <f>IFERROR(VLOOKUP(C327,'MASTER TLPG'!A:B,2,FALSE),"")</f>
        <v>-8.477696591405829, 118.71143008615176</v>
      </c>
      <c r="H327" s="9" t="str">
        <f>IFERROR(VLOOKUP(D327,'MASTER PERUSAHAAN'!A:B,2,FALSE),"")</f>
        <v>-8.526610219970085, 117.41948937098523</v>
      </c>
      <c r="J327" s="9" t="str">
        <f t="shared" si="1"/>
        <v>JAUH</v>
      </c>
      <c r="K327" s="11">
        <f t="shared" si="2"/>
        <v>3</v>
      </c>
      <c r="M327" s="17">
        <v>12.0</v>
      </c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B327" s="48"/>
      <c r="AC327" s="48"/>
      <c r="AD327" s="48"/>
      <c r="AE327" s="17"/>
    </row>
    <row r="328">
      <c r="A328" s="12">
        <v>326.0</v>
      </c>
      <c r="B328" s="9" t="s">
        <v>406</v>
      </c>
      <c r="C328" s="9" t="s">
        <v>7</v>
      </c>
      <c r="D328" s="9" t="s">
        <v>184</v>
      </c>
      <c r="E328" s="9"/>
      <c r="G328" s="9" t="str">
        <f>IFERROR(VLOOKUP(C328,'MASTER TLPG'!A:B,2,FALSE),"")</f>
        <v>-7.203807110524606, 112.71950675497641</v>
      </c>
      <c r="H328" s="9" t="str">
        <f>IFERROR(VLOOKUP(D328,'MASTER PERUSAHAAN'!A:B,2,FALSE),"")</f>
        <v/>
      </c>
      <c r="J328" s="9" t="str">
        <f t="shared" si="1"/>
        <v/>
      </c>
      <c r="K328" s="11" t="str">
        <f t="shared" si="2"/>
        <v/>
      </c>
      <c r="M328" s="17">
        <v>12.0</v>
      </c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B328" s="48"/>
      <c r="AC328" s="48"/>
      <c r="AD328" s="48"/>
      <c r="AE328" s="17"/>
    </row>
    <row r="329">
      <c r="A329" s="12">
        <v>327.0</v>
      </c>
      <c r="B329" s="9" t="s">
        <v>407</v>
      </c>
      <c r="C329" s="9" t="s">
        <v>7</v>
      </c>
      <c r="D329" s="9" t="s">
        <v>509</v>
      </c>
      <c r="E329" s="49">
        <v>24.2</v>
      </c>
      <c r="F329" s="23" t="s">
        <v>454</v>
      </c>
      <c r="G329" s="9" t="str">
        <f>IFERROR(VLOOKUP(C329,'MASTER TLPG'!A:B,2,FALSE),"")</f>
        <v>-7.203807110524606, 112.71950675497641</v>
      </c>
      <c r="H329" s="9" t="str">
        <f>IFERROR(VLOOKUP(D329,'MASTER PERUSAHAAN'!A:B,2,FALSE),"")</f>
        <v>-7.343901215225865, 112.7586698871636</v>
      </c>
      <c r="J329" s="9" t="str">
        <f t="shared" si="1"/>
        <v>DEKAT</v>
      </c>
      <c r="K329" s="11">
        <f t="shared" si="2"/>
        <v>1</v>
      </c>
      <c r="M329" s="17">
        <v>12.0</v>
      </c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B329" s="48"/>
      <c r="AC329" s="48"/>
      <c r="AD329" s="48"/>
      <c r="AE329" s="17"/>
    </row>
    <row r="330">
      <c r="A330" s="12">
        <v>328.0</v>
      </c>
      <c r="B330" s="9" t="s">
        <v>409</v>
      </c>
      <c r="C330" s="9" t="s">
        <v>7</v>
      </c>
      <c r="D330" s="9" t="s">
        <v>499</v>
      </c>
      <c r="E330" s="49">
        <v>40.4</v>
      </c>
      <c r="F330" s="23" t="s">
        <v>454</v>
      </c>
      <c r="G330" s="9" t="str">
        <f>IFERROR(VLOOKUP(C330,'MASTER TLPG'!A:B,2,FALSE),"")</f>
        <v>-7.203807110524606, 112.71950675497641</v>
      </c>
      <c r="H330" s="9" t="str">
        <f>IFERROR(VLOOKUP(D330,'MASTER PERUSAHAAN'!A:B,2,FALSE),"")</f>
        <v>-7.525895975760226, 112.69269746130115</v>
      </c>
      <c r="J330" s="9" t="str">
        <f t="shared" si="1"/>
        <v>DEKAT</v>
      </c>
      <c r="K330" s="11">
        <f t="shared" si="2"/>
        <v>1</v>
      </c>
      <c r="M330" s="17">
        <v>12.0</v>
      </c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B330" s="48"/>
      <c r="AC330" s="48"/>
      <c r="AD330" s="48"/>
      <c r="AE330" s="17"/>
    </row>
    <row r="331">
      <c r="A331" s="12">
        <v>329.0</v>
      </c>
      <c r="B331" s="9" t="s">
        <v>410</v>
      </c>
      <c r="C331" s="9" t="s">
        <v>7</v>
      </c>
      <c r="D331" s="9" t="s">
        <v>175</v>
      </c>
      <c r="E331" s="49">
        <v>23.7</v>
      </c>
      <c r="F331" s="23" t="s">
        <v>454</v>
      </c>
      <c r="G331" s="9" t="str">
        <f>IFERROR(VLOOKUP(C331,'MASTER TLPG'!A:B,2,FALSE),"")</f>
        <v>-7.203807110524606, 112.71950675497641</v>
      </c>
      <c r="H331" s="9" t="str">
        <f>IFERROR(VLOOKUP(D331,'MASTER PERUSAHAAN'!A:B,2,FALSE),"")</f>
        <v>-7.359505897237556, 112.68392193818326</v>
      </c>
      <c r="J331" s="9" t="str">
        <f t="shared" si="1"/>
        <v>DEKAT</v>
      </c>
      <c r="K331" s="11">
        <f t="shared" si="2"/>
        <v>1</v>
      </c>
      <c r="M331" s="17">
        <v>12.0</v>
      </c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B331" s="48"/>
      <c r="AC331" s="48"/>
      <c r="AD331" s="48"/>
      <c r="AE331" s="17"/>
    </row>
    <row r="332">
      <c r="A332" s="12">
        <v>330.0</v>
      </c>
      <c r="B332" s="9" t="s">
        <v>411</v>
      </c>
      <c r="C332" s="9" t="s">
        <v>25</v>
      </c>
      <c r="D332" s="9" t="s">
        <v>503</v>
      </c>
      <c r="E332" s="49">
        <v>50.9</v>
      </c>
      <c r="F332" s="23" t="s">
        <v>454</v>
      </c>
      <c r="G332" s="9" t="str">
        <f>IFERROR(VLOOKUP(C332,'MASTER TLPG'!A:B,2,FALSE),"")</f>
        <v>-7.109201954744449, 112.62272164861744</v>
      </c>
      <c r="H332" s="9" t="str">
        <f>IFERROR(VLOOKUP(D332,'MASTER PERUSAHAAN'!A:B,2,FALSE),"")</f>
        <v>-7.444291731342459, 112.73546747607088</v>
      </c>
      <c r="J332" s="9" t="str">
        <f t="shared" si="1"/>
        <v>SEDANG</v>
      </c>
      <c r="K332" s="11">
        <f t="shared" si="2"/>
        <v>2</v>
      </c>
      <c r="M332" s="17">
        <v>12.0</v>
      </c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B332" s="48"/>
      <c r="AC332" s="48"/>
      <c r="AD332" s="48"/>
      <c r="AE332" s="17"/>
    </row>
    <row r="333">
      <c r="A333" s="12">
        <v>331.0</v>
      </c>
      <c r="B333" s="9" t="s">
        <v>325</v>
      </c>
      <c r="C333" s="9" t="s">
        <v>7</v>
      </c>
      <c r="D333" s="9" t="s">
        <v>508</v>
      </c>
      <c r="E333" s="49">
        <v>28.2</v>
      </c>
      <c r="F333" s="23" t="s">
        <v>454</v>
      </c>
      <c r="G333" s="9" t="str">
        <f>IFERROR(VLOOKUP(C333,'MASTER TLPG'!A:B,2,FALSE),"")</f>
        <v>-7.203807110524606, 112.71950675497641</v>
      </c>
      <c r="H333" s="9" t="str">
        <f>IFERROR(VLOOKUP(D333,'MASTER PERUSAHAAN'!A:B,2,FALSE),"")</f>
        <v>-7.132236864321283, 112.61360159788792</v>
      </c>
      <c r="J333" s="9" t="str">
        <f t="shared" si="1"/>
        <v>DEKAT</v>
      </c>
      <c r="K333" s="11">
        <f t="shared" si="2"/>
        <v>1</v>
      </c>
      <c r="M333" s="17">
        <v>12.0</v>
      </c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B333" s="48"/>
      <c r="AC333" s="48"/>
      <c r="AD333" s="48"/>
      <c r="AE333" s="17"/>
    </row>
    <row r="334">
      <c r="A334" s="12">
        <v>332.0</v>
      </c>
      <c r="B334" s="9" t="s">
        <v>413</v>
      </c>
      <c r="C334" s="9" t="s">
        <v>5</v>
      </c>
      <c r="D334" s="9" t="s">
        <v>375</v>
      </c>
      <c r="E334" s="49">
        <v>37.2</v>
      </c>
      <c r="F334" s="23" t="s">
        <v>454</v>
      </c>
      <c r="G334" s="9" t="str">
        <f>IFERROR(VLOOKUP(C334,'MASTER TLPG'!A:B,2,FALSE),"")</f>
        <v>-8.749911797697688, 116.03590255003817</v>
      </c>
      <c r="H334" s="9" t="str">
        <f>IFERROR(VLOOKUP(D334,'MASTER PERUSAHAAN'!A:B,2,FALSE),"")</f>
        <v>-8.620797184538066, 116.08694469811925</v>
      </c>
      <c r="J334" s="9" t="str">
        <f t="shared" si="1"/>
        <v>DEKAT</v>
      </c>
      <c r="K334" s="11">
        <f t="shared" si="2"/>
        <v>1</v>
      </c>
      <c r="M334" s="17">
        <v>12.0</v>
      </c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B334" s="48"/>
      <c r="AC334" s="48"/>
      <c r="AD334" s="48"/>
      <c r="AE334" s="17"/>
    </row>
    <row r="335">
      <c r="B335" s="9"/>
      <c r="C335" s="9"/>
      <c r="D335" s="9"/>
      <c r="M335" s="17" t="s">
        <v>431</v>
      </c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B335" s="48"/>
      <c r="AC335" s="48"/>
      <c r="AD335" s="48"/>
      <c r="AE335" s="17"/>
    </row>
    <row r="336">
      <c r="B336" s="9"/>
      <c r="C336" s="9"/>
      <c r="D336" s="9"/>
      <c r="M336" s="17" t="s">
        <v>431</v>
      </c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B336" s="48"/>
      <c r="AC336" s="48"/>
      <c r="AD336" s="48"/>
      <c r="AE336" s="17"/>
    </row>
    <row r="337">
      <c r="B337" s="9"/>
      <c r="C337" s="9"/>
      <c r="D337" s="9"/>
      <c r="M337" s="17" t="s">
        <v>431</v>
      </c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B337" s="48"/>
      <c r="AC337" s="48"/>
      <c r="AD337" s="48"/>
      <c r="AE337" s="17"/>
    </row>
    <row r="338">
      <c r="B338" s="9"/>
      <c r="C338" s="9"/>
      <c r="D338" s="9"/>
      <c r="M338" s="17" t="s">
        <v>431</v>
      </c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B338" s="48"/>
      <c r="AC338" s="48"/>
      <c r="AD338" s="48"/>
      <c r="AE338" s="17"/>
    </row>
    <row r="339">
      <c r="B339" s="9"/>
      <c r="C339" s="9"/>
      <c r="D339" s="9"/>
      <c r="M339" s="17" t="s">
        <v>431</v>
      </c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B339" s="48"/>
      <c r="AC339" s="48"/>
      <c r="AD339" s="48"/>
      <c r="AE339" s="17"/>
    </row>
    <row r="340">
      <c r="B340" s="9"/>
      <c r="C340" s="9"/>
      <c r="D340" s="9"/>
      <c r="M340" s="17" t="s">
        <v>431</v>
      </c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B340" s="48"/>
      <c r="AC340" s="48"/>
      <c r="AD340" s="48"/>
      <c r="AE340" s="17"/>
    </row>
    <row r="341">
      <c r="B341" s="9"/>
      <c r="C341" s="9"/>
      <c r="D341" s="9"/>
      <c r="M341" s="17" t="s">
        <v>431</v>
      </c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B341" s="48"/>
      <c r="AC341" s="48"/>
      <c r="AD341" s="48"/>
      <c r="AE341" s="17"/>
    </row>
    <row r="342">
      <c r="B342" s="9"/>
      <c r="C342" s="9"/>
      <c r="D342" s="9"/>
      <c r="M342" s="17" t="s">
        <v>431</v>
      </c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B342" s="48"/>
      <c r="AC342" s="48"/>
      <c r="AD342" s="48"/>
      <c r="AE342" s="17"/>
    </row>
    <row r="343">
      <c r="B343" s="9"/>
      <c r="C343" s="9"/>
      <c r="D343" s="9"/>
      <c r="M343" s="17" t="s">
        <v>431</v>
      </c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B343" s="48"/>
      <c r="AC343" s="48"/>
      <c r="AD343" s="48"/>
      <c r="AE343" s="17"/>
    </row>
    <row r="344">
      <c r="B344" s="9"/>
      <c r="C344" s="9"/>
      <c r="D344" s="9"/>
      <c r="M344" s="17" t="s">
        <v>431</v>
      </c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B344" s="48"/>
      <c r="AC344" s="48"/>
      <c r="AD344" s="48"/>
      <c r="AE344" s="17"/>
    </row>
    <row r="345">
      <c r="B345" s="9"/>
      <c r="C345" s="9"/>
      <c r="D345" s="9"/>
      <c r="M345" s="17" t="s">
        <v>431</v>
      </c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B345" s="48"/>
      <c r="AC345" s="48"/>
      <c r="AD345" s="48"/>
      <c r="AE345" s="17"/>
    </row>
    <row r="346">
      <c r="B346" s="9"/>
      <c r="C346" s="9"/>
      <c r="D346" s="9"/>
      <c r="M346" s="17" t="s">
        <v>431</v>
      </c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B346" s="48"/>
      <c r="AC346" s="48"/>
      <c r="AD346" s="48"/>
      <c r="AE346" s="17"/>
    </row>
    <row r="347">
      <c r="B347" s="9"/>
      <c r="C347" s="9"/>
      <c r="D347" s="9"/>
      <c r="M347" s="17" t="s">
        <v>431</v>
      </c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B347" s="48"/>
      <c r="AC347" s="48"/>
      <c r="AD347" s="48"/>
      <c r="AE347" s="17"/>
    </row>
    <row r="348">
      <c r="B348" s="9"/>
      <c r="C348" s="9"/>
      <c r="D348" s="9"/>
      <c r="M348" s="17" t="s">
        <v>431</v>
      </c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B348" s="48"/>
      <c r="AC348" s="48"/>
      <c r="AD348" s="48"/>
      <c r="AE348" s="17"/>
    </row>
    <row r="349">
      <c r="B349" s="9"/>
      <c r="C349" s="9"/>
      <c r="D349" s="9"/>
      <c r="M349" s="17" t="s">
        <v>431</v>
      </c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B349" s="48"/>
      <c r="AC349" s="48"/>
      <c r="AD349" s="48"/>
      <c r="AE349" s="17"/>
    </row>
    <row r="350">
      <c r="B350" s="9"/>
      <c r="C350" s="9"/>
      <c r="D350" s="9"/>
      <c r="M350" s="17" t="s">
        <v>431</v>
      </c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B350" s="48"/>
      <c r="AC350" s="48"/>
      <c r="AD350" s="48"/>
      <c r="AE350" s="17"/>
    </row>
    <row r="351">
      <c r="B351" s="9"/>
      <c r="C351" s="9"/>
      <c r="D351" s="9"/>
      <c r="M351" s="17" t="s">
        <v>431</v>
      </c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B351" s="48"/>
      <c r="AC351" s="48"/>
      <c r="AD351" s="48"/>
      <c r="AE351" s="17"/>
    </row>
    <row r="352">
      <c r="B352" s="9"/>
      <c r="C352" s="9"/>
      <c r="D352" s="9"/>
      <c r="M352" s="17" t="s">
        <v>431</v>
      </c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B352" s="48"/>
      <c r="AC352" s="48"/>
      <c r="AD352" s="48"/>
      <c r="AE352" s="17"/>
    </row>
    <row r="353">
      <c r="B353" s="9"/>
      <c r="C353" s="9"/>
      <c r="D353" s="9"/>
      <c r="M353" s="17" t="s">
        <v>431</v>
      </c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B353" s="48"/>
      <c r="AC353" s="48"/>
      <c r="AD353" s="48"/>
      <c r="AE353" s="17"/>
    </row>
    <row r="354">
      <c r="B354" s="9"/>
      <c r="C354" s="9"/>
      <c r="D354" s="9"/>
      <c r="M354" s="17" t="s">
        <v>431</v>
      </c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B354" s="48"/>
      <c r="AC354" s="48"/>
      <c r="AD354" s="48"/>
      <c r="AE354" s="17"/>
    </row>
    <row r="355">
      <c r="B355" s="9"/>
      <c r="C355" s="9"/>
      <c r="D355" s="9"/>
      <c r="M355" s="17" t="s">
        <v>431</v>
      </c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B355" s="48"/>
      <c r="AC355" s="48"/>
      <c r="AD355" s="48"/>
      <c r="AE355" s="17"/>
    </row>
    <row r="356">
      <c r="B356" s="9"/>
      <c r="C356" s="9"/>
      <c r="D356" s="9"/>
      <c r="M356" s="17" t="s">
        <v>431</v>
      </c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B356" s="48"/>
      <c r="AC356" s="48"/>
      <c r="AD356" s="48"/>
      <c r="AE356" s="17"/>
    </row>
    <row r="357">
      <c r="B357" s="9"/>
      <c r="C357" s="9"/>
      <c r="D357" s="9"/>
      <c r="M357" s="17" t="s">
        <v>431</v>
      </c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B357" s="48"/>
      <c r="AC357" s="48"/>
      <c r="AD357" s="48"/>
      <c r="AE357" s="17"/>
    </row>
    <row r="358">
      <c r="B358" s="9"/>
      <c r="C358" s="9"/>
      <c r="D358" s="9"/>
      <c r="M358" s="17" t="s">
        <v>431</v>
      </c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B358" s="48"/>
      <c r="AC358" s="48"/>
      <c r="AD358" s="48"/>
      <c r="AE358" s="17"/>
    </row>
    <row r="359">
      <c r="B359" s="9"/>
      <c r="C359" s="9"/>
      <c r="D359" s="9"/>
      <c r="M359" s="17" t="s">
        <v>431</v>
      </c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B359" s="48"/>
      <c r="AC359" s="48"/>
      <c r="AD359" s="48"/>
      <c r="AE359" s="17"/>
    </row>
    <row r="360">
      <c r="B360" s="9"/>
      <c r="C360" s="9"/>
      <c r="D360" s="9"/>
      <c r="M360" s="17" t="s">
        <v>431</v>
      </c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B360" s="48"/>
      <c r="AC360" s="48"/>
      <c r="AD360" s="48"/>
      <c r="AE360" s="17"/>
    </row>
    <row r="361">
      <c r="B361" s="9"/>
      <c r="C361" s="9"/>
      <c r="D361" s="9"/>
      <c r="M361" s="17" t="s">
        <v>431</v>
      </c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B361" s="48"/>
      <c r="AC361" s="48"/>
      <c r="AD361" s="48"/>
      <c r="AE361" s="17"/>
    </row>
    <row r="362">
      <c r="B362" s="9"/>
      <c r="C362" s="9"/>
      <c r="D362" s="9"/>
      <c r="M362" s="17" t="s">
        <v>431</v>
      </c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B362" s="48"/>
      <c r="AC362" s="48"/>
      <c r="AD362" s="48"/>
      <c r="AE362" s="17"/>
    </row>
    <row r="363">
      <c r="B363" s="9"/>
      <c r="C363" s="9"/>
      <c r="D363" s="9"/>
      <c r="M363" s="17" t="s">
        <v>431</v>
      </c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B363" s="48"/>
      <c r="AC363" s="48"/>
      <c r="AD363" s="48"/>
      <c r="AE363" s="17"/>
    </row>
    <row r="364">
      <c r="B364" s="9"/>
      <c r="C364" s="9"/>
      <c r="D364" s="9"/>
      <c r="M364" s="17" t="s">
        <v>431</v>
      </c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B364" s="48"/>
      <c r="AC364" s="48"/>
      <c r="AD364" s="48"/>
      <c r="AE364" s="17"/>
    </row>
    <row r="365">
      <c r="B365" s="9"/>
      <c r="C365" s="9"/>
      <c r="D365" s="9"/>
      <c r="M365" s="17" t="s">
        <v>431</v>
      </c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B365" s="48"/>
      <c r="AC365" s="48"/>
      <c r="AD365" s="48"/>
      <c r="AE365" s="17"/>
    </row>
    <row r="366">
      <c r="B366" s="9"/>
      <c r="C366" s="9"/>
      <c r="D366" s="9"/>
      <c r="M366" s="17" t="s">
        <v>431</v>
      </c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B366" s="48"/>
      <c r="AC366" s="48"/>
      <c r="AD366" s="48"/>
      <c r="AE366" s="17"/>
    </row>
    <row r="367">
      <c r="B367" s="9"/>
      <c r="C367" s="9"/>
      <c r="D367" s="9"/>
      <c r="M367" s="17" t="s">
        <v>431</v>
      </c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B367" s="48"/>
      <c r="AC367" s="48"/>
      <c r="AD367" s="48"/>
      <c r="AE367" s="17"/>
    </row>
    <row r="368">
      <c r="B368" s="9"/>
      <c r="C368" s="9"/>
      <c r="D368" s="9"/>
      <c r="M368" s="17" t="s">
        <v>431</v>
      </c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B368" s="48"/>
      <c r="AC368" s="48"/>
      <c r="AD368" s="48"/>
      <c r="AE368" s="17"/>
    </row>
    <row r="369">
      <c r="B369" s="9"/>
      <c r="C369" s="9"/>
      <c r="D369" s="9"/>
      <c r="M369" s="17" t="s">
        <v>431</v>
      </c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B369" s="48"/>
      <c r="AC369" s="48"/>
      <c r="AD369" s="48"/>
      <c r="AE369" s="17"/>
    </row>
    <row r="370">
      <c r="B370" s="9"/>
      <c r="C370" s="9"/>
      <c r="D370" s="9"/>
      <c r="M370" s="17" t="s">
        <v>431</v>
      </c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B370" s="48"/>
      <c r="AC370" s="48"/>
      <c r="AD370" s="48"/>
      <c r="AE370" s="17"/>
    </row>
    <row r="371">
      <c r="B371" s="9"/>
      <c r="C371" s="9"/>
      <c r="D371" s="9"/>
      <c r="M371" s="17" t="s">
        <v>431</v>
      </c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B371" s="48"/>
      <c r="AC371" s="48"/>
      <c r="AD371" s="48"/>
      <c r="AE371" s="17"/>
    </row>
    <row r="372">
      <c r="B372" s="9"/>
      <c r="C372" s="9"/>
      <c r="D372" s="9"/>
      <c r="M372" s="17" t="s">
        <v>431</v>
      </c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B372" s="48"/>
      <c r="AC372" s="48"/>
      <c r="AD372" s="48"/>
      <c r="AE372" s="17"/>
    </row>
    <row r="373">
      <c r="B373" s="9"/>
      <c r="C373" s="9"/>
      <c r="D373" s="9"/>
      <c r="M373" s="17" t="s">
        <v>431</v>
      </c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B373" s="48"/>
      <c r="AC373" s="48"/>
      <c r="AD373" s="48"/>
      <c r="AE373" s="17"/>
    </row>
    <row r="374">
      <c r="B374" s="9"/>
      <c r="C374" s="9"/>
      <c r="D374" s="9"/>
      <c r="M374" s="17" t="s">
        <v>431</v>
      </c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B374" s="48"/>
      <c r="AC374" s="48"/>
      <c r="AD374" s="48"/>
      <c r="AE374" s="17"/>
    </row>
    <row r="375">
      <c r="B375" s="9"/>
      <c r="C375" s="9"/>
      <c r="D375" s="9"/>
      <c r="M375" s="17" t="s">
        <v>431</v>
      </c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B375" s="48"/>
      <c r="AC375" s="48"/>
      <c r="AD375" s="48"/>
      <c r="AE375" s="17"/>
    </row>
    <row r="376">
      <c r="B376" s="9"/>
      <c r="C376" s="9"/>
      <c r="D376" s="9"/>
      <c r="M376" s="17" t="s">
        <v>431</v>
      </c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B376" s="48"/>
      <c r="AC376" s="48"/>
      <c r="AD376" s="48"/>
      <c r="AE376" s="17"/>
    </row>
    <row r="377">
      <c r="B377" s="9"/>
      <c r="C377" s="9"/>
      <c r="D377" s="9"/>
      <c r="M377" s="17" t="s">
        <v>431</v>
      </c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B377" s="48"/>
      <c r="AC377" s="48"/>
      <c r="AD377" s="48"/>
      <c r="AE377" s="17"/>
    </row>
    <row r="378">
      <c r="B378" s="9"/>
      <c r="C378" s="9"/>
      <c r="D378" s="9"/>
      <c r="M378" s="17" t="s">
        <v>431</v>
      </c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B378" s="48"/>
      <c r="AC378" s="48"/>
      <c r="AD378" s="48"/>
      <c r="AE378" s="17"/>
    </row>
    <row r="379">
      <c r="B379" s="9"/>
      <c r="C379" s="9"/>
      <c r="D379" s="9"/>
      <c r="M379" s="17" t="s">
        <v>431</v>
      </c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B379" s="48"/>
      <c r="AC379" s="48"/>
      <c r="AD379" s="48"/>
      <c r="AE379" s="17"/>
    </row>
    <row r="380">
      <c r="B380" s="9"/>
      <c r="C380" s="9"/>
      <c r="D380" s="9"/>
      <c r="M380" s="17" t="s">
        <v>431</v>
      </c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B380" s="48"/>
      <c r="AC380" s="48"/>
      <c r="AD380" s="48"/>
      <c r="AE380" s="17"/>
    </row>
    <row r="381">
      <c r="B381" s="9"/>
      <c r="C381" s="9"/>
      <c r="D381" s="9"/>
      <c r="M381" s="17" t="s">
        <v>431</v>
      </c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B381" s="48"/>
      <c r="AC381" s="48"/>
      <c r="AD381" s="48"/>
      <c r="AE381" s="17"/>
    </row>
    <row r="382">
      <c r="B382" s="9"/>
      <c r="C382" s="9"/>
      <c r="D382" s="9"/>
      <c r="M382" s="17" t="s">
        <v>431</v>
      </c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B382" s="48"/>
      <c r="AC382" s="48"/>
      <c r="AD382" s="48"/>
      <c r="AE382" s="17"/>
    </row>
    <row r="383">
      <c r="B383" s="9"/>
      <c r="C383" s="9"/>
      <c r="D383" s="9"/>
      <c r="M383" s="17" t="s">
        <v>431</v>
      </c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B383" s="48"/>
      <c r="AC383" s="48"/>
      <c r="AD383" s="48"/>
      <c r="AE383" s="17"/>
    </row>
    <row r="384">
      <c r="B384" s="9"/>
      <c r="C384" s="9"/>
      <c r="D384" s="9"/>
      <c r="M384" s="17" t="s">
        <v>431</v>
      </c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B384" s="48"/>
      <c r="AC384" s="48"/>
      <c r="AD384" s="48"/>
      <c r="AE384" s="17"/>
    </row>
    <row r="385">
      <c r="B385" s="9"/>
      <c r="C385" s="9"/>
      <c r="D385" s="9"/>
      <c r="M385" s="17" t="s">
        <v>431</v>
      </c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B385" s="48"/>
      <c r="AC385" s="48"/>
      <c r="AD385" s="48"/>
      <c r="AE385" s="17"/>
    </row>
    <row r="386">
      <c r="B386" s="9"/>
      <c r="C386" s="9"/>
      <c r="D386" s="9"/>
      <c r="M386" s="17" t="s">
        <v>431</v>
      </c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B386" s="48"/>
      <c r="AC386" s="48"/>
      <c r="AD386" s="48"/>
      <c r="AE386" s="17"/>
    </row>
    <row r="387">
      <c r="B387" s="9"/>
      <c r="C387" s="9"/>
      <c r="D387" s="9"/>
      <c r="M387" s="17" t="s">
        <v>431</v>
      </c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B387" s="48"/>
      <c r="AC387" s="48"/>
      <c r="AD387" s="48"/>
      <c r="AE387" s="17"/>
    </row>
    <row r="388">
      <c r="B388" s="9"/>
      <c r="C388" s="9"/>
      <c r="D388" s="9"/>
      <c r="M388" s="17" t="s">
        <v>431</v>
      </c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B388" s="48"/>
      <c r="AC388" s="48"/>
      <c r="AD388" s="48"/>
      <c r="AE388" s="17"/>
    </row>
    <row r="389">
      <c r="B389" s="9"/>
      <c r="C389" s="9"/>
      <c r="D389" s="9"/>
      <c r="M389" s="17" t="s">
        <v>431</v>
      </c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B389" s="48"/>
      <c r="AC389" s="48"/>
      <c r="AD389" s="48"/>
      <c r="AE389" s="17"/>
    </row>
    <row r="390">
      <c r="B390" s="9"/>
      <c r="C390" s="9"/>
      <c r="D390" s="9"/>
      <c r="M390" s="17" t="s">
        <v>431</v>
      </c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B390" s="48"/>
      <c r="AC390" s="48"/>
      <c r="AD390" s="48"/>
      <c r="AE390" s="17"/>
    </row>
    <row r="391">
      <c r="B391" s="9"/>
      <c r="C391" s="9"/>
      <c r="D391" s="9"/>
      <c r="M391" s="17" t="s">
        <v>431</v>
      </c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B391" s="48"/>
      <c r="AC391" s="48"/>
      <c r="AD391" s="48"/>
      <c r="AE391" s="17"/>
    </row>
    <row r="392">
      <c r="B392" s="9"/>
      <c r="C392" s="9"/>
      <c r="D392" s="9"/>
      <c r="M392" s="17" t="s">
        <v>431</v>
      </c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B392" s="48"/>
      <c r="AC392" s="48"/>
      <c r="AD392" s="48"/>
      <c r="AE392" s="17"/>
    </row>
    <row r="393">
      <c r="B393" s="9"/>
      <c r="C393" s="9"/>
      <c r="D393" s="9"/>
      <c r="M393" s="17" t="s">
        <v>431</v>
      </c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B393" s="48"/>
      <c r="AC393" s="48"/>
      <c r="AD393" s="48"/>
      <c r="AE393" s="17"/>
    </row>
    <row r="394">
      <c r="B394" s="9"/>
      <c r="C394" s="9"/>
      <c r="D394" s="9"/>
      <c r="M394" s="17" t="s">
        <v>431</v>
      </c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B394" s="48"/>
      <c r="AC394" s="48"/>
      <c r="AD394" s="48"/>
      <c r="AE394" s="17"/>
    </row>
    <row r="395">
      <c r="B395" s="9"/>
      <c r="C395" s="9"/>
      <c r="D395" s="9"/>
      <c r="M395" s="17" t="s">
        <v>431</v>
      </c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B395" s="48"/>
      <c r="AC395" s="48"/>
      <c r="AD395" s="48"/>
      <c r="AE395" s="17"/>
    </row>
    <row r="396">
      <c r="B396" s="9"/>
      <c r="C396" s="9"/>
      <c r="D396" s="9"/>
      <c r="M396" s="17" t="s">
        <v>431</v>
      </c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B396" s="48"/>
      <c r="AC396" s="48"/>
      <c r="AD396" s="48"/>
      <c r="AE396" s="17"/>
    </row>
    <row r="397">
      <c r="B397" s="9"/>
      <c r="C397" s="9"/>
      <c r="D397" s="9"/>
      <c r="M397" s="17" t="s">
        <v>431</v>
      </c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B397" s="48"/>
      <c r="AC397" s="48"/>
      <c r="AD397" s="48"/>
      <c r="AE397" s="17"/>
    </row>
    <row r="398">
      <c r="B398" s="9"/>
      <c r="C398" s="9"/>
      <c r="D398" s="9"/>
      <c r="M398" s="17" t="s">
        <v>431</v>
      </c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B398" s="48"/>
      <c r="AC398" s="48"/>
      <c r="AD398" s="48"/>
      <c r="AE398" s="17"/>
    </row>
    <row r="399">
      <c r="B399" s="9"/>
      <c r="C399" s="9"/>
      <c r="D399" s="9"/>
      <c r="M399" s="17" t="s">
        <v>431</v>
      </c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B399" s="48"/>
      <c r="AC399" s="48"/>
      <c r="AD399" s="48"/>
      <c r="AE399" s="17"/>
    </row>
    <row r="400">
      <c r="B400" s="9"/>
      <c r="C400" s="9"/>
      <c r="D400" s="9"/>
      <c r="M400" s="17" t="s">
        <v>431</v>
      </c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B400" s="48"/>
      <c r="AC400" s="48"/>
      <c r="AD400" s="48"/>
      <c r="AE400" s="17"/>
    </row>
    <row r="401">
      <c r="B401" s="9"/>
      <c r="C401" s="9"/>
      <c r="D401" s="9"/>
      <c r="M401" s="17" t="s">
        <v>431</v>
      </c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B401" s="48"/>
      <c r="AC401" s="48"/>
      <c r="AD401" s="48"/>
      <c r="AE401" s="17"/>
    </row>
    <row r="402">
      <c r="B402" s="9"/>
      <c r="C402" s="9"/>
      <c r="D402" s="9"/>
      <c r="M402" s="17" t="s">
        <v>431</v>
      </c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B402" s="48"/>
      <c r="AC402" s="48"/>
      <c r="AD402" s="48"/>
      <c r="AE402" s="17"/>
    </row>
    <row r="403">
      <c r="B403" s="9"/>
      <c r="C403" s="9"/>
      <c r="D403" s="9"/>
      <c r="M403" s="17" t="s">
        <v>431</v>
      </c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B403" s="48"/>
      <c r="AC403" s="48"/>
      <c r="AD403" s="48"/>
      <c r="AE403" s="17"/>
    </row>
    <row r="404">
      <c r="B404" s="9"/>
      <c r="C404" s="9"/>
      <c r="D404" s="9"/>
      <c r="M404" s="17" t="s">
        <v>431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B404" s="48"/>
      <c r="AC404" s="48"/>
      <c r="AD404" s="48"/>
      <c r="AE404" s="17"/>
    </row>
    <row r="405">
      <c r="B405" s="9"/>
      <c r="C405" s="9"/>
      <c r="D405" s="9"/>
      <c r="M405" s="17" t="s">
        <v>431</v>
      </c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B405" s="48"/>
      <c r="AC405" s="48"/>
      <c r="AD405" s="48"/>
      <c r="AE405" s="17"/>
    </row>
    <row r="406">
      <c r="B406" s="9"/>
      <c r="C406" s="9"/>
      <c r="D406" s="9"/>
      <c r="M406" s="17" t="s">
        <v>431</v>
      </c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B406" s="48"/>
      <c r="AC406" s="48"/>
      <c r="AD406" s="48"/>
      <c r="AE406" s="17"/>
    </row>
    <row r="407">
      <c r="B407" s="9"/>
      <c r="C407" s="9"/>
      <c r="D407" s="9"/>
      <c r="M407" s="17" t="s">
        <v>431</v>
      </c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B407" s="48"/>
      <c r="AC407" s="48"/>
      <c r="AD407" s="48"/>
      <c r="AE407" s="17"/>
    </row>
    <row r="408">
      <c r="B408" s="9"/>
      <c r="C408" s="9"/>
      <c r="D408" s="9"/>
      <c r="M408" s="17" t="s">
        <v>431</v>
      </c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B408" s="48"/>
      <c r="AC408" s="48"/>
      <c r="AD408" s="48"/>
      <c r="AE408" s="17"/>
    </row>
    <row r="409">
      <c r="B409" s="9"/>
      <c r="C409" s="9"/>
      <c r="D409" s="9"/>
      <c r="M409" s="17" t="s">
        <v>431</v>
      </c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B409" s="48"/>
      <c r="AC409" s="48"/>
      <c r="AD409" s="48"/>
      <c r="AE409" s="17"/>
    </row>
    <row r="410">
      <c r="B410" s="9"/>
      <c r="C410" s="9"/>
      <c r="D410" s="9"/>
      <c r="M410" s="17" t="s">
        <v>431</v>
      </c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B410" s="48"/>
      <c r="AC410" s="48"/>
      <c r="AD410" s="48"/>
      <c r="AE410" s="17"/>
    </row>
    <row r="411">
      <c r="B411" s="9"/>
      <c r="C411" s="9"/>
      <c r="D411" s="9"/>
      <c r="M411" s="17" t="s">
        <v>431</v>
      </c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B411" s="48"/>
      <c r="AC411" s="48"/>
      <c r="AD411" s="48"/>
      <c r="AE411" s="17"/>
    </row>
    <row r="412">
      <c r="B412" s="9"/>
      <c r="C412" s="9"/>
      <c r="D412" s="9"/>
      <c r="M412" s="17" t="s">
        <v>431</v>
      </c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B412" s="48"/>
      <c r="AC412" s="48"/>
      <c r="AD412" s="48"/>
      <c r="AE412" s="17"/>
    </row>
    <row r="413">
      <c r="B413" s="9"/>
      <c r="C413" s="9"/>
      <c r="D413" s="9"/>
      <c r="M413" s="17" t="s">
        <v>431</v>
      </c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B413" s="48"/>
      <c r="AC413" s="48"/>
      <c r="AD413" s="48"/>
      <c r="AE413" s="17"/>
    </row>
    <row r="414">
      <c r="B414" s="9"/>
      <c r="C414" s="9"/>
      <c r="D414" s="9"/>
      <c r="M414" s="17" t="s">
        <v>431</v>
      </c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B414" s="48"/>
      <c r="AC414" s="48"/>
      <c r="AD414" s="48"/>
      <c r="AE414" s="17"/>
    </row>
    <row r="415">
      <c r="B415" s="9"/>
      <c r="C415" s="9"/>
      <c r="D415" s="9"/>
      <c r="M415" s="17" t="s">
        <v>431</v>
      </c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B415" s="48"/>
      <c r="AC415" s="48"/>
      <c r="AD415" s="48"/>
      <c r="AE415" s="17"/>
    </row>
    <row r="416">
      <c r="B416" s="9"/>
      <c r="C416" s="9"/>
      <c r="D416" s="9"/>
      <c r="M416" s="17" t="s">
        <v>431</v>
      </c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B416" s="48"/>
      <c r="AC416" s="48"/>
      <c r="AD416" s="48"/>
      <c r="AE416" s="17"/>
    </row>
    <row r="417">
      <c r="B417" s="9"/>
      <c r="C417" s="9"/>
      <c r="D417" s="9"/>
      <c r="M417" s="17" t="s">
        <v>431</v>
      </c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B417" s="48"/>
      <c r="AC417" s="48"/>
      <c r="AD417" s="48"/>
      <c r="AE417" s="17"/>
    </row>
    <row r="418">
      <c r="B418" s="9"/>
      <c r="C418" s="9"/>
      <c r="D418" s="9"/>
      <c r="M418" s="17" t="s">
        <v>431</v>
      </c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B418" s="48"/>
      <c r="AC418" s="48"/>
      <c r="AD418" s="48"/>
      <c r="AE418" s="17"/>
    </row>
    <row r="419">
      <c r="B419" s="9"/>
      <c r="C419" s="9"/>
      <c r="D419" s="9"/>
      <c r="M419" s="17" t="s">
        <v>431</v>
      </c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B419" s="48"/>
      <c r="AC419" s="48"/>
      <c r="AD419" s="48"/>
      <c r="AE419" s="17"/>
    </row>
    <row r="420">
      <c r="B420" s="9"/>
      <c r="C420" s="9"/>
      <c r="D420" s="9"/>
      <c r="M420" s="17" t="s">
        <v>431</v>
      </c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B420" s="48"/>
      <c r="AC420" s="48"/>
      <c r="AD420" s="48"/>
      <c r="AE420" s="17"/>
    </row>
    <row r="421">
      <c r="B421" s="9"/>
      <c r="C421" s="9"/>
      <c r="D421" s="9"/>
      <c r="M421" s="17" t="s">
        <v>431</v>
      </c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B421" s="48"/>
      <c r="AC421" s="48"/>
      <c r="AD421" s="48"/>
      <c r="AE421" s="17"/>
    </row>
    <row r="422">
      <c r="B422" s="9"/>
      <c r="C422" s="9"/>
      <c r="D422" s="9"/>
      <c r="M422" s="17" t="s">
        <v>431</v>
      </c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B422" s="48"/>
      <c r="AC422" s="48"/>
      <c r="AD422" s="48"/>
      <c r="AE422" s="17"/>
    </row>
    <row r="423">
      <c r="B423" s="9"/>
      <c r="C423" s="9"/>
      <c r="D423" s="9"/>
      <c r="M423" s="17" t="s">
        <v>431</v>
      </c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B423" s="48"/>
      <c r="AC423" s="48"/>
      <c r="AD423" s="48"/>
      <c r="AE423" s="17"/>
    </row>
    <row r="424">
      <c r="B424" s="9"/>
      <c r="C424" s="9"/>
      <c r="D424" s="9"/>
      <c r="M424" s="17" t="s">
        <v>431</v>
      </c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B424" s="48"/>
      <c r="AC424" s="48"/>
      <c r="AD424" s="48"/>
      <c r="AE424" s="17"/>
    </row>
    <row r="425">
      <c r="B425" s="9"/>
      <c r="C425" s="9"/>
      <c r="D425" s="9"/>
      <c r="M425" s="17" t="s">
        <v>431</v>
      </c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B425" s="48"/>
      <c r="AC425" s="48"/>
      <c r="AD425" s="48"/>
      <c r="AE425" s="17"/>
    </row>
    <row r="426">
      <c r="B426" s="9"/>
      <c r="C426" s="9"/>
      <c r="D426" s="9"/>
      <c r="M426" s="17" t="s">
        <v>431</v>
      </c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B426" s="48"/>
      <c r="AC426" s="48"/>
      <c r="AD426" s="48"/>
      <c r="AE426" s="17"/>
    </row>
    <row r="427">
      <c r="B427" s="9"/>
      <c r="C427" s="9"/>
      <c r="D427" s="9"/>
      <c r="M427" s="17" t="s">
        <v>431</v>
      </c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B427" s="48"/>
      <c r="AC427" s="48"/>
      <c r="AD427" s="48"/>
      <c r="AE427" s="17"/>
    </row>
    <row r="428">
      <c r="B428" s="9"/>
      <c r="C428" s="9"/>
      <c r="D428" s="9"/>
      <c r="M428" s="17" t="s">
        <v>431</v>
      </c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B428" s="48"/>
      <c r="AC428" s="48"/>
      <c r="AD428" s="48"/>
      <c r="AE428" s="17"/>
    </row>
    <row r="429">
      <c r="B429" s="9"/>
      <c r="C429" s="9"/>
      <c r="D429" s="9"/>
      <c r="M429" s="17" t="s">
        <v>431</v>
      </c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B429" s="48"/>
      <c r="AC429" s="48"/>
      <c r="AD429" s="48"/>
      <c r="AE429" s="17"/>
    </row>
    <row r="430">
      <c r="B430" s="9"/>
      <c r="C430" s="9"/>
      <c r="D430" s="9"/>
      <c r="M430" s="17" t="s">
        <v>431</v>
      </c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B430" s="48"/>
      <c r="AC430" s="48"/>
      <c r="AD430" s="48"/>
      <c r="AE430" s="17"/>
    </row>
    <row r="431">
      <c r="B431" s="9"/>
      <c r="C431" s="9"/>
      <c r="D431" s="9"/>
      <c r="M431" s="17" t="s">
        <v>431</v>
      </c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B431" s="48"/>
      <c r="AC431" s="48"/>
      <c r="AD431" s="48"/>
      <c r="AE431" s="17"/>
    </row>
    <row r="432">
      <c r="B432" s="9"/>
      <c r="C432" s="9"/>
      <c r="D432" s="9"/>
      <c r="M432" s="17" t="s">
        <v>431</v>
      </c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B432" s="48"/>
      <c r="AC432" s="48"/>
      <c r="AD432" s="48"/>
      <c r="AE432" s="17"/>
    </row>
    <row r="433">
      <c r="B433" s="9"/>
      <c r="C433" s="9"/>
      <c r="D433" s="9"/>
      <c r="M433" s="17" t="s">
        <v>431</v>
      </c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B433" s="48"/>
      <c r="AC433" s="48"/>
      <c r="AD433" s="48"/>
      <c r="AE433" s="17"/>
    </row>
    <row r="434">
      <c r="B434" s="9"/>
      <c r="C434" s="9"/>
      <c r="D434" s="9"/>
      <c r="M434" s="17" t="s">
        <v>431</v>
      </c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B434" s="48"/>
      <c r="AC434" s="48"/>
      <c r="AD434" s="48"/>
      <c r="AE434" s="17"/>
    </row>
    <row r="435">
      <c r="B435" s="9"/>
      <c r="C435" s="9"/>
      <c r="D435" s="9"/>
      <c r="M435" s="17" t="s">
        <v>431</v>
      </c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B435" s="48"/>
      <c r="AC435" s="48"/>
      <c r="AD435" s="48"/>
      <c r="AE435" s="17"/>
    </row>
    <row r="436">
      <c r="B436" s="9"/>
      <c r="C436" s="9"/>
      <c r="D436" s="9"/>
      <c r="M436" s="17" t="s">
        <v>431</v>
      </c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B436" s="48"/>
      <c r="AC436" s="48"/>
      <c r="AD436" s="48"/>
      <c r="AE436" s="17"/>
    </row>
    <row r="437">
      <c r="B437" s="9"/>
      <c r="C437" s="9"/>
      <c r="D437" s="9"/>
      <c r="M437" s="17" t="s">
        <v>431</v>
      </c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B437" s="48"/>
      <c r="AC437" s="48"/>
      <c r="AD437" s="48"/>
      <c r="AE437" s="17"/>
    </row>
    <row r="438">
      <c r="B438" s="9"/>
      <c r="C438" s="9"/>
      <c r="D438" s="9"/>
      <c r="M438" s="17" t="s">
        <v>431</v>
      </c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B438" s="48"/>
      <c r="AC438" s="48"/>
      <c r="AD438" s="48"/>
      <c r="AE438" s="17"/>
    </row>
    <row r="439">
      <c r="B439" s="9"/>
      <c r="C439" s="9"/>
      <c r="D439" s="9"/>
      <c r="M439" s="17" t="s">
        <v>431</v>
      </c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B439" s="48"/>
      <c r="AC439" s="48"/>
      <c r="AD439" s="48"/>
      <c r="AE439" s="17"/>
    </row>
    <row r="440">
      <c r="B440" s="9"/>
      <c r="C440" s="9"/>
      <c r="D440" s="9"/>
      <c r="M440" s="17" t="s">
        <v>431</v>
      </c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B440" s="48"/>
      <c r="AC440" s="48"/>
      <c r="AD440" s="48"/>
      <c r="AE440" s="17"/>
    </row>
    <row r="441">
      <c r="B441" s="9"/>
      <c r="C441" s="9"/>
      <c r="D441" s="9"/>
      <c r="M441" s="17" t="s">
        <v>431</v>
      </c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B441" s="48"/>
      <c r="AC441" s="48"/>
      <c r="AD441" s="48"/>
      <c r="AE441" s="17"/>
    </row>
    <row r="442">
      <c r="B442" s="9"/>
      <c r="C442" s="9"/>
      <c r="D442" s="9"/>
      <c r="M442" s="17" t="s">
        <v>431</v>
      </c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B442" s="48"/>
      <c r="AC442" s="48"/>
      <c r="AD442" s="48"/>
      <c r="AE442" s="17"/>
    </row>
    <row r="443">
      <c r="B443" s="9"/>
      <c r="C443" s="9"/>
      <c r="D443" s="9"/>
      <c r="M443" s="17" t="s">
        <v>431</v>
      </c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B443" s="48"/>
      <c r="AC443" s="48"/>
      <c r="AD443" s="48"/>
      <c r="AE443" s="17"/>
    </row>
    <row r="444">
      <c r="B444" s="9"/>
      <c r="C444" s="9"/>
      <c r="D444" s="9"/>
      <c r="M444" s="17" t="s">
        <v>431</v>
      </c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B444" s="48"/>
      <c r="AC444" s="48"/>
      <c r="AD444" s="48"/>
      <c r="AE444" s="17"/>
    </row>
    <row r="445">
      <c r="B445" s="9"/>
      <c r="C445" s="9"/>
      <c r="D445" s="9"/>
      <c r="M445" s="17" t="s">
        <v>431</v>
      </c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B445" s="48"/>
      <c r="AC445" s="48"/>
      <c r="AD445" s="48"/>
      <c r="AE445" s="17"/>
    </row>
    <row r="446">
      <c r="B446" s="9"/>
      <c r="C446" s="9"/>
      <c r="D446" s="9"/>
      <c r="M446" s="17" t="s">
        <v>431</v>
      </c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B446" s="48"/>
      <c r="AC446" s="48"/>
      <c r="AD446" s="48"/>
      <c r="AE446" s="17"/>
    </row>
    <row r="447">
      <c r="B447" s="9"/>
      <c r="C447" s="9"/>
      <c r="D447" s="9"/>
      <c r="M447" s="17" t="s">
        <v>431</v>
      </c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B447" s="48"/>
      <c r="AC447" s="48"/>
      <c r="AD447" s="48"/>
      <c r="AE447" s="17"/>
    </row>
    <row r="448">
      <c r="B448" s="9"/>
      <c r="C448" s="9"/>
      <c r="D448" s="9"/>
      <c r="M448" s="17" t="s">
        <v>431</v>
      </c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B448" s="48"/>
      <c r="AC448" s="48"/>
      <c r="AD448" s="48"/>
      <c r="AE448" s="17"/>
    </row>
    <row r="449">
      <c r="B449" s="9"/>
      <c r="C449" s="9"/>
      <c r="D449" s="9"/>
      <c r="M449" s="17" t="s">
        <v>431</v>
      </c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B449" s="48"/>
      <c r="AC449" s="48"/>
      <c r="AD449" s="48"/>
      <c r="AE449" s="17"/>
    </row>
    <row r="450">
      <c r="B450" s="9"/>
      <c r="C450" s="9"/>
      <c r="D450" s="9"/>
      <c r="M450" s="17" t="s">
        <v>431</v>
      </c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B450" s="48"/>
      <c r="AC450" s="48"/>
      <c r="AD450" s="48"/>
      <c r="AE450" s="17"/>
    </row>
    <row r="451">
      <c r="B451" s="9"/>
      <c r="C451" s="9"/>
      <c r="D451" s="9"/>
      <c r="M451" s="17" t="s">
        <v>431</v>
      </c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B451" s="48"/>
      <c r="AC451" s="48"/>
      <c r="AD451" s="48"/>
      <c r="AE451" s="17"/>
    </row>
    <row r="452">
      <c r="B452" s="9"/>
      <c r="C452" s="9"/>
      <c r="D452" s="9"/>
      <c r="M452" s="17" t="s">
        <v>431</v>
      </c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B452" s="48"/>
      <c r="AC452" s="48"/>
      <c r="AD452" s="48"/>
      <c r="AE452" s="17"/>
    </row>
    <row r="453">
      <c r="B453" s="9"/>
      <c r="C453" s="9"/>
      <c r="D453" s="9"/>
      <c r="M453" s="17" t="s">
        <v>431</v>
      </c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B453" s="48"/>
      <c r="AC453" s="48"/>
      <c r="AD453" s="48"/>
      <c r="AE453" s="17"/>
    </row>
    <row r="454">
      <c r="B454" s="9"/>
      <c r="C454" s="9"/>
      <c r="D454" s="9"/>
      <c r="M454" s="17" t="s">
        <v>431</v>
      </c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B454" s="48"/>
      <c r="AC454" s="48"/>
      <c r="AD454" s="48"/>
      <c r="AE454" s="17"/>
    </row>
    <row r="455">
      <c r="B455" s="9"/>
      <c r="C455" s="9"/>
      <c r="D455" s="9"/>
      <c r="M455" s="17" t="s">
        <v>431</v>
      </c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B455" s="48"/>
      <c r="AC455" s="48"/>
      <c r="AD455" s="48"/>
      <c r="AE455" s="17"/>
    </row>
    <row r="456">
      <c r="B456" s="9"/>
      <c r="C456" s="9"/>
      <c r="D456" s="9"/>
      <c r="M456" s="17" t="s">
        <v>431</v>
      </c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B456" s="48"/>
      <c r="AC456" s="48"/>
      <c r="AD456" s="48"/>
      <c r="AE456" s="17"/>
    </row>
    <row r="457">
      <c r="B457" s="9"/>
      <c r="C457" s="9"/>
      <c r="D457" s="9"/>
      <c r="M457" s="17" t="s">
        <v>431</v>
      </c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B457" s="48"/>
      <c r="AC457" s="48"/>
      <c r="AD457" s="48"/>
      <c r="AE457" s="17"/>
    </row>
    <row r="458">
      <c r="B458" s="9"/>
      <c r="C458" s="9"/>
      <c r="D458" s="9"/>
      <c r="M458" s="17" t="s">
        <v>431</v>
      </c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B458" s="48"/>
      <c r="AC458" s="48"/>
      <c r="AD458" s="48"/>
      <c r="AE458" s="17"/>
    </row>
    <row r="459">
      <c r="B459" s="9"/>
      <c r="C459" s="9"/>
      <c r="D459" s="9"/>
      <c r="M459" s="17" t="s">
        <v>431</v>
      </c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B459" s="48"/>
      <c r="AC459" s="48"/>
      <c r="AD459" s="48"/>
      <c r="AE459" s="17"/>
    </row>
    <row r="460">
      <c r="B460" s="9"/>
      <c r="C460" s="9"/>
      <c r="D460" s="9"/>
      <c r="M460" s="17" t="s">
        <v>431</v>
      </c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B460" s="48"/>
      <c r="AC460" s="48"/>
      <c r="AD460" s="48"/>
      <c r="AE460" s="17"/>
    </row>
    <row r="461">
      <c r="B461" s="9"/>
      <c r="C461" s="9"/>
      <c r="D461" s="9"/>
      <c r="M461" s="17" t="s">
        <v>431</v>
      </c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B461" s="48"/>
      <c r="AC461" s="48"/>
      <c r="AD461" s="48"/>
      <c r="AE461" s="17"/>
    </row>
    <row r="462">
      <c r="B462" s="9"/>
      <c r="C462" s="9"/>
      <c r="D462" s="9"/>
      <c r="M462" s="17" t="s">
        <v>431</v>
      </c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B462" s="48"/>
      <c r="AC462" s="48"/>
      <c r="AD462" s="48"/>
      <c r="AE462" s="17"/>
    </row>
    <row r="463">
      <c r="B463" s="9"/>
      <c r="C463" s="9"/>
      <c r="D463" s="9"/>
      <c r="M463" s="17" t="s">
        <v>431</v>
      </c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B463" s="48"/>
      <c r="AC463" s="48"/>
      <c r="AD463" s="48"/>
      <c r="AE463" s="17"/>
    </row>
    <row r="464">
      <c r="B464" s="9"/>
      <c r="C464" s="9"/>
      <c r="D464" s="9"/>
      <c r="M464" s="17" t="s">
        <v>431</v>
      </c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B464" s="48"/>
      <c r="AC464" s="48"/>
      <c r="AD464" s="48"/>
      <c r="AE464" s="17"/>
    </row>
    <row r="465">
      <c r="B465" s="9"/>
      <c r="C465" s="9"/>
      <c r="D465" s="9"/>
      <c r="M465" s="17" t="s">
        <v>431</v>
      </c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B465" s="48"/>
      <c r="AC465" s="48"/>
      <c r="AD465" s="48"/>
      <c r="AE465" s="17"/>
    </row>
    <row r="466">
      <c r="B466" s="9"/>
      <c r="C466" s="9"/>
      <c r="D466" s="9"/>
      <c r="M466" s="17" t="s">
        <v>431</v>
      </c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B466" s="48"/>
      <c r="AC466" s="48"/>
      <c r="AD466" s="48"/>
      <c r="AE466" s="17"/>
    </row>
    <row r="467">
      <c r="B467" s="9"/>
      <c r="C467" s="9"/>
      <c r="D467" s="9"/>
      <c r="M467" s="17" t="s">
        <v>431</v>
      </c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B467" s="48"/>
      <c r="AC467" s="48"/>
      <c r="AD467" s="48"/>
      <c r="AE467" s="17"/>
    </row>
    <row r="468">
      <c r="B468" s="9"/>
      <c r="C468" s="9"/>
      <c r="D468" s="9"/>
      <c r="M468" s="17" t="s">
        <v>431</v>
      </c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B468" s="48"/>
      <c r="AC468" s="48"/>
      <c r="AD468" s="48"/>
      <c r="AE468" s="17"/>
    </row>
    <row r="469">
      <c r="B469" s="9"/>
      <c r="C469" s="9"/>
      <c r="D469" s="9"/>
      <c r="M469" s="17" t="s">
        <v>431</v>
      </c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B469" s="48"/>
      <c r="AC469" s="48"/>
      <c r="AD469" s="48"/>
      <c r="AE469" s="17"/>
    </row>
    <row r="470">
      <c r="B470" s="9"/>
      <c r="C470" s="9"/>
      <c r="D470" s="9"/>
      <c r="M470" s="17" t="s">
        <v>431</v>
      </c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B470" s="48"/>
      <c r="AC470" s="48"/>
      <c r="AD470" s="48"/>
      <c r="AE470" s="17"/>
    </row>
    <row r="471">
      <c r="B471" s="9"/>
      <c r="C471" s="9"/>
      <c r="D471" s="9"/>
      <c r="M471" s="17" t="s">
        <v>431</v>
      </c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B471" s="48"/>
      <c r="AC471" s="48"/>
      <c r="AD471" s="48"/>
      <c r="AE471" s="17"/>
    </row>
    <row r="472">
      <c r="B472" s="9"/>
      <c r="C472" s="9"/>
      <c r="D472" s="9"/>
      <c r="M472" s="17" t="s">
        <v>431</v>
      </c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B472" s="48"/>
      <c r="AC472" s="48"/>
      <c r="AD472" s="48"/>
      <c r="AE472" s="17"/>
    </row>
    <row r="473">
      <c r="B473" s="9"/>
      <c r="C473" s="9"/>
      <c r="D473" s="9"/>
      <c r="M473" s="17" t="s">
        <v>431</v>
      </c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B473" s="48"/>
      <c r="AC473" s="48"/>
      <c r="AD473" s="48"/>
      <c r="AE473" s="17"/>
    </row>
    <row r="474">
      <c r="B474" s="9"/>
      <c r="C474" s="9"/>
      <c r="D474" s="9"/>
      <c r="M474" s="17" t="s">
        <v>431</v>
      </c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B474" s="48"/>
      <c r="AC474" s="48"/>
      <c r="AD474" s="48"/>
      <c r="AE474" s="17"/>
    </row>
    <row r="475">
      <c r="B475" s="9"/>
      <c r="C475" s="9"/>
      <c r="D475" s="9"/>
      <c r="M475" s="17" t="s">
        <v>431</v>
      </c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B475" s="48"/>
      <c r="AC475" s="48"/>
      <c r="AD475" s="48"/>
      <c r="AE475" s="17"/>
    </row>
    <row r="476">
      <c r="B476" s="9"/>
      <c r="C476" s="9"/>
      <c r="D476" s="9"/>
      <c r="M476" s="17" t="s">
        <v>431</v>
      </c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B476" s="48"/>
      <c r="AC476" s="48"/>
      <c r="AD476" s="48"/>
      <c r="AE476" s="17"/>
    </row>
    <row r="477">
      <c r="B477" s="9"/>
      <c r="C477" s="9"/>
      <c r="D477" s="9"/>
      <c r="M477" s="17" t="s">
        <v>431</v>
      </c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B477" s="48"/>
      <c r="AC477" s="48"/>
      <c r="AD477" s="48"/>
      <c r="AE477" s="17"/>
    </row>
    <row r="478">
      <c r="B478" s="9"/>
      <c r="C478" s="9"/>
      <c r="D478" s="9"/>
      <c r="M478" s="17" t="s">
        <v>431</v>
      </c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B478" s="48"/>
      <c r="AC478" s="48"/>
      <c r="AD478" s="48"/>
      <c r="AE478" s="17"/>
    </row>
    <row r="479">
      <c r="B479" s="9"/>
      <c r="C479" s="9"/>
      <c r="D479" s="9"/>
      <c r="M479" s="17" t="s">
        <v>431</v>
      </c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B479" s="48"/>
      <c r="AC479" s="48"/>
      <c r="AD479" s="48"/>
      <c r="AE479" s="17"/>
    </row>
    <row r="480">
      <c r="B480" s="9"/>
      <c r="C480" s="9"/>
      <c r="D480" s="9"/>
      <c r="M480" s="17" t="s">
        <v>431</v>
      </c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B480" s="48"/>
      <c r="AC480" s="48"/>
      <c r="AD480" s="48"/>
      <c r="AE480" s="17"/>
    </row>
    <row r="481">
      <c r="B481" s="9"/>
      <c r="C481" s="9"/>
      <c r="D481" s="9"/>
      <c r="M481" s="17" t="s">
        <v>431</v>
      </c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B481" s="48"/>
      <c r="AC481" s="48"/>
      <c r="AD481" s="48"/>
      <c r="AE481" s="17"/>
    </row>
    <row r="482">
      <c r="B482" s="9"/>
      <c r="C482" s="9"/>
      <c r="D482" s="9"/>
      <c r="M482" s="17" t="s">
        <v>431</v>
      </c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B482" s="48"/>
      <c r="AC482" s="48"/>
      <c r="AD482" s="48"/>
      <c r="AE482" s="17"/>
    </row>
    <row r="483">
      <c r="B483" s="9"/>
      <c r="C483" s="9"/>
      <c r="D483" s="9"/>
      <c r="M483" s="17" t="s">
        <v>431</v>
      </c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B483" s="48"/>
      <c r="AC483" s="48"/>
      <c r="AD483" s="48"/>
      <c r="AE483" s="17"/>
    </row>
    <row r="484">
      <c r="B484" s="9"/>
      <c r="C484" s="9"/>
      <c r="D484" s="9"/>
      <c r="M484" s="17" t="s">
        <v>431</v>
      </c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B484" s="48"/>
      <c r="AC484" s="48"/>
      <c r="AD484" s="48"/>
      <c r="AE484" s="17"/>
    </row>
    <row r="485">
      <c r="B485" s="9"/>
      <c r="C485" s="9"/>
      <c r="D485" s="9"/>
      <c r="M485" s="17" t="s">
        <v>431</v>
      </c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B485" s="48"/>
      <c r="AC485" s="48"/>
      <c r="AD485" s="48"/>
      <c r="AE485" s="17"/>
    </row>
    <row r="486">
      <c r="B486" s="9"/>
      <c r="C486" s="9"/>
      <c r="D486" s="9"/>
      <c r="M486" s="17" t="s">
        <v>431</v>
      </c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B486" s="48"/>
      <c r="AC486" s="48"/>
      <c r="AD486" s="48"/>
      <c r="AE486" s="17"/>
    </row>
    <row r="487">
      <c r="B487" s="9"/>
      <c r="C487" s="9"/>
      <c r="D487" s="9"/>
      <c r="M487" s="17" t="s">
        <v>431</v>
      </c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B487" s="48"/>
      <c r="AC487" s="48"/>
      <c r="AD487" s="48"/>
      <c r="AE487" s="17"/>
    </row>
    <row r="488">
      <c r="B488" s="9"/>
      <c r="C488" s="9"/>
      <c r="D488" s="9"/>
      <c r="M488" s="17" t="s">
        <v>431</v>
      </c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B488" s="48"/>
      <c r="AC488" s="48"/>
      <c r="AD488" s="48"/>
      <c r="AE488" s="17"/>
    </row>
    <row r="489">
      <c r="B489" s="9"/>
      <c r="C489" s="9"/>
      <c r="D489" s="9"/>
      <c r="M489" s="17" t="s">
        <v>431</v>
      </c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B489" s="48"/>
      <c r="AC489" s="48"/>
      <c r="AD489" s="48"/>
      <c r="AE489" s="17"/>
    </row>
    <row r="490">
      <c r="B490" s="9"/>
      <c r="C490" s="9"/>
      <c r="D490" s="9"/>
      <c r="M490" s="17" t="s">
        <v>431</v>
      </c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B490" s="48"/>
      <c r="AC490" s="48"/>
      <c r="AD490" s="48"/>
      <c r="AE490" s="17"/>
    </row>
    <row r="491">
      <c r="B491" s="9"/>
      <c r="C491" s="9"/>
      <c r="D491" s="9"/>
      <c r="M491" s="17" t="s">
        <v>431</v>
      </c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B491" s="48"/>
      <c r="AC491" s="48"/>
      <c r="AD491" s="48"/>
      <c r="AE491" s="17"/>
    </row>
    <row r="492">
      <c r="B492" s="9"/>
      <c r="C492" s="9"/>
      <c r="D492" s="9"/>
      <c r="M492" s="17" t="s">
        <v>431</v>
      </c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B492" s="48"/>
      <c r="AC492" s="48"/>
      <c r="AD492" s="48"/>
      <c r="AE492" s="17"/>
    </row>
    <row r="493">
      <c r="B493" s="9"/>
      <c r="C493" s="9"/>
      <c r="D493" s="9"/>
      <c r="M493" s="17" t="s">
        <v>431</v>
      </c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B493" s="48"/>
      <c r="AC493" s="48"/>
      <c r="AD493" s="48"/>
      <c r="AE493" s="17"/>
    </row>
    <row r="494">
      <c r="B494" s="9"/>
      <c r="C494" s="9"/>
      <c r="D494" s="9"/>
      <c r="M494" s="17" t="s">
        <v>431</v>
      </c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B494" s="48"/>
      <c r="AC494" s="48"/>
      <c r="AD494" s="48"/>
      <c r="AE494" s="17"/>
    </row>
    <row r="495">
      <c r="B495" s="9"/>
      <c r="C495" s="9"/>
      <c r="D495" s="9"/>
      <c r="M495" s="17" t="s">
        <v>431</v>
      </c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B495" s="48"/>
      <c r="AC495" s="48"/>
      <c r="AD495" s="48"/>
      <c r="AE495" s="17"/>
    </row>
    <row r="496">
      <c r="B496" s="9"/>
      <c r="C496" s="9"/>
      <c r="D496" s="9"/>
      <c r="M496" s="17" t="s">
        <v>431</v>
      </c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B496" s="48"/>
      <c r="AC496" s="48"/>
      <c r="AD496" s="48"/>
      <c r="AE496" s="17"/>
    </row>
    <row r="497">
      <c r="B497" s="9"/>
      <c r="C497" s="9"/>
      <c r="D497" s="9"/>
      <c r="M497" s="17" t="s">
        <v>431</v>
      </c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B497" s="48"/>
      <c r="AC497" s="48"/>
      <c r="AD497" s="48"/>
      <c r="AE497" s="17"/>
    </row>
    <row r="498">
      <c r="B498" s="9"/>
      <c r="C498" s="9"/>
      <c r="D498" s="9"/>
      <c r="M498" s="17" t="s">
        <v>431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B498" s="48"/>
      <c r="AC498" s="48"/>
      <c r="AD498" s="48"/>
      <c r="AE498" s="17"/>
    </row>
    <row r="499">
      <c r="B499" s="9"/>
      <c r="C499" s="9"/>
      <c r="D499" s="9"/>
      <c r="M499" s="17" t="s">
        <v>431</v>
      </c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B499" s="48"/>
      <c r="AC499" s="48"/>
      <c r="AD499" s="48"/>
      <c r="AE499" s="17"/>
    </row>
    <row r="500">
      <c r="B500" s="9"/>
      <c r="C500" s="9"/>
      <c r="D500" s="9"/>
      <c r="M500" s="17" t="s">
        <v>431</v>
      </c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B500" s="48"/>
      <c r="AC500" s="48"/>
      <c r="AD500" s="48"/>
      <c r="AE500" s="17"/>
    </row>
    <row r="501">
      <c r="B501" s="9"/>
      <c r="C501" s="9"/>
      <c r="D501" s="9"/>
      <c r="M501" s="17" t="s">
        <v>431</v>
      </c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B501" s="48"/>
      <c r="AC501" s="48"/>
      <c r="AD501" s="48"/>
      <c r="AE501" s="17"/>
    </row>
    <row r="502">
      <c r="B502" s="9"/>
      <c r="C502" s="9"/>
      <c r="D502" s="9"/>
      <c r="M502" s="17" t="s">
        <v>431</v>
      </c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B502" s="48"/>
      <c r="AC502" s="48"/>
      <c r="AD502" s="48"/>
      <c r="AE502" s="17"/>
    </row>
    <row r="503">
      <c r="B503" s="9"/>
      <c r="C503" s="9"/>
      <c r="D503" s="9"/>
      <c r="M503" s="17" t="s">
        <v>431</v>
      </c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B503" s="48"/>
      <c r="AC503" s="48"/>
      <c r="AD503" s="48"/>
      <c r="AE503" s="17"/>
    </row>
    <row r="504">
      <c r="B504" s="9"/>
      <c r="C504" s="9"/>
      <c r="D504" s="9"/>
      <c r="M504" s="17" t="s">
        <v>431</v>
      </c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B504" s="48"/>
      <c r="AC504" s="48"/>
      <c r="AD504" s="48"/>
      <c r="AE504" s="17"/>
    </row>
    <row r="505">
      <c r="B505" s="9"/>
      <c r="C505" s="9"/>
      <c r="D505" s="9"/>
      <c r="M505" s="17" t="s">
        <v>431</v>
      </c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B505" s="48"/>
      <c r="AC505" s="48"/>
      <c r="AD505" s="48"/>
      <c r="AE505" s="17"/>
    </row>
    <row r="506">
      <c r="B506" s="9"/>
      <c r="C506" s="9"/>
      <c r="D506" s="9"/>
      <c r="M506" s="17" t="s">
        <v>431</v>
      </c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B506" s="48"/>
      <c r="AC506" s="48"/>
      <c r="AD506" s="48"/>
      <c r="AE506" s="17"/>
    </row>
    <row r="507">
      <c r="B507" s="9"/>
      <c r="C507" s="9"/>
      <c r="D507" s="9"/>
      <c r="M507" s="17" t="s">
        <v>431</v>
      </c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B507" s="48"/>
      <c r="AC507" s="48"/>
      <c r="AD507" s="48"/>
      <c r="AE507" s="17"/>
    </row>
    <row r="508">
      <c r="B508" s="9"/>
      <c r="C508" s="9"/>
      <c r="D508" s="9"/>
      <c r="M508" s="17" t="s">
        <v>431</v>
      </c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B508" s="48"/>
      <c r="AC508" s="48"/>
      <c r="AD508" s="48"/>
      <c r="AE508" s="17"/>
    </row>
    <row r="509">
      <c r="B509" s="9"/>
      <c r="C509" s="9"/>
      <c r="D509" s="9"/>
      <c r="M509" s="17" t="s">
        <v>431</v>
      </c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B509" s="48"/>
      <c r="AC509" s="48"/>
      <c r="AD509" s="48"/>
      <c r="AE509" s="17"/>
    </row>
    <row r="510">
      <c r="B510" s="9"/>
      <c r="C510" s="9"/>
      <c r="D510" s="9"/>
      <c r="M510" s="17" t="s">
        <v>431</v>
      </c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B510" s="48"/>
      <c r="AC510" s="48"/>
      <c r="AD510" s="48"/>
      <c r="AE510" s="17"/>
    </row>
    <row r="511">
      <c r="B511" s="9"/>
      <c r="C511" s="9"/>
      <c r="D511" s="9"/>
      <c r="M511" s="17" t="s">
        <v>431</v>
      </c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B511" s="48"/>
      <c r="AC511" s="48"/>
      <c r="AD511" s="48"/>
      <c r="AE511" s="17"/>
    </row>
    <row r="512">
      <c r="B512" s="9"/>
      <c r="C512" s="9"/>
      <c r="D512" s="9"/>
      <c r="M512" s="17" t="s">
        <v>431</v>
      </c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B512" s="48"/>
      <c r="AC512" s="48"/>
      <c r="AD512" s="48"/>
      <c r="AE512" s="17"/>
    </row>
    <row r="513">
      <c r="B513" s="9"/>
      <c r="C513" s="9"/>
      <c r="D513" s="9"/>
      <c r="M513" s="17" t="s">
        <v>431</v>
      </c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B513" s="48"/>
      <c r="AC513" s="48"/>
      <c r="AD513" s="48"/>
      <c r="AE513" s="17"/>
    </row>
    <row r="514">
      <c r="B514" s="9"/>
      <c r="C514" s="9"/>
      <c r="D514" s="9"/>
      <c r="M514" s="17" t="s">
        <v>431</v>
      </c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B514" s="48"/>
      <c r="AC514" s="48"/>
      <c r="AD514" s="48"/>
      <c r="AE514" s="17"/>
    </row>
    <row r="515">
      <c r="B515" s="9"/>
      <c r="C515" s="9"/>
      <c r="D515" s="9"/>
      <c r="M515" s="17" t="s">
        <v>431</v>
      </c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B515" s="48"/>
      <c r="AC515" s="48"/>
      <c r="AD515" s="48"/>
      <c r="AE515" s="17"/>
    </row>
    <row r="516">
      <c r="B516" s="9"/>
      <c r="C516" s="9"/>
      <c r="D516" s="9"/>
      <c r="M516" s="17" t="s">
        <v>431</v>
      </c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B516" s="48"/>
      <c r="AC516" s="48"/>
      <c r="AD516" s="48"/>
      <c r="AE516" s="17"/>
    </row>
    <row r="517">
      <c r="B517" s="9"/>
      <c r="C517" s="9"/>
      <c r="D517" s="9"/>
      <c r="M517" s="17" t="s">
        <v>431</v>
      </c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B517" s="48"/>
      <c r="AC517" s="48"/>
      <c r="AD517" s="48"/>
      <c r="AE517" s="17"/>
    </row>
    <row r="518">
      <c r="B518" s="9"/>
      <c r="C518" s="9"/>
      <c r="D518" s="9"/>
      <c r="M518" s="17" t="s">
        <v>431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B518" s="48"/>
      <c r="AC518" s="48"/>
      <c r="AD518" s="48"/>
      <c r="AE518" s="17"/>
    </row>
    <row r="519">
      <c r="B519" s="9"/>
      <c r="C519" s="9"/>
      <c r="D519" s="9"/>
      <c r="M519" s="17" t="s">
        <v>431</v>
      </c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B519" s="48"/>
      <c r="AC519" s="48"/>
      <c r="AD519" s="48"/>
      <c r="AE519" s="17"/>
    </row>
    <row r="520">
      <c r="B520" s="9"/>
      <c r="C520" s="9"/>
      <c r="D520" s="9"/>
      <c r="M520" s="17" t="s">
        <v>431</v>
      </c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B520" s="48"/>
      <c r="AC520" s="48"/>
      <c r="AD520" s="48"/>
      <c r="AE520" s="17"/>
    </row>
    <row r="521">
      <c r="B521" s="9"/>
      <c r="C521" s="9"/>
      <c r="D521" s="9"/>
      <c r="M521" s="17" t="s">
        <v>431</v>
      </c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B521" s="48"/>
      <c r="AC521" s="48"/>
      <c r="AD521" s="48"/>
      <c r="AE521" s="17"/>
    </row>
    <row r="522">
      <c r="B522" s="9"/>
      <c r="C522" s="9"/>
      <c r="D522" s="9"/>
      <c r="M522" s="17" t="s">
        <v>431</v>
      </c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B522" s="48"/>
      <c r="AC522" s="48"/>
      <c r="AD522" s="48"/>
      <c r="AE522" s="17"/>
    </row>
    <row r="523">
      <c r="B523" s="9"/>
      <c r="C523" s="9"/>
      <c r="D523" s="9"/>
      <c r="M523" s="17" t="s">
        <v>431</v>
      </c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B523" s="48"/>
      <c r="AC523" s="48"/>
      <c r="AD523" s="48"/>
      <c r="AE523" s="17"/>
    </row>
    <row r="524">
      <c r="B524" s="9"/>
      <c r="C524" s="9"/>
      <c r="D524" s="9"/>
      <c r="M524" s="17" t="s">
        <v>431</v>
      </c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B524" s="48"/>
      <c r="AC524" s="48"/>
      <c r="AD524" s="48"/>
      <c r="AE524" s="17"/>
    </row>
    <row r="525">
      <c r="B525" s="9"/>
      <c r="C525" s="9"/>
      <c r="D525" s="9"/>
      <c r="M525" s="17" t="s">
        <v>431</v>
      </c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B525" s="48"/>
      <c r="AC525" s="48"/>
      <c r="AD525" s="48"/>
      <c r="AE525" s="17"/>
    </row>
    <row r="526">
      <c r="B526" s="9"/>
      <c r="C526" s="9"/>
      <c r="D526" s="9"/>
      <c r="M526" s="17" t="s">
        <v>431</v>
      </c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B526" s="48"/>
      <c r="AC526" s="48"/>
      <c r="AD526" s="48"/>
      <c r="AE526" s="17"/>
    </row>
    <row r="527">
      <c r="B527" s="9"/>
      <c r="C527" s="9"/>
      <c r="D527" s="9"/>
      <c r="M527" s="17" t="s">
        <v>431</v>
      </c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B527" s="48"/>
      <c r="AC527" s="48"/>
      <c r="AD527" s="48"/>
      <c r="AE527" s="17"/>
    </row>
    <row r="528">
      <c r="B528" s="9"/>
      <c r="C528" s="9"/>
      <c r="D528" s="9"/>
      <c r="M528" s="17" t="s">
        <v>431</v>
      </c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B528" s="48"/>
      <c r="AC528" s="48"/>
      <c r="AD528" s="48"/>
      <c r="AE528" s="17"/>
    </row>
    <row r="529">
      <c r="B529" s="9"/>
      <c r="C529" s="9"/>
      <c r="D529" s="9"/>
      <c r="M529" s="17" t="s">
        <v>431</v>
      </c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B529" s="48"/>
      <c r="AC529" s="48"/>
      <c r="AD529" s="48"/>
      <c r="AE529" s="17"/>
    </row>
    <row r="530">
      <c r="B530" s="9"/>
      <c r="C530" s="9"/>
      <c r="D530" s="9"/>
      <c r="M530" s="17" t="s">
        <v>431</v>
      </c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B530" s="48"/>
      <c r="AC530" s="48"/>
      <c r="AD530" s="48"/>
      <c r="AE530" s="17"/>
    </row>
    <row r="531">
      <c r="B531" s="9"/>
      <c r="C531" s="9"/>
      <c r="D531" s="9"/>
      <c r="M531" s="17" t="s">
        <v>431</v>
      </c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B531" s="48"/>
      <c r="AC531" s="48"/>
      <c r="AD531" s="48"/>
      <c r="AE531" s="17"/>
    </row>
    <row r="532">
      <c r="B532" s="9"/>
      <c r="C532" s="9"/>
      <c r="D532" s="9"/>
      <c r="M532" s="17" t="s">
        <v>431</v>
      </c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B532" s="48"/>
      <c r="AC532" s="48"/>
      <c r="AD532" s="48"/>
      <c r="AE532" s="17"/>
    </row>
    <row r="533">
      <c r="B533" s="9"/>
      <c r="C533" s="9"/>
      <c r="D533" s="9"/>
      <c r="M533" s="17" t="s">
        <v>431</v>
      </c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B533" s="48"/>
      <c r="AC533" s="48"/>
      <c r="AD533" s="48"/>
      <c r="AE533" s="17"/>
    </row>
    <row r="534">
      <c r="B534" s="9"/>
      <c r="C534" s="9"/>
      <c r="D534" s="9"/>
      <c r="M534" s="17" t="s">
        <v>431</v>
      </c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B534" s="48"/>
      <c r="AC534" s="48"/>
      <c r="AD534" s="48"/>
      <c r="AE534" s="17"/>
    </row>
    <row r="535">
      <c r="B535" s="9"/>
      <c r="C535" s="9"/>
      <c r="D535" s="9"/>
      <c r="M535" s="17" t="s">
        <v>431</v>
      </c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B535" s="48"/>
      <c r="AC535" s="48"/>
      <c r="AD535" s="48"/>
      <c r="AE535" s="17"/>
    </row>
    <row r="536">
      <c r="B536" s="9"/>
      <c r="C536" s="9"/>
      <c r="D536" s="9"/>
      <c r="M536" s="17" t="s">
        <v>431</v>
      </c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B536" s="48"/>
      <c r="AC536" s="48"/>
      <c r="AD536" s="48"/>
      <c r="AE536" s="17"/>
    </row>
    <row r="537">
      <c r="B537" s="9"/>
      <c r="C537" s="9"/>
      <c r="D537" s="9"/>
      <c r="M537" s="17" t="s">
        <v>431</v>
      </c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B537" s="48"/>
      <c r="AC537" s="48"/>
      <c r="AD537" s="48"/>
      <c r="AE537" s="17"/>
    </row>
    <row r="538">
      <c r="B538" s="9"/>
      <c r="C538" s="9"/>
      <c r="D538" s="9"/>
      <c r="M538" s="17" t="s">
        <v>431</v>
      </c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B538" s="48"/>
      <c r="AC538" s="48"/>
      <c r="AD538" s="48"/>
      <c r="AE538" s="17"/>
    </row>
    <row r="539">
      <c r="B539" s="9"/>
      <c r="C539" s="9"/>
      <c r="D539" s="9"/>
      <c r="M539" s="17" t="s">
        <v>431</v>
      </c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B539" s="48"/>
      <c r="AC539" s="48"/>
      <c r="AD539" s="48"/>
      <c r="AE539" s="17"/>
    </row>
    <row r="540">
      <c r="B540" s="9"/>
      <c r="C540" s="9"/>
      <c r="D540" s="9"/>
      <c r="M540" s="17" t="s">
        <v>431</v>
      </c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B540" s="48"/>
      <c r="AC540" s="48"/>
      <c r="AD540" s="48"/>
      <c r="AE540" s="17"/>
    </row>
    <row r="541">
      <c r="B541" s="9"/>
      <c r="C541" s="9"/>
      <c r="D541" s="9"/>
      <c r="M541" s="17" t="s">
        <v>431</v>
      </c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B541" s="48"/>
      <c r="AC541" s="48"/>
      <c r="AD541" s="48"/>
      <c r="AE541" s="17"/>
    </row>
    <row r="542">
      <c r="B542" s="9"/>
      <c r="C542" s="9"/>
      <c r="D542" s="9"/>
      <c r="M542" s="17" t="s">
        <v>431</v>
      </c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B542" s="48"/>
      <c r="AC542" s="48"/>
      <c r="AD542" s="48"/>
      <c r="AE542" s="17"/>
    </row>
    <row r="543">
      <c r="B543" s="9"/>
      <c r="C543" s="9"/>
      <c r="D543" s="9"/>
      <c r="M543" s="17" t="s">
        <v>431</v>
      </c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B543" s="48"/>
      <c r="AC543" s="48"/>
      <c r="AD543" s="48"/>
      <c r="AE543" s="17"/>
    </row>
    <row r="544">
      <c r="B544" s="9"/>
      <c r="C544" s="9"/>
      <c r="D544" s="9"/>
      <c r="M544" s="17" t="s">
        <v>431</v>
      </c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B544" s="48"/>
      <c r="AC544" s="48"/>
      <c r="AD544" s="48"/>
      <c r="AE544" s="17"/>
    </row>
    <row r="545">
      <c r="B545" s="9"/>
      <c r="C545" s="9"/>
      <c r="D545" s="9"/>
      <c r="M545" s="17" t="s">
        <v>431</v>
      </c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B545" s="48"/>
      <c r="AC545" s="48"/>
      <c r="AD545" s="48"/>
      <c r="AE545" s="17"/>
    </row>
    <row r="546">
      <c r="B546" s="9"/>
      <c r="C546" s="9"/>
      <c r="D546" s="9"/>
      <c r="M546" s="17" t="s">
        <v>431</v>
      </c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B546" s="48"/>
      <c r="AC546" s="48"/>
      <c r="AD546" s="48"/>
      <c r="AE546" s="17"/>
    </row>
    <row r="547">
      <c r="B547" s="9"/>
      <c r="C547" s="9"/>
      <c r="D547" s="9"/>
      <c r="M547" s="17" t="s">
        <v>431</v>
      </c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B547" s="48"/>
      <c r="AC547" s="48"/>
      <c r="AD547" s="48"/>
      <c r="AE547" s="17"/>
    </row>
    <row r="548">
      <c r="B548" s="9"/>
      <c r="C548" s="9"/>
      <c r="D548" s="9"/>
      <c r="M548" s="17" t="s">
        <v>431</v>
      </c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B548" s="48"/>
      <c r="AC548" s="48"/>
      <c r="AD548" s="48"/>
      <c r="AE548" s="17"/>
    </row>
    <row r="549">
      <c r="B549" s="9"/>
      <c r="C549" s="9"/>
      <c r="D549" s="9"/>
      <c r="M549" s="17" t="s">
        <v>431</v>
      </c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B549" s="48"/>
      <c r="AC549" s="48"/>
      <c r="AD549" s="48"/>
      <c r="AE549" s="17"/>
    </row>
    <row r="550">
      <c r="B550" s="9"/>
      <c r="C550" s="9"/>
      <c r="D550" s="9"/>
      <c r="M550" s="17" t="s">
        <v>431</v>
      </c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B550" s="48"/>
      <c r="AC550" s="48"/>
      <c r="AD550" s="48"/>
      <c r="AE550" s="17"/>
    </row>
    <row r="551">
      <c r="B551" s="9"/>
      <c r="C551" s="9"/>
      <c r="D551" s="9"/>
      <c r="M551" s="17" t="s">
        <v>431</v>
      </c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B551" s="48"/>
      <c r="AC551" s="48"/>
      <c r="AD551" s="48"/>
      <c r="AE551" s="17"/>
    </row>
    <row r="552">
      <c r="B552" s="9"/>
      <c r="C552" s="9"/>
      <c r="D552" s="9"/>
      <c r="M552" s="17" t="s">
        <v>431</v>
      </c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B552" s="48"/>
      <c r="AC552" s="48"/>
      <c r="AD552" s="48"/>
      <c r="AE552" s="17"/>
    </row>
    <row r="553">
      <c r="B553" s="9"/>
      <c r="C553" s="9"/>
      <c r="D553" s="9"/>
      <c r="M553" s="17" t="s">
        <v>431</v>
      </c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B553" s="48"/>
      <c r="AC553" s="48"/>
      <c r="AD553" s="48"/>
      <c r="AE553" s="17"/>
    </row>
    <row r="554">
      <c r="B554" s="9"/>
      <c r="C554" s="9"/>
      <c r="D554" s="9"/>
      <c r="M554" s="17" t="s">
        <v>431</v>
      </c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B554" s="48"/>
      <c r="AC554" s="48"/>
      <c r="AD554" s="48"/>
      <c r="AE554" s="17"/>
    </row>
    <row r="555">
      <c r="B555" s="9"/>
      <c r="C555" s="9"/>
      <c r="D555" s="9"/>
      <c r="M555" s="17" t="s">
        <v>431</v>
      </c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B555" s="48"/>
      <c r="AC555" s="48"/>
      <c r="AD555" s="48"/>
      <c r="AE555" s="17"/>
    </row>
    <row r="556">
      <c r="B556" s="9"/>
      <c r="C556" s="9"/>
      <c r="D556" s="9"/>
      <c r="M556" s="17" t="s">
        <v>431</v>
      </c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B556" s="48"/>
      <c r="AC556" s="48"/>
      <c r="AD556" s="48"/>
      <c r="AE556" s="17"/>
    </row>
    <row r="557">
      <c r="B557" s="9"/>
      <c r="C557" s="9"/>
      <c r="D557" s="9"/>
      <c r="M557" s="17" t="s">
        <v>431</v>
      </c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B557" s="48"/>
      <c r="AC557" s="48"/>
      <c r="AD557" s="48"/>
      <c r="AE557" s="17"/>
    </row>
    <row r="558">
      <c r="B558" s="9"/>
      <c r="C558" s="9"/>
      <c r="D558" s="9"/>
      <c r="M558" s="17" t="s">
        <v>431</v>
      </c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B558" s="48"/>
      <c r="AC558" s="48"/>
      <c r="AD558" s="48"/>
      <c r="AE558" s="17"/>
    </row>
    <row r="559">
      <c r="B559" s="9"/>
      <c r="C559" s="9"/>
      <c r="D559" s="9"/>
      <c r="M559" s="17" t="s">
        <v>431</v>
      </c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B559" s="48"/>
      <c r="AC559" s="48"/>
      <c r="AD559" s="48"/>
      <c r="AE559" s="17"/>
    </row>
    <row r="560">
      <c r="B560" s="9"/>
      <c r="C560" s="9"/>
      <c r="D560" s="9"/>
      <c r="M560" s="17" t="s">
        <v>431</v>
      </c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B560" s="48"/>
      <c r="AC560" s="48"/>
      <c r="AD560" s="48"/>
      <c r="AE560" s="17"/>
    </row>
    <row r="561">
      <c r="B561" s="9"/>
      <c r="C561" s="9"/>
      <c r="D561" s="9"/>
      <c r="M561" s="17" t="s">
        <v>431</v>
      </c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B561" s="48"/>
      <c r="AC561" s="48"/>
      <c r="AD561" s="48"/>
      <c r="AE561" s="17"/>
    </row>
    <row r="562">
      <c r="B562" s="9"/>
      <c r="C562" s="9"/>
      <c r="D562" s="9"/>
      <c r="M562" s="17" t="s">
        <v>431</v>
      </c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B562" s="48"/>
      <c r="AC562" s="48"/>
      <c r="AD562" s="48"/>
      <c r="AE562" s="17"/>
    </row>
    <row r="563">
      <c r="B563" s="9"/>
      <c r="C563" s="9"/>
      <c r="D563" s="9"/>
      <c r="M563" s="17" t="s">
        <v>431</v>
      </c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B563" s="48"/>
      <c r="AC563" s="48"/>
      <c r="AD563" s="48"/>
      <c r="AE563" s="17"/>
    </row>
    <row r="564">
      <c r="B564" s="9"/>
      <c r="C564" s="9"/>
      <c r="D564" s="9"/>
      <c r="M564" s="17" t="s">
        <v>431</v>
      </c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B564" s="48"/>
      <c r="AC564" s="48"/>
      <c r="AD564" s="48"/>
      <c r="AE564" s="17"/>
    </row>
    <row r="565">
      <c r="B565" s="9"/>
      <c r="C565" s="9"/>
      <c r="D565" s="9"/>
      <c r="M565" s="17" t="s">
        <v>431</v>
      </c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B565" s="48"/>
      <c r="AC565" s="48"/>
      <c r="AD565" s="48"/>
      <c r="AE565" s="17"/>
    </row>
    <row r="566">
      <c r="B566" s="9"/>
      <c r="C566" s="9"/>
      <c r="D566" s="9"/>
      <c r="M566" s="17" t="s">
        <v>431</v>
      </c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B566" s="48"/>
      <c r="AC566" s="48"/>
      <c r="AD566" s="48"/>
      <c r="AE566" s="17"/>
    </row>
    <row r="567">
      <c r="B567" s="9"/>
      <c r="C567" s="9"/>
      <c r="D567" s="9"/>
      <c r="M567" s="17" t="s">
        <v>431</v>
      </c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B567" s="48"/>
      <c r="AC567" s="48"/>
      <c r="AD567" s="48"/>
      <c r="AE567" s="17"/>
    </row>
    <row r="568">
      <c r="B568" s="9"/>
      <c r="C568" s="9"/>
      <c r="D568" s="9"/>
      <c r="M568" s="17" t="s">
        <v>431</v>
      </c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B568" s="48"/>
      <c r="AC568" s="48"/>
      <c r="AD568" s="48"/>
      <c r="AE568" s="17"/>
    </row>
    <row r="569">
      <c r="B569" s="9"/>
      <c r="C569" s="9"/>
      <c r="D569" s="9"/>
      <c r="M569" s="17" t="s">
        <v>431</v>
      </c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B569" s="48"/>
      <c r="AC569" s="48"/>
      <c r="AD569" s="48"/>
      <c r="AE569" s="17"/>
    </row>
    <row r="570">
      <c r="B570" s="9"/>
      <c r="C570" s="9"/>
      <c r="D570" s="9"/>
      <c r="M570" s="17" t="s">
        <v>431</v>
      </c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B570" s="48"/>
      <c r="AC570" s="48"/>
      <c r="AD570" s="48"/>
      <c r="AE570" s="17"/>
    </row>
    <row r="571">
      <c r="B571" s="9"/>
      <c r="C571" s="9"/>
      <c r="D571" s="9"/>
      <c r="M571" s="17" t="s">
        <v>431</v>
      </c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B571" s="48"/>
      <c r="AC571" s="48"/>
      <c r="AD571" s="48"/>
      <c r="AE571" s="17"/>
    </row>
    <row r="572">
      <c r="B572" s="9"/>
      <c r="C572" s="9"/>
      <c r="D572" s="9"/>
      <c r="M572" s="17" t="s">
        <v>431</v>
      </c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B572" s="48"/>
      <c r="AC572" s="48"/>
      <c r="AD572" s="48"/>
      <c r="AE572" s="17"/>
    </row>
    <row r="573">
      <c r="B573" s="9"/>
      <c r="C573" s="9"/>
      <c r="D573" s="9"/>
      <c r="M573" s="17" t="s">
        <v>431</v>
      </c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B573" s="48"/>
      <c r="AC573" s="48"/>
      <c r="AD573" s="48"/>
      <c r="AE573" s="17"/>
    </row>
    <row r="574">
      <c r="B574" s="9"/>
      <c r="C574" s="9"/>
      <c r="D574" s="9"/>
      <c r="M574" s="17" t="s">
        <v>431</v>
      </c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B574" s="48"/>
      <c r="AC574" s="48"/>
      <c r="AD574" s="48"/>
      <c r="AE574" s="17"/>
    </row>
    <row r="575">
      <c r="B575" s="9"/>
      <c r="C575" s="9"/>
      <c r="D575" s="9"/>
      <c r="M575" s="17" t="s">
        <v>431</v>
      </c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B575" s="48"/>
      <c r="AC575" s="48"/>
      <c r="AD575" s="48"/>
      <c r="AE575" s="17"/>
    </row>
    <row r="576">
      <c r="B576" s="9"/>
      <c r="C576" s="9"/>
      <c r="D576" s="9"/>
      <c r="M576" s="17" t="s">
        <v>431</v>
      </c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B576" s="48"/>
      <c r="AC576" s="48"/>
      <c r="AD576" s="48"/>
      <c r="AE576" s="17"/>
    </row>
    <row r="577">
      <c r="B577" s="9"/>
      <c r="C577" s="9"/>
      <c r="D577" s="9"/>
      <c r="M577" s="17" t="s">
        <v>431</v>
      </c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B577" s="48"/>
      <c r="AC577" s="48"/>
      <c r="AD577" s="48"/>
      <c r="AE577" s="17"/>
    </row>
    <row r="578">
      <c r="B578" s="9"/>
      <c r="C578" s="9"/>
      <c r="D578" s="9"/>
      <c r="M578" s="17" t="s">
        <v>431</v>
      </c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B578" s="48"/>
      <c r="AC578" s="48"/>
      <c r="AD578" s="48"/>
      <c r="AE578" s="17"/>
    </row>
    <row r="579">
      <c r="B579" s="9"/>
      <c r="C579" s="9"/>
      <c r="D579" s="9"/>
      <c r="M579" s="17" t="s">
        <v>431</v>
      </c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B579" s="48"/>
      <c r="AC579" s="48"/>
      <c r="AD579" s="48"/>
      <c r="AE579" s="17"/>
    </row>
    <row r="580">
      <c r="B580" s="9"/>
      <c r="C580" s="9"/>
      <c r="D580" s="9"/>
      <c r="M580" s="17" t="s">
        <v>431</v>
      </c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B580" s="48"/>
      <c r="AC580" s="48"/>
      <c r="AD580" s="48"/>
      <c r="AE580" s="17"/>
    </row>
    <row r="581">
      <c r="B581" s="9"/>
      <c r="C581" s="9"/>
      <c r="D581" s="9"/>
      <c r="M581" s="17" t="s">
        <v>431</v>
      </c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B581" s="48"/>
      <c r="AC581" s="48"/>
      <c r="AD581" s="48"/>
      <c r="AE581" s="17"/>
    </row>
    <row r="582">
      <c r="B582" s="9"/>
      <c r="C582" s="9"/>
      <c r="D582" s="9"/>
      <c r="M582" s="17" t="s">
        <v>431</v>
      </c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B582" s="48"/>
      <c r="AC582" s="48"/>
      <c r="AD582" s="48"/>
      <c r="AE582" s="17"/>
    </row>
    <row r="583">
      <c r="B583" s="9"/>
      <c r="C583" s="9"/>
      <c r="D583" s="9"/>
      <c r="M583" s="17" t="s">
        <v>431</v>
      </c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B583" s="48"/>
      <c r="AC583" s="48"/>
      <c r="AD583" s="48"/>
      <c r="AE583" s="17"/>
    </row>
    <row r="584">
      <c r="B584" s="9"/>
      <c r="C584" s="9"/>
      <c r="D584" s="9"/>
      <c r="M584" s="17" t="s">
        <v>431</v>
      </c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B584" s="48"/>
      <c r="AC584" s="48"/>
      <c r="AD584" s="48"/>
      <c r="AE584" s="17"/>
    </row>
    <row r="585">
      <c r="B585" s="9"/>
      <c r="C585" s="9"/>
      <c r="D585" s="9"/>
      <c r="M585" s="17" t="s">
        <v>431</v>
      </c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B585" s="48"/>
      <c r="AC585" s="48"/>
      <c r="AD585" s="48"/>
      <c r="AE585" s="17"/>
    </row>
    <row r="586">
      <c r="B586" s="9"/>
      <c r="C586" s="9"/>
      <c r="D586" s="9"/>
      <c r="M586" s="17" t="s">
        <v>431</v>
      </c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B586" s="48"/>
      <c r="AC586" s="48"/>
      <c r="AD586" s="48"/>
      <c r="AE586" s="17"/>
    </row>
    <row r="587">
      <c r="B587" s="9"/>
      <c r="C587" s="9"/>
      <c r="D587" s="9"/>
      <c r="M587" s="17" t="s">
        <v>431</v>
      </c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B587" s="48"/>
      <c r="AC587" s="48"/>
      <c r="AD587" s="48"/>
      <c r="AE587" s="17"/>
    </row>
    <row r="588">
      <c r="B588" s="9"/>
      <c r="C588" s="9"/>
      <c r="D588" s="9"/>
      <c r="M588" s="17" t="s">
        <v>431</v>
      </c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B588" s="48"/>
      <c r="AC588" s="48"/>
      <c r="AD588" s="48"/>
      <c r="AE588" s="17"/>
    </row>
    <row r="589">
      <c r="B589" s="9"/>
      <c r="C589" s="9"/>
      <c r="D589" s="9"/>
      <c r="M589" s="17" t="s">
        <v>431</v>
      </c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B589" s="48"/>
      <c r="AC589" s="48"/>
      <c r="AD589" s="48"/>
      <c r="AE589" s="17"/>
    </row>
    <row r="590">
      <c r="B590" s="9"/>
      <c r="C590" s="9"/>
      <c r="D590" s="9"/>
      <c r="M590" s="17" t="s">
        <v>431</v>
      </c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B590" s="48"/>
      <c r="AC590" s="48"/>
      <c r="AD590" s="48"/>
      <c r="AE590" s="17"/>
    </row>
    <row r="591">
      <c r="B591" s="9"/>
      <c r="C591" s="9"/>
      <c r="D591" s="9"/>
      <c r="M591" s="17" t="s">
        <v>431</v>
      </c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B591" s="48"/>
      <c r="AC591" s="48"/>
      <c r="AD591" s="48"/>
      <c r="AE591" s="17"/>
    </row>
    <row r="592">
      <c r="B592" s="9"/>
      <c r="C592" s="9"/>
      <c r="D592" s="9"/>
      <c r="M592" s="17" t="s">
        <v>431</v>
      </c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B592" s="48"/>
      <c r="AC592" s="48"/>
      <c r="AD592" s="48"/>
      <c r="AE592" s="17"/>
    </row>
    <row r="593">
      <c r="B593" s="9"/>
      <c r="C593" s="9"/>
      <c r="D593" s="9"/>
      <c r="M593" s="17" t="s">
        <v>431</v>
      </c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B593" s="48"/>
      <c r="AC593" s="48"/>
      <c r="AD593" s="48"/>
      <c r="AE593" s="17"/>
    </row>
    <row r="594">
      <c r="B594" s="9"/>
      <c r="C594" s="9"/>
      <c r="D594" s="9"/>
      <c r="M594" s="17" t="s">
        <v>431</v>
      </c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B594" s="48"/>
      <c r="AC594" s="48"/>
      <c r="AD594" s="48"/>
      <c r="AE594" s="17"/>
    </row>
    <row r="595">
      <c r="B595" s="9"/>
      <c r="C595" s="9"/>
      <c r="D595" s="9"/>
      <c r="M595" s="17" t="s">
        <v>431</v>
      </c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B595" s="48"/>
      <c r="AC595" s="48"/>
      <c r="AD595" s="48"/>
      <c r="AE595" s="17"/>
    </row>
    <row r="596">
      <c r="B596" s="9"/>
      <c r="C596" s="9"/>
      <c r="D596" s="9"/>
      <c r="M596" s="17" t="s">
        <v>431</v>
      </c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B596" s="48"/>
      <c r="AC596" s="48"/>
      <c r="AD596" s="48"/>
      <c r="AE596" s="17"/>
    </row>
    <row r="597">
      <c r="B597" s="9"/>
      <c r="C597" s="9"/>
      <c r="D597" s="9"/>
      <c r="M597" s="17" t="s">
        <v>431</v>
      </c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B597" s="48"/>
      <c r="AC597" s="48"/>
      <c r="AD597" s="48"/>
      <c r="AE597" s="17"/>
    </row>
    <row r="598">
      <c r="B598" s="9"/>
      <c r="C598" s="9"/>
      <c r="D598" s="9"/>
      <c r="M598" s="17" t="s">
        <v>431</v>
      </c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B598" s="48"/>
      <c r="AC598" s="48"/>
      <c r="AD598" s="48"/>
      <c r="AE598" s="17"/>
    </row>
    <row r="599">
      <c r="B599" s="9"/>
      <c r="C599" s="9"/>
      <c r="D599" s="9"/>
      <c r="M599" s="17" t="s">
        <v>431</v>
      </c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B599" s="48"/>
      <c r="AC599" s="48"/>
      <c r="AD599" s="48"/>
      <c r="AE599" s="17"/>
    </row>
    <row r="600">
      <c r="B600" s="9"/>
      <c r="C600" s="9"/>
      <c r="D600" s="9"/>
      <c r="M600" s="17" t="s">
        <v>431</v>
      </c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B600" s="48"/>
      <c r="AC600" s="48"/>
      <c r="AD600" s="48"/>
      <c r="AE600" s="17"/>
    </row>
    <row r="601">
      <c r="B601" s="9"/>
      <c r="C601" s="9"/>
      <c r="D601" s="9"/>
      <c r="M601" s="17" t="s">
        <v>431</v>
      </c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B601" s="48"/>
      <c r="AC601" s="48"/>
      <c r="AD601" s="48"/>
      <c r="AE601" s="17"/>
    </row>
    <row r="602">
      <c r="B602" s="9"/>
      <c r="C602" s="9"/>
      <c r="D602" s="9"/>
      <c r="M602" s="17" t="s">
        <v>431</v>
      </c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B602" s="48"/>
      <c r="AC602" s="48"/>
      <c r="AD602" s="48"/>
      <c r="AE602" s="17"/>
    </row>
    <row r="603">
      <c r="B603" s="9"/>
      <c r="C603" s="9"/>
      <c r="D603" s="9"/>
      <c r="M603" s="17" t="s">
        <v>431</v>
      </c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B603" s="48"/>
      <c r="AC603" s="48"/>
      <c r="AD603" s="48"/>
      <c r="AE603" s="17"/>
    </row>
    <row r="604">
      <c r="B604" s="9"/>
      <c r="C604" s="9"/>
      <c r="D604" s="9"/>
      <c r="M604" s="17" t="s">
        <v>431</v>
      </c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B604" s="48"/>
      <c r="AC604" s="48"/>
      <c r="AD604" s="48"/>
      <c r="AE604" s="17"/>
    </row>
    <row r="605">
      <c r="B605" s="9"/>
      <c r="C605" s="9"/>
      <c r="D605" s="9"/>
      <c r="M605" s="17" t="s">
        <v>431</v>
      </c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B605" s="48"/>
      <c r="AC605" s="48"/>
      <c r="AD605" s="48"/>
      <c r="AE605" s="17"/>
    </row>
    <row r="606">
      <c r="B606" s="9"/>
      <c r="C606" s="9"/>
      <c r="D606" s="9"/>
      <c r="M606" s="17" t="s">
        <v>431</v>
      </c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B606" s="48"/>
      <c r="AC606" s="48"/>
      <c r="AD606" s="48"/>
      <c r="AE606" s="17"/>
    </row>
    <row r="607">
      <c r="B607" s="9"/>
      <c r="C607" s="9"/>
      <c r="D607" s="9"/>
      <c r="M607" s="17" t="s">
        <v>431</v>
      </c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B607" s="48"/>
      <c r="AC607" s="48"/>
      <c r="AD607" s="48"/>
      <c r="AE607" s="17"/>
    </row>
    <row r="608">
      <c r="B608" s="9"/>
      <c r="C608" s="9"/>
      <c r="D608" s="9"/>
      <c r="M608" s="17" t="s">
        <v>431</v>
      </c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B608" s="48"/>
      <c r="AC608" s="48"/>
      <c r="AD608" s="48"/>
      <c r="AE608" s="17"/>
    </row>
    <row r="609">
      <c r="B609" s="9"/>
      <c r="C609" s="9"/>
      <c r="D609" s="9"/>
      <c r="M609" s="17" t="s">
        <v>431</v>
      </c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B609" s="48"/>
      <c r="AC609" s="48"/>
      <c r="AD609" s="48"/>
      <c r="AE609" s="17"/>
    </row>
    <row r="610">
      <c r="B610" s="9"/>
      <c r="C610" s="9"/>
      <c r="D610" s="9"/>
      <c r="M610" s="17" t="s">
        <v>431</v>
      </c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B610" s="48"/>
      <c r="AC610" s="48"/>
      <c r="AD610" s="48"/>
      <c r="AE610" s="17"/>
    </row>
    <row r="611">
      <c r="B611" s="9"/>
      <c r="C611" s="9"/>
      <c r="D611" s="9"/>
      <c r="M611" s="17" t="s">
        <v>431</v>
      </c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B611" s="48"/>
      <c r="AC611" s="48"/>
      <c r="AD611" s="48"/>
      <c r="AE611" s="17"/>
    </row>
    <row r="612">
      <c r="B612" s="9"/>
      <c r="C612" s="9"/>
      <c r="D612" s="9"/>
      <c r="M612" s="17" t="s">
        <v>431</v>
      </c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B612" s="48"/>
      <c r="AC612" s="48"/>
      <c r="AD612" s="48"/>
      <c r="AE612" s="17"/>
    </row>
    <row r="613">
      <c r="B613" s="9"/>
      <c r="C613" s="9"/>
      <c r="D613" s="9"/>
      <c r="M613" s="17" t="s">
        <v>431</v>
      </c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B613" s="48"/>
      <c r="AC613" s="48"/>
      <c r="AD613" s="48"/>
      <c r="AE613" s="17"/>
    </row>
    <row r="614">
      <c r="B614" s="9"/>
      <c r="C614" s="9"/>
      <c r="D614" s="9"/>
      <c r="M614" s="17" t="s">
        <v>431</v>
      </c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B614" s="48"/>
      <c r="AC614" s="48"/>
      <c r="AD614" s="48"/>
      <c r="AE614" s="17"/>
    </row>
    <row r="615">
      <c r="B615" s="9"/>
      <c r="C615" s="9"/>
      <c r="D615" s="9"/>
      <c r="M615" s="17" t="s">
        <v>431</v>
      </c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B615" s="48"/>
      <c r="AC615" s="48"/>
      <c r="AD615" s="48"/>
      <c r="AE615" s="17"/>
    </row>
    <row r="616">
      <c r="B616" s="9"/>
      <c r="C616" s="9"/>
      <c r="D616" s="9"/>
      <c r="M616" s="17" t="s">
        <v>431</v>
      </c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B616" s="48"/>
      <c r="AC616" s="48"/>
      <c r="AD616" s="48"/>
      <c r="AE616" s="17"/>
    </row>
    <row r="617">
      <c r="B617" s="9"/>
      <c r="C617" s="9"/>
      <c r="D617" s="9"/>
      <c r="M617" s="17" t="s">
        <v>431</v>
      </c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B617" s="48"/>
      <c r="AC617" s="48"/>
      <c r="AD617" s="48"/>
      <c r="AE617" s="17"/>
    </row>
    <row r="618">
      <c r="B618" s="9"/>
      <c r="C618" s="9"/>
      <c r="D618" s="9"/>
      <c r="M618" s="17" t="s">
        <v>431</v>
      </c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B618" s="48"/>
      <c r="AC618" s="48"/>
      <c r="AD618" s="48"/>
      <c r="AE618" s="17"/>
    </row>
    <row r="619">
      <c r="B619" s="9"/>
      <c r="C619" s="9"/>
      <c r="D619" s="9"/>
      <c r="M619" s="17" t="s">
        <v>431</v>
      </c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B619" s="48"/>
      <c r="AC619" s="48"/>
      <c r="AD619" s="48"/>
      <c r="AE619" s="17"/>
    </row>
    <row r="620">
      <c r="B620" s="9"/>
      <c r="C620" s="9"/>
      <c r="D620" s="9"/>
      <c r="M620" s="17" t="s">
        <v>431</v>
      </c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B620" s="48"/>
      <c r="AC620" s="48"/>
      <c r="AD620" s="48"/>
      <c r="AE620" s="17"/>
    </row>
    <row r="621">
      <c r="B621" s="9"/>
      <c r="C621" s="9"/>
      <c r="D621" s="9"/>
      <c r="M621" s="17" t="s">
        <v>431</v>
      </c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B621" s="48"/>
      <c r="AC621" s="48"/>
      <c r="AD621" s="48"/>
      <c r="AE621" s="17"/>
    </row>
    <row r="622">
      <c r="B622" s="9"/>
      <c r="C622" s="9"/>
      <c r="D622" s="9"/>
      <c r="M622" s="17" t="s">
        <v>431</v>
      </c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B622" s="48"/>
      <c r="AC622" s="48"/>
      <c r="AD622" s="48"/>
      <c r="AE622" s="17"/>
    </row>
    <row r="623">
      <c r="B623" s="9"/>
      <c r="C623" s="9"/>
      <c r="D623" s="9"/>
      <c r="M623" s="17" t="s">
        <v>431</v>
      </c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B623" s="48"/>
      <c r="AC623" s="48"/>
      <c r="AD623" s="48"/>
      <c r="AE623" s="17"/>
    </row>
    <row r="624">
      <c r="B624" s="9"/>
      <c r="C624" s="9"/>
      <c r="D624" s="9"/>
      <c r="M624" s="17" t="s">
        <v>431</v>
      </c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B624" s="48"/>
      <c r="AC624" s="48"/>
      <c r="AD624" s="48"/>
      <c r="AE624" s="17"/>
    </row>
    <row r="625">
      <c r="B625" s="9"/>
      <c r="C625" s="9"/>
      <c r="D625" s="9"/>
      <c r="M625" s="17" t="s">
        <v>431</v>
      </c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B625" s="48"/>
      <c r="AC625" s="48"/>
      <c r="AD625" s="48"/>
      <c r="AE625" s="17"/>
    </row>
    <row r="626">
      <c r="B626" s="9"/>
      <c r="C626" s="9"/>
      <c r="D626" s="9"/>
      <c r="M626" s="17" t="s">
        <v>431</v>
      </c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B626" s="48"/>
      <c r="AC626" s="48"/>
      <c r="AD626" s="48"/>
      <c r="AE626" s="17"/>
    </row>
    <row r="627">
      <c r="B627" s="9"/>
      <c r="C627" s="9"/>
      <c r="D627" s="9"/>
      <c r="M627" s="17" t="s">
        <v>431</v>
      </c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B627" s="48"/>
      <c r="AC627" s="48"/>
      <c r="AD627" s="48"/>
      <c r="AE627" s="17"/>
    </row>
    <row r="628">
      <c r="B628" s="9"/>
      <c r="C628" s="9"/>
      <c r="D628" s="9"/>
      <c r="M628" s="17" t="s">
        <v>431</v>
      </c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B628" s="48"/>
      <c r="AC628" s="48"/>
      <c r="AD628" s="48"/>
      <c r="AE628" s="17"/>
    </row>
    <row r="629">
      <c r="B629" s="9"/>
      <c r="C629" s="9"/>
      <c r="D629" s="9"/>
      <c r="M629" s="17" t="s">
        <v>431</v>
      </c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B629" s="48"/>
      <c r="AC629" s="48"/>
      <c r="AD629" s="48"/>
      <c r="AE629" s="17"/>
    </row>
    <row r="630">
      <c r="B630" s="9"/>
      <c r="C630" s="9"/>
      <c r="D630" s="9"/>
      <c r="M630" s="17" t="s">
        <v>431</v>
      </c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B630" s="48"/>
      <c r="AC630" s="48"/>
      <c r="AD630" s="48"/>
      <c r="AE630" s="17"/>
    </row>
    <row r="631">
      <c r="B631" s="9"/>
      <c r="C631" s="9"/>
      <c r="D631" s="9"/>
      <c r="M631" s="17" t="s">
        <v>431</v>
      </c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B631" s="48"/>
      <c r="AC631" s="48"/>
      <c r="AD631" s="48"/>
      <c r="AE631" s="17"/>
    </row>
    <row r="632">
      <c r="B632" s="9"/>
      <c r="C632" s="9"/>
      <c r="D632" s="9"/>
      <c r="M632" s="17" t="s">
        <v>431</v>
      </c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B632" s="48"/>
      <c r="AC632" s="48"/>
      <c r="AD632" s="48"/>
      <c r="AE632" s="17"/>
    </row>
    <row r="633">
      <c r="B633" s="9"/>
      <c r="C633" s="9"/>
      <c r="D633" s="9"/>
      <c r="M633" s="17" t="s">
        <v>431</v>
      </c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B633" s="48"/>
      <c r="AC633" s="48"/>
      <c r="AD633" s="48"/>
      <c r="AE633" s="17"/>
    </row>
    <row r="634">
      <c r="B634" s="9"/>
      <c r="C634" s="9"/>
      <c r="D634" s="9"/>
      <c r="M634" s="17" t="s">
        <v>431</v>
      </c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B634" s="48"/>
      <c r="AC634" s="48"/>
      <c r="AD634" s="48"/>
      <c r="AE634" s="17"/>
    </row>
    <row r="635">
      <c r="B635" s="9"/>
      <c r="C635" s="9"/>
      <c r="D635" s="9"/>
      <c r="M635" s="17" t="s">
        <v>431</v>
      </c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B635" s="48"/>
      <c r="AC635" s="48"/>
      <c r="AD635" s="48"/>
      <c r="AE635" s="17"/>
    </row>
    <row r="636">
      <c r="B636" s="9"/>
      <c r="C636" s="9"/>
      <c r="D636" s="9"/>
      <c r="M636" s="17" t="s">
        <v>431</v>
      </c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B636" s="48"/>
      <c r="AC636" s="48"/>
      <c r="AD636" s="48"/>
      <c r="AE636" s="17"/>
    </row>
    <row r="637">
      <c r="B637" s="9"/>
      <c r="C637" s="9"/>
      <c r="D637" s="9"/>
      <c r="M637" s="17" t="s">
        <v>431</v>
      </c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B637" s="48"/>
      <c r="AC637" s="48"/>
      <c r="AD637" s="48"/>
      <c r="AE637" s="17"/>
    </row>
    <row r="638">
      <c r="B638" s="9"/>
      <c r="C638" s="9"/>
      <c r="D638" s="9"/>
      <c r="M638" s="17" t="s">
        <v>431</v>
      </c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B638" s="48"/>
      <c r="AC638" s="48"/>
      <c r="AD638" s="48"/>
      <c r="AE638" s="17"/>
    </row>
    <row r="639">
      <c r="B639" s="9"/>
      <c r="C639" s="9"/>
      <c r="D639" s="9"/>
      <c r="M639" s="17" t="s">
        <v>431</v>
      </c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B639" s="48"/>
      <c r="AC639" s="48"/>
      <c r="AD639" s="48"/>
      <c r="AE639" s="17"/>
    </row>
    <row r="640">
      <c r="B640" s="9"/>
      <c r="C640" s="9"/>
      <c r="D640" s="9"/>
      <c r="M640" s="17" t="s">
        <v>431</v>
      </c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B640" s="48"/>
      <c r="AC640" s="48"/>
      <c r="AD640" s="48"/>
      <c r="AE640" s="17"/>
    </row>
    <row r="641">
      <c r="B641" s="9"/>
      <c r="C641" s="9"/>
      <c r="D641" s="9"/>
      <c r="M641" s="17" t="s">
        <v>431</v>
      </c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B641" s="48"/>
      <c r="AC641" s="48"/>
      <c r="AD641" s="48"/>
      <c r="AE641" s="17"/>
    </row>
    <row r="642">
      <c r="B642" s="9"/>
      <c r="C642" s="9"/>
      <c r="D642" s="9"/>
      <c r="M642" s="17" t="s">
        <v>431</v>
      </c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B642" s="48"/>
      <c r="AC642" s="48"/>
      <c r="AD642" s="48"/>
      <c r="AE642" s="17"/>
    </row>
    <row r="643">
      <c r="B643" s="9"/>
      <c r="C643" s="9"/>
      <c r="D643" s="9"/>
      <c r="M643" s="17" t="s">
        <v>431</v>
      </c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B643" s="48"/>
      <c r="AC643" s="48"/>
      <c r="AD643" s="48"/>
      <c r="AE643" s="17"/>
    </row>
    <row r="644">
      <c r="B644" s="9"/>
      <c r="C644" s="9"/>
      <c r="D644" s="9"/>
      <c r="M644" s="17" t="s">
        <v>431</v>
      </c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B644" s="48"/>
      <c r="AC644" s="48"/>
      <c r="AD644" s="48"/>
      <c r="AE644" s="17"/>
    </row>
    <row r="645">
      <c r="B645" s="9"/>
      <c r="C645" s="9"/>
      <c r="D645" s="9"/>
      <c r="M645" s="17" t="s">
        <v>431</v>
      </c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B645" s="48"/>
      <c r="AC645" s="48"/>
      <c r="AD645" s="48"/>
      <c r="AE645" s="17"/>
    </row>
    <row r="646">
      <c r="B646" s="9"/>
      <c r="C646" s="9"/>
      <c r="D646" s="9"/>
      <c r="M646" s="17" t="s">
        <v>431</v>
      </c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B646" s="48"/>
      <c r="AC646" s="48"/>
      <c r="AD646" s="48"/>
      <c r="AE646" s="17"/>
    </row>
    <row r="647">
      <c r="B647" s="9"/>
      <c r="C647" s="9"/>
      <c r="D647" s="9"/>
      <c r="M647" s="17" t="s">
        <v>431</v>
      </c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B647" s="48"/>
      <c r="AC647" s="48"/>
      <c r="AD647" s="48"/>
      <c r="AE647" s="17"/>
    </row>
    <row r="648">
      <c r="B648" s="9"/>
      <c r="C648" s="9"/>
      <c r="D648" s="9"/>
      <c r="M648" s="17" t="s">
        <v>431</v>
      </c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B648" s="48"/>
      <c r="AC648" s="48"/>
      <c r="AD648" s="48"/>
      <c r="AE648" s="17"/>
    </row>
    <row r="649">
      <c r="B649" s="9"/>
      <c r="C649" s="9"/>
      <c r="D649" s="9"/>
      <c r="M649" s="17" t="s">
        <v>431</v>
      </c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B649" s="48"/>
      <c r="AC649" s="48"/>
      <c r="AD649" s="48"/>
      <c r="AE649" s="17"/>
    </row>
    <row r="650">
      <c r="B650" s="9"/>
      <c r="C650" s="9"/>
      <c r="D650" s="9"/>
      <c r="M650" s="17" t="s">
        <v>431</v>
      </c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B650" s="48"/>
      <c r="AC650" s="48"/>
      <c r="AD650" s="48"/>
      <c r="AE650" s="17"/>
    </row>
    <row r="651">
      <c r="B651" s="9"/>
      <c r="C651" s="9"/>
      <c r="D651" s="9"/>
      <c r="M651" s="17" t="s">
        <v>431</v>
      </c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B651" s="48"/>
      <c r="AC651" s="48"/>
      <c r="AD651" s="48"/>
      <c r="AE651" s="17"/>
    </row>
    <row r="652">
      <c r="B652" s="9"/>
      <c r="C652" s="9"/>
      <c r="D652" s="9"/>
      <c r="M652" s="17" t="s">
        <v>431</v>
      </c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B652" s="48"/>
      <c r="AC652" s="48"/>
      <c r="AD652" s="48"/>
      <c r="AE652" s="17"/>
    </row>
    <row r="653">
      <c r="B653" s="9"/>
      <c r="C653" s="9"/>
      <c r="D653" s="9"/>
      <c r="M653" s="17" t="s">
        <v>431</v>
      </c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B653" s="48"/>
      <c r="AC653" s="48"/>
      <c r="AD653" s="48"/>
      <c r="AE653" s="17"/>
    </row>
    <row r="654">
      <c r="B654" s="9"/>
      <c r="C654" s="9"/>
      <c r="D654" s="9"/>
      <c r="M654" s="17" t="s">
        <v>431</v>
      </c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B654" s="48"/>
      <c r="AC654" s="48"/>
      <c r="AD654" s="48"/>
      <c r="AE654" s="17"/>
    </row>
    <row r="655">
      <c r="B655" s="9"/>
      <c r="C655" s="9"/>
      <c r="D655" s="9"/>
      <c r="M655" s="17" t="s">
        <v>431</v>
      </c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B655" s="48"/>
      <c r="AC655" s="48"/>
      <c r="AD655" s="48"/>
      <c r="AE655" s="17"/>
    </row>
    <row r="656">
      <c r="B656" s="9"/>
      <c r="C656" s="9"/>
      <c r="D656" s="9"/>
      <c r="M656" s="17" t="s">
        <v>431</v>
      </c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B656" s="48"/>
      <c r="AC656" s="48"/>
      <c r="AD656" s="48"/>
      <c r="AE656" s="17"/>
    </row>
    <row r="657">
      <c r="B657" s="9"/>
      <c r="C657" s="9"/>
      <c r="D657" s="9"/>
      <c r="M657" s="17" t="s">
        <v>431</v>
      </c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B657" s="48"/>
      <c r="AC657" s="48"/>
      <c r="AD657" s="48"/>
      <c r="AE657" s="17"/>
    </row>
    <row r="658">
      <c r="B658" s="9"/>
      <c r="C658" s="9"/>
      <c r="D658" s="9"/>
      <c r="M658" s="17" t="s">
        <v>431</v>
      </c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B658" s="48"/>
      <c r="AC658" s="48"/>
      <c r="AD658" s="48"/>
      <c r="AE658" s="17"/>
    </row>
    <row r="659">
      <c r="B659" s="9"/>
      <c r="C659" s="9"/>
      <c r="D659" s="9"/>
      <c r="M659" s="17" t="s">
        <v>431</v>
      </c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B659" s="48"/>
      <c r="AC659" s="48"/>
      <c r="AD659" s="48"/>
      <c r="AE659" s="17"/>
    </row>
    <row r="660">
      <c r="B660" s="9"/>
      <c r="C660" s="9"/>
      <c r="D660" s="9"/>
      <c r="M660" s="17" t="s">
        <v>431</v>
      </c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B660" s="48"/>
      <c r="AC660" s="48"/>
      <c r="AD660" s="48"/>
      <c r="AE660" s="17"/>
    </row>
    <row r="661">
      <c r="B661" s="9"/>
      <c r="C661" s="9"/>
      <c r="D661" s="9"/>
      <c r="M661" s="17" t="s">
        <v>431</v>
      </c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B661" s="48"/>
      <c r="AC661" s="48"/>
      <c r="AD661" s="48"/>
      <c r="AE661" s="17"/>
    </row>
    <row r="662">
      <c r="B662" s="9"/>
      <c r="C662" s="9"/>
      <c r="D662" s="9"/>
      <c r="M662" s="17" t="s">
        <v>431</v>
      </c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B662" s="48"/>
      <c r="AC662" s="48"/>
      <c r="AD662" s="48"/>
      <c r="AE662" s="17"/>
    </row>
    <row r="663">
      <c r="B663" s="9"/>
      <c r="C663" s="9"/>
      <c r="D663" s="9"/>
      <c r="M663" s="17" t="s">
        <v>431</v>
      </c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B663" s="48"/>
      <c r="AC663" s="48"/>
      <c r="AD663" s="48"/>
      <c r="AE663" s="17"/>
    </row>
    <row r="664">
      <c r="B664" s="9"/>
      <c r="C664" s="9"/>
      <c r="D664" s="9"/>
      <c r="M664" s="17" t="s">
        <v>431</v>
      </c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B664" s="48"/>
      <c r="AC664" s="48"/>
      <c r="AD664" s="48"/>
      <c r="AE664" s="17"/>
    </row>
    <row r="665">
      <c r="B665" s="9"/>
      <c r="C665" s="9"/>
      <c r="D665" s="9"/>
      <c r="M665" s="17" t="s">
        <v>431</v>
      </c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B665" s="48"/>
      <c r="AC665" s="48"/>
      <c r="AD665" s="48"/>
      <c r="AE665" s="17"/>
    </row>
    <row r="666">
      <c r="B666" s="9"/>
      <c r="C666" s="9"/>
      <c r="D666" s="9"/>
      <c r="M666" s="17" t="s">
        <v>431</v>
      </c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B666" s="48"/>
      <c r="AC666" s="48"/>
      <c r="AD666" s="48"/>
      <c r="AE666" s="17"/>
    </row>
    <row r="667">
      <c r="B667" s="9"/>
      <c r="C667" s="9"/>
      <c r="D667" s="9"/>
      <c r="M667" s="17" t="s">
        <v>431</v>
      </c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B667" s="48"/>
      <c r="AC667" s="48"/>
      <c r="AD667" s="48"/>
      <c r="AE667" s="17"/>
    </row>
    <row r="668">
      <c r="B668" s="9"/>
      <c r="C668" s="9"/>
      <c r="D668" s="9"/>
      <c r="M668" s="17" t="s">
        <v>431</v>
      </c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B668" s="48"/>
      <c r="AC668" s="48"/>
      <c r="AD668" s="48"/>
      <c r="AE668" s="17"/>
    </row>
    <row r="669">
      <c r="B669" s="9"/>
      <c r="C669" s="9"/>
      <c r="D669" s="9"/>
      <c r="M669" s="17" t="s">
        <v>431</v>
      </c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B669" s="48"/>
      <c r="AC669" s="48"/>
      <c r="AD669" s="48"/>
      <c r="AE669" s="17"/>
    </row>
    <row r="670">
      <c r="B670" s="9"/>
      <c r="C670" s="9"/>
      <c r="D670" s="9"/>
      <c r="M670" s="17" t="s">
        <v>431</v>
      </c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B670" s="48"/>
      <c r="AC670" s="48"/>
      <c r="AD670" s="48"/>
      <c r="AE670" s="17"/>
    </row>
    <row r="671">
      <c r="B671" s="9"/>
      <c r="C671" s="9"/>
      <c r="D671" s="9"/>
      <c r="M671" s="17" t="s">
        <v>431</v>
      </c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B671" s="48"/>
      <c r="AC671" s="48"/>
      <c r="AD671" s="48"/>
      <c r="AE671" s="17"/>
    </row>
    <row r="672">
      <c r="B672" s="9"/>
      <c r="C672" s="9"/>
      <c r="D672" s="9"/>
      <c r="M672" s="17" t="s">
        <v>431</v>
      </c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B672" s="48"/>
      <c r="AC672" s="48"/>
      <c r="AD672" s="48"/>
      <c r="AE672" s="17"/>
    </row>
    <row r="673">
      <c r="B673" s="9"/>
      <c r="C673" s="9"/>
      <c r="D673" s="9"/>
      <c r="M673" s="17" t="s">
        <v>431</v>
      </c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B673" s="48"/>
      <c r="AC673" s="48"/>
      <c r="AD673" s="48"/>
      <c r="AE673" s="17"/>
    </row>
    <row r="674">
      <c r="B674" s="9"/>
      <c r="C674" s="9"/>
      <c r="D674" s="9"/>
      <c r="M674" s="17" t="s">
        <v>431</v>
      </c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B674" s="48"/>
      <c r="AC674" s="48"/>
      <c r="AD674" s="48"/>
      <c r="AE674" s="17"/>
    </row>
    <row r="675">
      <c r="B675" s="9"/>
      <c r="C675" s="9"/>
      <c r="D675" s="9"/>
      <c r="M675" s="17" t="s">
        <v>431</v>
      </c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B675" s="48"/>
      <c r="AC675" s="48"/>
      <c r="AD675" s="48"/>
      <c r="AE675" s="17"/>
    </row>
    <row r="676">
      <c r="B676" s="9"/>
      <c r="C676" s="9"/>
      <c r="D676" s="9"/>
      <c r="M676" s="17" t="s">
        <v>431</v>
      </c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B676" s="48"/>
      <c r="AC676" s="48"/>
      <c r="AD676" s="48"/>
      <c r="AE676" s="17"/>
    </row>
    <row r="677">
      <c r="B677" s="9"/>
      <c r="C677" s="9"/>
      <c r="D677" s="9"/>
      <c r="M677" s="17" t="s">
        <v>431</v>
      </c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B677" s="48"/>
      <c r="AC677" s="48"/>
      <c r="AD677" s="48"/>
      <c r="AE677" s="17"/>
    </row>
    <row r="678">
      <c r="B678" s="9"/>
      <c r="C678" s="9"/>
      <c r="D678" s="9"/>
      <c r="M678" s="17" t="s">
        <v>431</v>
      </c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B678" s="48"/>
      <c r="AC678" s="48"/>
      <c r="AD678" s="48"/>
      <c r="AE678" s="17"/>
    </row>
    <row r="679">
      <c r="B679" s="9"/>
      <c r="C679" s="9"/>
      <c r="D679" s="9"/>
      <c r="M679" s="17" t="s">
        <v>431</v>
      </c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B679" s="48"/>
      <c r="AC679" s="48"/>
      <c r="AD679" s="48"/>
      <c r="AE679" s="17"/>
    </row>
    <row r="680">
      <c r="B680" s="9"/>
      <c r="C680" s="9"/>
      <c r="D680" s="9"/>
      <c r="M680" s="17" t="s">
        <v>431</v>
      </c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B680" s="48"/>
      <c r="AC680" s="48"/>
      <c r="AD680" s="48"/>
      <c r="AE680" s="17"/>
    </row>
    <row r="681">
      <c r="B681" s="9"/>
      <c r="C681" s="9"/>
      <c r="D681" s="9"/>
      <c r="M681" s="17" t="s">
        <v>431</v>
      </c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B681" s="48"/>
      <c r="AC681" s="48"/>
      <c r="AD681" s="48"/>
      <c r="AE681" s="17"/>
    </row>
    <row r="682">
      <c r="B682" s="9"/>
      <c r="C682" s="9"/>
      <c r="D682" s="9"/>
      <c r="M682" s="17" t="s">
        <v>431</v>
      </c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B682" s="48"/>
      <c r="AC682" s="48"/>
      <c r="AD682" s="48"/>
      <c r="AE682" s="17"/>
    </row>
    <row r="683">
      <c r="B683" s="9"/>
      <c r="C683" s="9"/>
      <c r="D683" s="9"/>
      <c r="M683" s="17" t="s">
        <v>431</v>
      </c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B683" s="48"/>
      <c r="AC683" s="48"/>
      <c r="AD683" s="48"/>
      <c r="AE683" s="17"/>
    </row>
    <row r="684">
      <c r="B684" s="9"/>
      <c r="C684" s="9"/>
      <c r="D684" s="9"/>
      <c r="M684" s="17" t="s">
        <v>431</v>
      </c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B684" s="48"/>
      <c r="AC684" s="48"/>
      <c r="AD684" s="48"/>
      <c r="AE684" s="17"/>
    </row>
    <row r="685">
      <c r="B685" s="9"/>
      <c r="C685" s="9"/>
      <c r="D685" s="9"/>
      <c r="M685" s="17" t="s">
        <v>431</v>
      </c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B685" s="48"/>
      <c r="AC685" s="48"/>
      <c r="AD685" s="48"/>
      <c r="AE685" s="17"/>
    </row>
    <row r="686">
      <c r="B686" s="9"/>
      <c r="C686" s="9"/>
      <c r="D686" s="9"/>
      <c r="M686" s="17" t="s">
        <v>431</v>
      </c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B686" s="48"/>
      <c r="AC686" s="48"/>
      <c r="AD686" s="48"/>
      <c r="AE686" s="17"/>
    </row>
    <row r="687">
      <c r="B687" s="9"/>
      <c r="C687" s="9"/>
      <c r="D687" s="9"/>
      <c r="M687" s="17" t="s">
        <v>431</v>
      </c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B687" s="48"/>
      <c r="AC687" s="48"/>
      <c r="AD687" s="48"/>
      <c r="AE687" s="17"/>
    </row>
    <row r="688">
      <c r="B688" s="9"/>
      <c r="C688" s="9"/>
      <c r="D688" s="9"/>
      <c r="M688" s="17" t="s">
        <v>431</v>
      </c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B688" s="48"/>
      <c r="AC688" s="48"/>
      <c r="AD688" s="48"/>
      <c r="AE688" s="17"/>
    </row>
    <row r="689">
      <c r="B689" s="9"/>
      <c r="C689" s="9"/>
      <c r="D689" s="9"/>
      <c r="M689" s="17" t="s">
        <v>431</v>
      </c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B689" s="48"/>
      <c r="AC689" s="48"/>
      <c r="AD689" s="48"/>
      <c r="AE689" s="17"/>
    </row>
    <row r="690">
      <c r="B690" s="9"/>
      <c r="C690" s="9"/>
      <c r="D690" s="9"/>
      <c r="M690" s="17" t="s">
        <v>431</v>
      </c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B690" s="48"/>
      <c r="AC690" s="48"/>
      <c r="AD690" s="48"/>
      <c r="AE690" s="17"/>
    </row>
    <row r="691">
      <c r="B691" s="9"/>
      <c r="C691" s="9"/>
      <c r="D691" s="9"/>
      <c r="M691" s="17" t="s">
        <v>431</v>
      </c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B691" s="48"/>
      <c r="AC691" s="48"/>
      <c r="AD691" s="48"/>
      <c r="AE691" s="17"/>
    </row>
    <row r="692">
      <c r="B692" s="9"/>
      <c r="C692" s="9"/>
      <c r="D692" s="9"/>
      <c r="M692" s="17" t="s">
        <v>431</v>
      </c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B692" s="48"/>
      <c r="AC692" s="48"/>
      <c r="AD692" s="48"/>
      <c r="AE692" s="17"/>
    </row>
    <row r="693">
      <c r="B693" s="9"/>
      <c r="C693" s="9"/>
      <c r="D693" s="9"/>
      <c r="M693" s="17" t="s">
        <v>431</v>
      </c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B693" s="48"/>
      <c r="AC693" s="48"/>
      <c r="AD693" s="48"/>
      <c r="AE693" s="17"/>
    </row>
    <row r="694">
      <c r="B694" s="9"/>
      <c r="C694" s="9"/>
      <c r="D694" s="9"/>
      <c r="M694" s="17" t="s">
        <v>431</v>
      </c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B694" s="48"/>
      <c r="AC694" s="48"/>
      <c r="AD694" s="48"/>
      <c r="AE694" s="17"/>
    </row>
    <row r="695">
      <c r="B695" s="9"/>
      <c r="C695" s="9"/>
      <c r="D695" s="9"/>
      <c r="M695" s="17" t="s">
        <v>431</v>
      </c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B695" s="48"/>
      <c r="AC695" s="48"/>
      <c r="AD695" s="48"/>
      <c r="AE695" s="17"/>
    </row>
    <row r="696">
      <c r="B696" s="9"/>
      <c r="C696" s="9"/>
      <c r="D696" s="9"/>
      <c r="M696" s="17" t="s">
        <v>431</v>
      </c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B696" s="48"/>
      <c r="AC696" s="48"/>
      <c r="AD696" s="48"/>
      <c r="AE696" s="17"/>
    </row>
    <row r="697">
      <c r="B697" s="9"/>
      <c r="C697" s="9"/>
      <c r="D697" s="9"/>
      <c r="M697" s="17" t="s">
        <v>431</v>
      </c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B697" s="48"/>
      <c r="AC697" s="48"/>
      <c r="AD697" s="48"/>
      <c r="AE697" s="17"/>
    </row>
    <row r="698">
      <c r="B698" s="9"/>
      <c r="C698" s="9"/>
      <c r="D698" s="9"/>
      <c r="M698" s="17" t="s">
        <v>431</v>
      </c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B698" s="48"/>
      <c r="AC698" s="48"/>
      <c r="AD698" s="48"/>
      <c r="AE698" s="17"/>
    </row>
    <row r="699">
      <c r="B699" s="9"/>
      <c r="C699" s="9"/>
      <c r="D699" s="9"/>
      <c r="M699" s="17" t="s">
        <v>431</v>
      </c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B699" s="48"/>
      <c r="AC699" s="48"/>
      <c r="AD699" s="48"/>
      <c r="AE699" s="17"/>
    </row>
    <row r="700">
      <c r="B700" s="9"/>
      <c r="C700" s="9"/>
      <c r="D700" s="9"/>
      <c r="M700" s="17" t="s">
        <v>431</v>
      </c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B700" s="48"/>
      <c r="AC700" s="48"/>
      <c r="AD700" s="48"/>
      <c r="AE700" s="17"/>
    </row>
    <row r="701">
      <c r="B701" s="9"/>
      <c r="C701" s="9"/>
      <c r="D701" s="9"/>
      <c r="M701" s="17" t="s">
        <v>431</v>
      </c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B701" s="48"/>
      <c r="AC701" s="48"/>
      <c r="AD701" s="48"/>
      <c r="AE701" s="17"/>
    </row>
    <row r="702">
      <c r="B702" s="9"/>
      <c r="C702" s="9"/>
      <c r="D702" s="9"/>
      <c r="M702" s="17" t="s">
        <v>431</v>
      </c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B702" s="48"/>
      <c r="AC702" s="48"/>
      <c r="AD702" s="48"/>
      <c r="AE702" s="17"/>
    </row>
    <row r="703">
      <c r="B703" s="9"/>
      <c r="C703" s="9"/>
      <c r="D703" s="9"/>
      <c r="M703" s="17" t="s">
        <v>431</v>
      </c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B703" s="48"/>
      <c r="AC703" s="48"/>
      <c r="AD703" s="48"/>
      <c r="AE703" s="17"/>
    </row>
    <row r="704">
      <c r="B704" s="9"/>
      <c r="C704" s="9"/>
      <c r="D704" s="9"/>
      <c r="M704" s="17" t="s">
        <v>431</v>
      </c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B704" s="48"/>
      <c r="AC704" s="48"/>
      <c r="AD704" s="48"/>
      <c r="AE704" s="17"/>
    </row>
    <row r="705">
      <c r="B705" s="9"/>
      <c r="C705" s="9"/>
      <c r="D705" s="9"/>
      <c r="M705" s="17" t="s">
        <v>431</v>
      </c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B705" s="48"/>
      <c r="AC705" s="48"/>
      <c r="AD705" s="48"/>
      <c r="AE705" s="17"/>
    </row>
    <row r="706">
      <c r="B706" s="9"/>
      <c r="C706" s="9"/>
      <c r="D706" s="9"/>
      <c r="M706" s="17" t="s">
        <v>431</v>
      </c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B706" s="48"/>
      <c r="AC706" s="48"/>
      <c r="AD706" s="48"/>
      <c r="AE706" s="17"/>
    </row>
    <row r="707">
      <c r="B707" s="9"/>
      <c r="C707" s="9"/>
      <c r="D707" s="9"/>
      <c r="M707" s="17" t="s">
        <v>431</v>
      </c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B707" s="48"/>
      <c r="AC707" s="48"/>
      <c r="AD707" s="48"/>
      <c r="AE707" s="17"/>
    </row>
    <row r="708">
      <c r="B708" s="9"/>
      <c r="C708" s="9"/>
      <c r="D708" s="9"/>
      <c r="M708" s="17" t="s">
        <v>431</v>
      </c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B708" s="48"/>
      <c r="AC708" s="48"/>
      <c r="AD708" s="48"/>
      <c r="AE708" s="17"/>
    </row>
    <row r="709">
      <c r="B709" s="9"/>
      <c r="C709" s="9"/>
      <c r="D709" s="9"/>
      <c r="M709" s="17" t="s">
        <v>431</v>
      </c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B709" s="48"/>
      <c r="AC709" s="48"/>
      <c r="AD709" s="48"/>
      <c r="AE709" s="17"/>
    </row>
    <row r="710">
      <c r="B710" s="9"/>
      <c r="C710" s="9"/>
      <c r="D710" s="9"/>
      <c r="M710" s="17" t="s">
        <v>431</v>
      </c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B710" s="48"/>
      <c r="AC710" s="48"/>
      <c r="AD710" s="48"/>
      <c r="AE710" s="17"/>
    </row>
    <row r="711">
      <c r="B711" s="9"/>
      <c r="C711" s="9"/>
      <c r="D711" s="9"/>
      <c r="M711" s="17" t="s">
        <v>431</v>
      </c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B711" s="48"/>
      <c r="AC711" s="48"/>
      <c r="AD711" s="48"/>
      <c r="AE711" s="17"/>
    </row>
    <row r="712">
      <c r="B712" s="9"/>
      <c r="C712" s="9"/>
      <c r="D712" s="9"/>
      <c r="M712" s="17" t="s">
        <v>431</v>
      </c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B712" s="48"/>
      <c r="AC712" s="48"/>
      <c r="AD712" s="48"/>
      <c r="AE712" s="17"/>
    </row>
    <row r="713">
      <c r="B713" s="9"/>
      <c r="C713" s="9"/>
      <c r="D713" s="9"/>
      <c r="M713" s="17" t="s">
        <v>431</v>
      </c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B713" s="48"/>
      <c r="AC713" s="48"/>
      <c r="AD713" s="48"/>
      <c r="AE713" s="17"/>
    </row>
    <row r="714">
      <c r="B714" s="9"/>
      <c r="C714" s="9"/>
      <c r="D714" s="9"/>
      <c r="M714" s="17" t="s">
        <v>431</v>
      </c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B714" s="48"/>
      <c r="AC714" s="48"/>
      <c r="AD714" s="48"/>
      <c r="AE714" s="17"/>
    </row>
    <row r="715">
      <c r="B715" s="9"/>
      <c r="C715" s="9"/>
      <c r="D715" s="9"/>
      <c r="M715" s="17" t="s">
        <v>431</v>
      </c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B715" s="48"/>
      <c r="AC715" s="48"/>
      <c r="AD715" s="48"/>
      <c r="AE715" s="17"/>
    </row>
    <row r="716">
      <c r="B716" s="9"/>
      <c r="C716" s="9"/>
      <c r="D716" s="9"/>
      <c r="M716" s="17" t="s">
        <v>431</v>
      </c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B716" s="48"/>
      <c r="AC716" s="48"/>
      <c r="AD716" s="48"/>
      <c r="AE716" s="17"/>
    </row>
    <row r="717">
      <c r="B717" s="9"/>
      <c r="C717" s="9"/>
      <c r="D717" s="9"/>
      <c r="M717" s="17" t="s">
        <v>431</v>
      </c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B717" s="48"/>
      <c r="AC717" s="48"/>
      <c r="AD717" s="48"/>
      <c r="AE717" s="17"/>
    </row>
    <row r="718">
      <c r="B718" s="9"/>
      <c r="C718" s="9"/>
      <c r="D718" s="9"/>
      <c r="M718" s="17" t="s">
        <v>431</v>
      </c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B718" s="48"/>
      <c r="AC718" s="48"/>
      <c r="AD718" s="48"/>
      <c r="AE718" s="17"/>
    </row>
    <row r="719">
      <c r="B719" s="9"/>
      <c r="C719" s="9"/>
      <c r="D719" s="9"/>
      <c r="M719" s="17" t="s">
        <v>431</v>
      </c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B719" s="48"/>
      <c r="AC719" s="48"/>
      <c r="AD719" s="48"/>
      <c r="AE719" s="17"/>
    </row>
    <row r="720">
      <c r="B720" s="9"/>
      <c r="C720" s="9"/>
      <c r="D720" s="9"/>
      <c r="M720" s="17" t="s">
        <v>431</v>
      </c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B720" s="48"/>
      <c r="AC720" s="48"/>
      <c r="AD720" s="48"/>
      <c r="AE720" s="17"/>
    </row>
    <row r="721">
      <c r="B721" s="9"/>
      <c r="C721" s="9"/>
      <c r="D721" s="9"/>
      <c r="M721" s="17" t="s">
        <v>431</v>
      </c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B721" s="48"/>
      <c r="AC721" s="48"/>
      <c r="AD721" s="48"/>
      <c r="AE721" s="17"/>
    </row>
    <row r="722">
      <c r="B722" s="9"/>
      <c r="C722" s="9"/>
      <c r="D722" s="9"/>
      <c r="M722" s="17" t="s">
        <v>431</v>
      </c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B722" s="48"/>
      <c r="AC722" s="48"/>
      <c r="AD722" s="48"/>
      <c r="AE722" s="17"/>
    </row>
    <row r="723">
      <c r="B723" s="9"/>
      <c r="C723" s="9"/>
      <c r="D723" s="9"/>
      <c r="M723" s="17" t="s">
        <v>431</v>
      </c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B723" s="48"/>
      <c r="AC723" s="48"/>
      <c r="AD723" s="48"/>
      <c r="AE723" s="17"/>
    </row>
    <row r="724">
      <c r="B724" s="9"/>
      <c r="C724" s="9"/>
      <c r="D724" s="9"/>
      <c r="M724" s="17" t="s">
        <v>431</v>
      </c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B724" s="48"/>
      <c r="AC724" s="48"/>
      <c r="AD724" s="48"/>
      <c r="AE724" s="17"/>
    </row>
    <row r="725">
      <c r="B725" s="9"/>
      <c r="C725" s="9"/>
      <c r="D725" s="9"/>
      <c r="M725" s="17" t="s">
        <v>431</v>
      </c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B725" s="48"/>
      <c r="AC725" s="48"/>
      <c r="AD725" s="48"/>
      <c r="AE725" s="17"/>
    </row>
    <row r="726">
      <c r="B726" s="9"/>
      <c r="C726" s="9"/>
      <c r="D726" s="9"/>
      <c r="M726" s="17" t="s">
        <v>431</v>
      </c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B726" s="48"/>
      <c r="AC726" s="48"/>
      <c r="AD726" s="48"/>
      <c r="AE726" s="17"/>
    </row>
    <row r="727">
      <c r="B727" s="9"/>
      <c r="C727" s="9"/>
      <c r="D727" s="9"/>
      <c r="M727" s="17" t="s">
        <v>431</v>
      </c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B727" s="48"/>
      <c r="AC727" s="48"/>
      <c r="AD727" s="48"/>
      <c r="AE727" s="17"/>
    </row>
    <row r="728">
      <c r="B728" s="9"/>
      <c r="C728" s="9"/>
      <c r="D728" s="9"/>
      <c r="M728" s="17" t="s">
        <v>431</v>
      </c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B728" s="48"/>
      <c r="AC728" s="48"/>
      <c r="AD728" s="48"/>
      <c r="AE728" s="17"/>
    </row>
    <row r="729">
      <c r="B729" s="9"/>
      <c r="C729" s="9"/>
      <c r="D729" s="9"/>
      <c r="M729" s="17" t="s">
        <v>431</v>
      </c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B729" s="48"/>
      <c r="AC729" s="48"/>
      <c r="AD729" s="48"/>
      <c r="AE729" s="17"/>
    </row>
    <row r="730">
      <c r="B730" s="9"/>
      <c r="C730" s="9"/>
      <c r="D730" s="9"/>
      <c r="M730" s="17" t="s">
        <v>431</v>
      </c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B730" s="48"/>
      <c r="AC730" s="48"/>
      <c r="AD730" s="48"/>
      <c r="AE730" s="17"/>
    </row>
    <row r="731">
      <c r="B731" s="9"/>
      <c r="C731" s="9"/>
      <c r="D731" s="9"/>
      <c r="M731" s="17" t="s">
        <v>431</v>
      </c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B731" s="48"/>
      <c r="AC731" s="48"/>
      <c r="AD731" s="48"/>
      <c r="AE731" s="17"/>
    </row>
    <row r="732">
      <c r="B732" s="9"/>
      <c r="C732" s="9"/>
      <c r="D732" s="9"/>
      <c r="M732" s="17" t="s">
        <v>431</v>
      </c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B732" s="48"/>
      <c r="AC732" s="48"/>
      <c r="AD732" s="48"/>
      <c r="AE732" s="17"/>
    </row>
    <row r="733">
      <c r="B733" s="9"/>
      <c r="C733" s="9"/>
      <c r="D733" s="9"/>
      <c r="M733" s="17" t="s">
        <v>431</v>
      </c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B733" s="48"/>
      <c r="AC733" s="48"/>
      <c r="AD733" s="48"/>
      <c r="AE733" s="17"/>
    </row>
    <row r="734">
      <c r="B734" s="9"/>
      <c r="C734" s="9"/>
      <c r="D734" s="9"/>
      <c r="M734" s="17" t="s">
        <v>431</v>
      </c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B734" s="48"/>
      <c r="AC734" s="48"/>
      <c r="AD734" s="48"/>
      <c r="AE734" s="17"/>
    </row>
    <row r="735">
      <c r="B735" s="9"/>
      <c r="C735" s="9"/>
      <c r="D735" s="9"/>
      <c r="M735" s="17" t="s">
        <v>431</v>
      </c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B735" s="48"/>
      <c r="AC735" s="48"/>
      <c r="AD735" s="48"/>
      <c r="AE735" s="17"/>
    </row>
    <row r="736">
      <c r="B736" s="9"/>
      <c r="C736" s="9"/>
      <c r="D736" s="9"/>
      <c r="M736" s="17" t="s">
        <v>431</v>
      </c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B736" s="48"/>
      <c r="AC736" s="48"/>
      <c r="AD736" s="48"/>
      <c r="AE736" s="17"/>
    </row>
    <row r="737">
      <c r="B737" s="9"/>
      <c r="C737" s="9"/>
      <c r="D737" s="9"/>
      <c r="M737" s="17" t="s">
        <v>431</v>
      </c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B737" s="48"/>
      <c r="AC737" s="48"/>
      <c r="AD737" s="48"/>
      <c r="AE737" s="17"/>
    </row>
    <row r="738">
      <c r="B738" s="9"/>
      <c r="C738" s="9"/>
      <c r="D738" s="9"/>
      <c r="M738" s="17" t="s">
        <v>431</v>
      </c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B738" s="48"/>
      <c r="AC738" s="48"/>
      <c r="AD738" s="48"/>
      <c r="AE738" s="17"/>
    </row>
    <row r="739">
      <c r="B739" s="9"/>
      <c r="C739" s="9"/>
      <c r="D739" s="9"/>
      <c r="M739" s="17" t="s">
        <v>431</v>
      </c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B739" s="48"/>
      <c r="AC739" s="48"/>
      <c r="AD739" s="48"/>
      <c r="AE739" s="17"/>
    </row>
    <row r="740">
      <c r="B740" s="9"/>
      <c r="C740" s="9"/>
      <c r="D740" s="9"/>
      <c r="M740" s="17" t="s">
        <v>431</v>
      </c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B740" s="48"/>
      <c r="AC740" s="48"/>
      <c r="AD740" s="48"/>
      <c r="AE740" s="17"/>
    </row>
    <row r="741">
      <c r="B741" s="9"/>
      <c r="C741" s="9"/>
      <c r="D741" s="9"/>
      <c r="M741" s="17" t="s">
        <v>431</v>
      </c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B741" s="48"/>
      <c r="AC741" s="48"/>
      <c r="AD741" s="48"/>
      <c r="AE741" s="17"/>
    </row>
    <row r="742">
      <c r="B742" s="9"/>
      <c r="C742" s="9"/>
      <c r="D742" s="9"/>
      <c r="M742" s="17" t="s">
        <v>431</v>
      </c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B742" s="48"/>
      <c r="AC742" s="48"/>
      <c r="AD742" s="48"/>
      <c r="AE742" s="17"/>
    </row>
    <row r="743">
      <c r="B743" s="9"/>
      <c r="C743" s="9"/>
      <c r="D743" s="9"/>
      <c r="M743" s="17" t="s">
        <v>431</v>
      </c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B743" s="48"/>
      <c r="AC743" s="48"/>
      <c r="AD743" s="48"/>
      <c r="AE743" s="17"/>
    </row>
    <row r="744">
      <c r="B744" s="9"/>
      <c r="C744" s="9"/>
      <c r="D744" s="9"/>
      <c r="M744" s="17" t="s">
        <v>431</v>
      </c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B744" s="48"/>
      <c r="AC744" s="48"/>
      <c r="AD744" s="48"/>
      <c r="AE744" s="17"/>
    </row>
    <row r="745">
      <c r="B745" s="9"/>
      <c r="C745" s="9"/>
      <c r="D745" s="9"/>
      <c r="M745" s="17" t="s">
        <v>431</v>
      </c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B745" s="48"/>
      <c r="AC745" s="48"/>
      <c r="AD745" s="48"/>
      <c r="AE745" s="17"/>
    </row>
    <row r="746">
      <c r="B746" s="9"/>
      <c r="C746" s="9"/>
      <c r="D746" s="9"/>
      <c r="M746" s="17" t="s">
        <v>431</v>
      </c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B746" s="48"/>
      <c r="AC746" s="48"/>
      <c r="AD746" s="48"/>
      <c r="AE746" s="17"/>
    </row>
    <row r="747">
      <c r="B747" s="9"/>
      <c r="C747" s="9"/>
      <c r="D747" s="9"/>
      <c r="M747" s="17" t="s">
        <v>431</v>
      </c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B747" s="48"/>
      <c r="AC747" s="48"/>
      <c r="AD747" s="48"/>
      <c r="AE747" s="17"/>
    </row>
    <row r="748">
      <c r="B748" s="9"/>
      <c r="C748" s="9"/>
      <c r="D748" s="9"/>
      <c r="M748" s="17" t="s">
        <v>431</v>
      </c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B748" s="48"/>
      <c r="AC748" s="48"/>
      <c r="AD748" s="48"/>
      <c r="AE748" s="17"/>
    </row>
    <row r="749">
      <c r="B749" s="9"/>
      <c r="C749" s="9"/>
      <c r="D749" s="9"/>
      <c r="M749" s="17" t="s">
        <v>431</v>
      </c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B749" s="48"/>
      <c r="AC749" s="48"/>
      <c r="AD749" s="48"/>
      <c r="AE749" s="17"/>
    </row>
    <row r="750">
      <c r="B750" s="9"/>
      <c r="C750" s="9"/>
      <c r="D750" s="9"/>
      <c r="M750" s="17" t="s">
        <v>431</v>
      </c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B750" s="48"/>
      <c r="AC750" s="48"/>
      <c r="AD750" s="48"/>
      <c r="AE750" s="17"/>
    </row>
    <row r="751">
      <c r="B751" s="9"/>
      <c r="C751" s="9"/>
      <c r="D751" s="9"/>
      <c r="M751" s="17" t="s">
        <v>431</v>
      </c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B751" s="48"/>
      <c r="AC751" s="48"/>
      <c r="AD751" s="48"/>
      <c r="AE751" s="17"/>
    </row>
    <row r="752">
      <c r="B752" s="9"/>
      <c r="C752" s="9"/>
      <c r="D752" s="9"/>
      <c r="M752" s="17" t="s">
        <v>431</v>
      </c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B752" s="48"/>
      <c r="AC752" s="48"/>
      <c r="AD752" s="48"/>
      <c r="AE752" s="17"/>
    </row>
    <row r="753">
      <c r="B753" s="9"/>
      <c r="C753" s="9"/>
      <c r="D753" s="9"/>
      <c r="M753" s="17" t="s">
        <v>431</v>
      </c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B753" s="48"/>
      <c r="AC753" s="48"/>
      <c r="AD753" s="48"/>
      <c r="AE753" s="17"/>
    </row>
    <row r="754">
      <c r="B754" s="9"/>
      <c r="C754" s="9"/>
      <c r="D754" s="9"/>
      <c r="M754" s="17" t="s">
        <v>431</v>
      </c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B754" s="48"/>
      <c r="AC754" s="48"/>
      <c r="AD754" s="48"/>
      <c r="AE754" s="17"/>
    </row>
    <row r="755">
      <c r="B755" s="9"/>
      <c r="C755" s="9"/>
      <c r="D755" s="9"/>
      <c r="M755" s="17" t="s">
        <v>431</v>
      </c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B755" s="48"/>
      <c r="AC755" s="48"/>
      <c r="AD755" s="48"/>
      <c r="AE755" s="17"/>
    </row>
    <row r="756">
      <c r="B756" s="9"/>
      <c r="C756" s="9"/>
      <c r="D756" s="9"/>
      <c r="M756" s="17" t="s">
        <v>431</v>
      </c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B756" s="48"/>
      <c r="AC756" s="48"/>
      <c r="AD756" s="48"/>
      <c r="AE756" s="17"/>
    </row>
    <row r="757">
      <c r="B757" s="9"/>
      <c r="C757" s="9"/>
      <c r="D757" s="9"/>
      <c r="M757" s="17" t="s">
        <v>431</v>
      </c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B757" s="48"/>
      <c r="AC757" s="48"/>
      <c r="AD757" s="48"/>
      <c r="AE757" s="17"/>
    </row>
    <row r="758">
      <c r="B758" s="9"/>
      <c r="C758" s="9"/>
      <c r="D758" s="9"/>
      <c r="M758" s="17" t="s">
        <v>431</v>
      </c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B758" s="48"/>
      <c r="AC758" s="48"/>
      <c r="AD758" s="48"/>
      <c r="AE758" s="17"/>
    </row>
    <row r="759">
      <c r="B759" s="9"/>
      <c r="C759" s="9"/>
      <c r="D759" s="9"/>
      <c r="M759" s="17" t="s">
        <v>431</v>
      </c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B759" s="48"/>
      <c r="AC759" s="48"/>
      <c r="AD759" s="48"/>
      <c r="AE759" s="17"/>
    </row>
    <row r="760">
      <c r="B760" s="9"/>
      <c r="C760" s="9"/>
      <c r="D760" s="9"/>
      <c r="M760" s="17" t="s">
        <v>431</v>
      </c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B760" s="48"/>
      <c r="AC760" s="48"/>
      <c r="AD760" s="48"/>
      <c r="AE760" s="17"/>
    </row>
    <row r="761">
      <c r="B761" s="9"/>
      <c r="C761" s="9"/>
      <c r="D761" s="9"/>
      <c r="M761" s="17" t="s">
        <v>431</v>
      </c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B761" s="48"/>
      <c r="AC761" s="48"/>
      <c r="AD761" s="48"/>
      <c r="AE761" s="17"/>
    </row>
    <row r="762">
      <c r="B762" s="9"/>
      <c r="C762" s="9"/>
      <c r="D762" s="9"/>
      <c r="M762" s="17" t="s">
        <v>431</v>
      </c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B762" s="48"/>
      <c r="AC762" s="48"/>
      <c r="AD762" s="48"/>
      <c r="AE762" s="17"/>
    </row>
    <row r="763">
      <c r="B763" s="9"/>
      <c r="C763" s="9"/>
      <c r="D763" s="9"/>
      <c r="M763" s="17" t="s">
        <v>431</v>
      </c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B763" s="48"/>
      <c r="AC763" s="48"/>
      <c r="AD763" s="48"/>
      <c r="AE763" s="17"/>
    </row>
    <row r="764">
      <c r="B764" s="9"/>
      <c r="C764" s="9"/>
      <c r="D764" s="9"/>
      <c r="M764" s="17" t="s">
        <v>431</v>
      </c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B764" s="48"/>
      <c r="AC764" s="48"/>
      <c r="AD764" s="48"/>
      <c r="AE764" s="17"/>
    </row>
    <row r="765">
      <c r="B765" s="9"/>
      <c r="C765" s="9"/>
      <c r="D765" s="9"/>
      <c r="M765" s="17" t="s">
        <v>431</v>
      </c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B765" s="48"/>
      <c r="AC765" s="48"/>
      <c r="AD765" s="48"/>
      <c r="AE765" s="17"/>
    </row>
    <row r="766">
      <c r="B766" s="9"/>
      <c r="C766" s="9"/>
      <c r="D766" s="9"/>
      <c r="M766" s="17" t="s">
        <v>431</v>
      </c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B766" s="48"/>
      <c r="AC766" s="48"/>
      <c r="AD766" s="48"/>
      <c r="AE766" s="17"/>
    </row>
    <row r="767">
      <c r="B767" s="9"/>
      <c r="C767" s="9"/>
      <c r="D767" s="9"/>
      <c r="M767" s="17" t="s">
        <v>431</v>
      </c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B767" s="48"/>
      <c r="AC767" s="48"/>
      <c r="AD767" s="48"/>
      <c r="AE767" s="17"/>
    </row>
    <row r="768">
      <c r="B768" s="9"/>
      <c r="C768" s="9"/>
      <c r="D768" s="9"/>
      <c r="M768" s="17" t="s">
        <v>431</v>
      </c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B768" s="48"/>
      <c r="AC768" s="48"/>
      <c r="AD768" s="48"/>
      <c r="AE768" s="17"/>
    </row>
    <row r="769">
      <c r="B769" s="9"/>
      <c r="C769" s="9"/>
      <c r="D769" s="9"/>
      <c r="M769" s="17" t="s">
        <v>431</v>
      </c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B769" s="48"/>
      <c r="AC769" s="48"/>
      <c r="AD769" s="48"/>
      <c r="AE769" s="17"/>
    </row>
    <row r="770">
      <c r="B770" s="9"/>
      <c r="C770" s="9"/>
      <c r="D770" s="9"/>
      <c r="M770" s="17" t="s">
        <v>431</v>
      </c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B770" s="48"/>
      <c r="AC770" s="48"/>
      <c r="AD770" s="48"/>
      <c r="AE770" s="17"/>
    </row>
    <row r="771">
      <c r="B771" s="9"/>
      <c r="C771" s="9"/>
      <c r="D771" s="9"/>
      <c r="M771" s="17" t="s">
        <v>431</v>
      </c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B771" s="48"/>
      <c r="AC771" s="48"/>
      <c r="AD771" s="48"/>
      <c r="AE771" s="17"/>
    </row>
    <row r="772">
      <c r="B772" s="9"/>
      <c r="C772" s="9"/>
      <c r="D772" s="9"/>
      <c r="M772" s="17" t="s">
        <v>431</v>
      </c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B772" s="48"/>
      <c r="AC772" s="48"/>
      <c r="AD772" s="48"/>
      <c r="AE772" s="17"/>
    </row>
    <row r="773">
      <c r="B773" s="9"/>
      <c r="C773" s="9"/>
      <c r="D773" s="9"/>
      <c r="M773" s="17" t="s">
        <v>431</v>
      </c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B773" s="48"/>
      <c r="AC773" s="48"/>
      <c r="AD773" s="48"/>
      <c r="AE773" s="17"/>
    </row>
    <row r="774">
      <c r="B774" s="9"/>
      <c r="C774" s="9"/>
      <c r="D774" s="9"/>
      <c r="M774" s="17" t="s">
        <v>431</v>
      </c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B774" s="48"/>
      <c r="AC774" s="48"/>
      <c r="AD774" s="48"/>
      <c r="AE774" s="17"/>
    </row>
    <row r="775">
      <c r="B775" s="9"/>
      <c r="C775" s="9"/>
      <c r="D775" s="9"/>
      <c r="M775" s="17" t="s">
        <v>431</v>
      </c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B775" s="48"/>
      <c r="AC775" s="48"/>
      <c r="AD775" s="48"/>
      <c r="AE775" s="17"/>
    </row>
    <row r="776">
      <c r="B776" s="9"/>
      <c r="C776" s="9"/>
      <c r="D776" s="9"/>
      <c r="M776" s="17" t="s">
        <v>431</v>
      </c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B776" s="48"/>
      <c r="AC776" s="48"/>
      <c r="AD776" s="48"/>
      <c r="AE776" s="17"/>
    </row>
    <row r="777">
      <c r="B777" s="9"/>
      <c r="C777" s="9"/>
      <c r="D777" s="9"/>
      <c r="M777" s="17" t="s">
        <v>431</v>
      </c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B777" s="48"/>
      <c r="AC777" s="48"/>
      <c r="AD777" s="48"/>
      <c r="AE777" s="17"/>
    </row>
    <row r="778">
      <c r="B778" s="9"/>
      <c r="C778" s="9"/>
      <c r="D778" s="9"/>
      <c r="M778" s="17" t="s">
        <v>431</v>
      </c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B778" s="48"/>
      <c r="AC778" s="48"/>
      <c r="AD778" s="48"/>
      <c r="AE778" s="17"/>
    </row>
    <row r="779">
      <c r="B779" s="9"/>
      <c r="C779" s="9"/>
      <c r="D779" s="9"/>
      <c r="M779" s="17" t="s">
        <v>431</v>
      </c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B779" s="48"/>
      <c r="AC779" s="48"/>
      <c r="AD779" s="48"/>
      <c r="AE779" s="17"/>
    </row>
    <row r="780">
      <c r="B780" s="9"/>
      <c r="C780" s="9"/>
      <c r="D780" s="9"/>
      <c r="M780" s="17" t="s">
        <v>431</v>
      </c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B780" s="48"/>
      <c r="AC780" s="48"/>
      <c r="AD780" s="48"/>
      <c r="AE780" s="17"/>
    </row>
    <row r="781">
      <c r="B781" s="9"/>
      <c r="C781" s="9"/>
      <c r="D781" s="9"/>
      <c r="M781" s="17" t="s">
        <v>431</v>
      </c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B781" s="48"/>
      <c r="AC781" s="48"/>
      <c r="AD781" s="48"/>
      <c r="AE781" s="17"/>
    </row>
    <row r="782">
      <c r="B782" s="9"/>
      <c r="C782" s="9"/>
      <c r="D782" s="9"/>
      <c r="M782" s="17" t="s">
        <v>431</v>
      </c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B782" s="48"/>
      <c r="AC782" s="48"/>
      <c r="AD782" s="48"/>
      <c r="AE782" s="17"/>
    </row>
    <row r="783">
      <c r="B783" s="9"/>
      <c r="C783" s="9"/>
      <c r="D783" s="9"/>
      <c r="M783" s="17" t="s">
        <v>431</v>
      </c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B783" s="48"/>
      <c r="AC783" s="48"/>
      <c r="AD783" s="48"/>
      <c r="AE783" s="17"/>
    </row>
    <row r="784">
      <c r="B784" s="9"/>
      <c r="C784" s="9"/>
      <c r="D784" s="9"/>
      <c r="M784" s="17" t="s">
        <v>431</v>
      </c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B784" s="48"/>
      <c r="AC784" s="48"/>
      <c r="AD784" s="48"/>
      <c r="AE784" s="17"/>
    </row>
    <row r="785">
      <c r="B785" s="9"/>
      <c r="C785" s="9"/>
      <c r="D785" s="9"/>
      <c r="M785" s="17" t="s">
        <v>431</v>
      </c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B785" s="48"/>
      <c r="AC785" s="48"/>
      <c r="AD785" s="48"/>
      <c r="AE785" s="17"/>
    </row>
    <row r="786">
      <c r="B786" s="9"/>
      <c r="C786" s="9"/>
      <c r="D786" s="9"/>
      <c r="M786" s="17" t="s">
        <v>431</v>
      </c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B786" s="48"/>
      <c r="AC786" s="48"/>
      <c r="AD786" s="48"/>
      <c r="AE786" s="17"/>
    </row>
    <row r="787">
      <c r="B787" s="9"/>
      <c r="C787" s="9"/>
      <c r="D787" s="9"/>
      <c r="M787" s="17" t="s">
        <v>431</v>
      </c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B787" s="48"/>
      <c r="AC787" s="48"/>
      <c r="AD787" s="48"/>
      <c r="AE787" s="17"/>
    </row>
    <row r="788">
      <c r="B788" s="9"/>
      <c r="C788" s="9"/>
      <c r="D788" s="9"/>
      <c r="M788" s="17" t="s">
        <v>431</v>
      </c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B788" s="48"/>
      <c r="AC788" s="48"/>
      <c r="AD788" s="48"/>
      <c r="AE788" s="17"/>
    </row>
    <row r="789">
      <c r="B789" s="9"/>
      <c r="C789" s="9"/>
      <c r="D789" s="9"/>
      <c r="M789" s="17" t="s">
        <v>431</v>
      </c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B789" s="48"/>
      <c r="AC789" s="48"/>
      <c r="AD789" s="48"/>
      <c r="AE789" s="17"/>
    </row>
    <row r="790">
      <c r="B790" s="9"/>
      <c r="C790" s="9"/>
      <c r="D790" s="9"/>
      <c r="M790" s="17" t="s">
        <v>431</v>
      </c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B790" s="48"/>
      <c r="AC790" s="48"/>
      <c r="AD790" s="48"/>
      <c r="AE790" s="17"/>
    </row>
    <row r="791">
      <c r="B791" s="9"/>
      <c r="C791" s="9"/>
      <c r="D791" s="9"/>
      <c r="M791" s="17" t="s">
        <v>431</v>
      </c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B791" s="48"/>
      <c r="AC791" s="48"/>
      <c r="AD791" s="48"/>
      <c r="AE791" s="17"/>
    </row>
    <row r="792">
      <c r="B792" s="9"/>
      <c r="C792" s="9"/>
      <c r="D792" s="9"/>
      <c r="M792" s="17" t="s">
        <v>431</v>
      </c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B792" s="48"/>
      <c r="AC792" s="48"/>
      <c r="AD792" s="48"/>
      <c r="AE792" s="17"/>
    </row>
    <row r="793">
      <c r="B793" s="9"/>
      <c r="C793" s="9"/>
      <c r="D793" s="9"/>
      <c r="M793" s="17" t="s">
        <v>431</v>
      </c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B793" s="48"/>
      <c r="AC793" s="48"/>
      <c r="AD793" s="48"/>
      <c r="AE793" s="17"/>
    </row>
    <row r="794">
      <c r="B794" s="9"/>
      <c r="C794" s="9"/>
      <c r="D794" s="9"/>
      <c r="M794" s="17" t="s">
        <v>431</v>
      </c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B794" s="48"/>
      <c r="AC794" s="48"/>
      <c r="AD794" s="48"/>
      <c r="AE794" s="17"/>
    </row>
    <row r="795">
      <c r="B795" s="9"/>
      <c r="C795" s="9"/>
      <c r="D795" s="9"/>
      <c r="M795" s="17" t="s">
        <v>431</v>
      </c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B795" s="48"/>
      <c r="AC795" s="48"/>
      <c r="AD795" s="48"/>
      <c r="AE795" s="17"/>
    </row>
    <row r="796">
      <c r="B796" s="9"/>
      <c r="C796" s="9"/>
      <c r="D796" s="9"/>
      <c r="M796" s="17" t="s">
        <v>431</v>
      </c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B796" s="48"/>
      <c r="AC796" s="48"/>
      <c r="AD796" s="48"/>
      <c r="AE796" s="17"/>
    </row>
    <row r="797">
      <c r="B797" s="9"/>
      <c r="C797" s="9"/>
      <c r="D797" s="9"/>
      <c r="M797" s="17" t="s">
        <v>431</v>
      </c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B797" s="48"/>
      <c r="AC797" s="48"/>
      <c r="AD797" s="48"/>
      <c r="AE797" s="17"/>
    </row>
    <row r="798">
      <c r="B798" s="9"/>
      <c r="C798" s="9"/>
      <c r="D798" s="9"/>
      <c r="M798" s="17" t="s">
        <v>431</v>
      </c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B798" s="48"/>
      <c r="AC798" s="48"/>
      <c r="AD798" s="48"/>
      <c r="AE798" s="17"/>
    </row>
    <row r="799">
      <c r="B799" s="9"/>
      <c r="C799" s="9"/>
      <c r="D799" s="9"/>
      <c r="M799" s="17" t="s">
        <v>431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B799" s="48"/>
      <c r="AC799" s="48"/>
      <c r="AD799" s="48"/>
      <c r="AE799" s="17"/>
    </row>
    <row r="800">
      <c r="B800" s="9"/>
      <c r="C800" s="9"/>
      <c r="D800" s="9"/>
      <c r="M800" s="17" t="s">
        <v>431</v>
      </c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B800" s="48"/>
      <c r="AC800" s="48"/>
      <c r="AD800" s="48"/>
      <c r="AE800" s="17"/>
    </row>
    <row r="801">
      <c r="B801" s="9"/>
      <c r="C801" s="9"/>
      <c r="D801" s="9"/>
      <c r="M801" s="17" t="s">
        <v>431</v>
      </c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B801" s="48"/>
      <c r="AC801" s="48"/>
      <c r="AD801" s="48"/>
      <c r="AE801" s="17"/>
    </row>
    <row r="802">
      <c r="B802" s="9"/>
      <c r="C802" s="9"/>
      <c r="D802" s="9"/>
      <c r="M802" s="17" t="s">
        <v>431</v>
      </c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B802" s="48"/>
      <c r="AC802" s="48"/>
      <c r="AD802" s="48"/>
      <c r="AE802" s="17"/>
    </row>
    <row r="803">
      <c r="B803" s="9"/>
      <c r="C803" s="9"/>
      <c r="D803" s="9"/>
      <c r="M803" s="17" t="s">
        <v>431</v>
      </c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B803" s="48"/>
      <c r="AC803" s="48"/>
      <c r="AD803" s="48"/>
      <c r="AE803" s="17"/>
    </row>
    <row r="804">
      <c r="B804" s="9"/>
      <c r="C804" s="9"/>
      <c r="D804" s="9"/>
      <c r="M804" s="17" t="s">
        <v>431</v>
      </c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B804" s="48"/>
      <c r="AC804" s="48"/>
      <c r="AD804" s="48"/>
      <c r="AE804" s="17"/>
    </row>
    <row r="805">
      <c r="B805" s="9"/>
      <c r="C805" s="9"/>
      <c r="D805" s="9"/>
      <c r="M805" s="17" t="s">
        <v>431</v>
      </c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B805" s="48"/>
      <c r="AC805" s="48"/>
      <c r="AD805" s="48"/>
      <c r="AE805" s="17"/>
    </row>
    <row r="806">
      <c r="B806" s="9"/>
      <c r="C806" s="9"/>
      <c r="D806" s="9"/>
      <c r="M806" s="17" t="s">
        <v>431</v>
      </c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B806" s="48"/>
      <c r="AC806" s="48"/>
      <c r="AD806" s="48"/>
      <c r="AE806" s="17"/>
    </row>
    <row r="807">
      <c r="B807" s="9"/>
      <c r="C807" s="9"/>
      <c r="D807" s="9"/>
      <c r="M807" s="17" t="s">
        <v>431</v>
      </c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B807" s="48"/>
      <c r="AC807" s="48"/>
      <c r="AD807" s="48"/>
      <c r="AE807" s="17"/>
    </row>
    <row r="808">
      <c r="B808" s="9"/>
      <c r="C808" s="9"/>
      <c r="D808" s="9"/>
      <c r="M808" s="17" t="s">
        <v>431</v>
      </c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B808" s="48"/>
      <c r="AC808" s="48"/>
      <c r="AD808" s="48"/>
      <c r="AE808" s="17"/>
    </row>
    <row r="809">
      <c r="B809" s="9"/>
      <c r="C809" s="9"/>
      <c r="D809" s="9"/>
      <c r="M809" s="17" t="s">
        <v>431</v>
      </c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B809" s="48"/>
      <c r="AC809" s="48"/>
      <c r="AD809" s="48"/>
      <c r="AE809" s="17"/>
    </row>
    <row r="810">
      <c r="B810" s="9"/>
      <c r="C810" s="9"/>
      <c r="D810" s="9"/>
      <c r="M810" s="17" t="s">
        <v>431</v>
      </c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B810" s="48"/>
      <c r="AC810" s="48"/>
      <c r="AD810" s="48"/>
      <c r="AE810" s="17"/>
    </row>
    <row r="811">
      <c r="B811" s="9"/>
      <c r="C811" s="9"/>
      <c r="D811" s="9"/>
      <c r="M811" s="17" t="s">
        <v>431</v>
      </c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B811" s="48"/>
      <c r="AC811" s="48"/>
      <c r="AD811" s="48"/>
      <c r="AE811" s="17"/>
    </row>
    <row r="812">
      <c r="B812" s="9"/>
      <c r="C812" s="9"/>
      <c r="D812" s="9"/>
      <c r="M812" s="17" t="s">
        <v>431</v>
      </c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B812" s="48"/>
      <c r="AC812" s="48"/>
      <c r="AD812" s="48"/>
      <c r="AE812" s="17"/>
    </row>
    <row r="813">
      <c r="B813" s="9"/>
      <c r="C813" s="9"/>
      <c r="D813" s="9"/>
      <c r="M813" s="17" t="s">
        <v>431</v>
      </c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B813" s="48"/>
      <c r="AC813" s="48"/>
      <c r="AD813" s="48"/>
      <c r="AE813" s="17"/>
    </row>
    <row r="814">
      <c r="B814" s="9"/>
      <c r="C814" s="9"/>
      <c r="D814" s="9"/>
      <c r="M814" s="17" t="s">
        <v>431</v>
      </c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B814" s="48"/>
      <c r="AC814" s="48"/>
      <c r="AD814" s="48"/>
      <c r="AE814" s="17"/>
    </row>
    <row r="815">
      <c r="B815" s="9"/>
      <c r="C815" s="9"/>
      <c r="D815" s="9"/>
      <c r="M815" s="17" t="s">
        <v>431</v>
      </c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B815" s="48"/>
      <c r="AC815" s="48"/>
      <c r="AD815" s="48"/>
      <c r="AE815" s="17"/>
    </row>
    <row r="816">
      <c r="B816" s="9"/>
      <c r="C816" s="9"/>
      <c r="D816" s="9"/>
      <c r="M816" s="17" t="s">
        <v>431</v>
      </c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B816" s="48"/>
      <c r="AC816" s="48"/>
      <c r="AD816" s="48"/>
      <c r="AE816" s="17"/>
    </row>
    <row r="817">
      <c r="B817" s="9"/>
      <c r="C817" s="9"/>
      <c r="D817" s="9"/>
      <c r="M817" s="17" t="s">
        <v>431</v>
      </c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B817" s="48"/>
      <c r="AC817" s="48"/>
      <c r="AD817" s="48"/>
      <c r="AE817" s="17"/>
    </row>
    <row r="818">
      <c r="B818" s="9"/>
      <c r="C818" s="9"/>
      <c r="D818" s="9"/>
      <c r="M818" s="17" t="s">
        <v>431</v>
      </c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B818" s="48"/>
      <c r="AC818" s="48"/>
      <c r="AD818" s="48"/>
      <c r="AE818" s="17"/>
    </row>
    <row r="819">
      <c r="B819" s="9"/>
      <c r="C819" s="9"/>
      <c r="D819" s="9"/>
      <c r="M819" s="17" t="s">
        <v>431</v>
      </c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B819" s="48"/>
      <c r="AC819" s="48"/>
      <c r="AD819" s="48"/>
      <c r="AE819" s="17"/>
    </row>
    <row r="820">
      <c r="B820" s="9"/>
      <c r="C820" s="9"/>
      <c r="D820" s="9"/>
      <c r="M820" s="17" t="s">
        <v>431</v>
      </c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B820" s="48"/>
      <c r="AC820" s="48"/>
      <c r="AD820" s="48"/>
      <c r="AE820" s="17"/>
    </row>
    <row r="821">
      <c r="B821" s="9"/>
      <c r="C821" s="9"/>
      <c r="D821" s="9"/>
      <c r="M821" s="17" t="s">
        <v>431</v>
      </c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B821" s="48"/>
      <c r="AC821" s="48"/>
      <c r="AD821" s="48"/>
      <c r="AE821" s="17"/>
    </row>
    <row r="822">
      <c r="B822" s="9"/>
      <c r="C822" s="9"/>
      <c r="D822" s="9"/>
      <c r="M822" s="17" t="s">
        <v>431</v>
      </c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B822" s="48"/>
      <c r="AC822" s="48"/>
      <c r="AD822" s="48"/>
      <c r="AE822" s="17"/>
    </row>
    <row r="823">
      <c r="B823" s="9"/>
      <c r="C823" s="9"/>
      <c r="D823" s="9"/>
      <c r="M823" s="17" t="s">
        <v>431</v>
      </c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B823" s="48"/>
      <c r="AC823" s="48"/>
      <c r="AD823" s="48"/>
      <c r="AE823" s="17"/>
    </row>
    <row r="824">
      <c r="B824" s="9"/>
      <c r="C824" s="9"/>
      <c r="D824" s="9"/>
      <c r="M824" s="17" t="s">
        <v>431</v>
      </c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B824" s="48"/>
      <c r="AC824" s="48"/>
      <c r="AD824" s="48"/>
      <c r="AE824" s="17"/>
    </row>
    <row r="825">
      <c r="B825" s="9"/>
      <c r="C825" s="9"/>
      <c r="D825" s="9"/>
      <c r="M825" s="17" t="s">
        <v>431</v>
      </c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B825" s="48"/>
      <c r="AC825" s="48"/>
      <c r="AD825" s="48"/>
      <c r="AE825" s="17"/>
    </row>
    <row r="826">
      <c r="B826" s="9"/>
      <c r="C826" s="9"/>
      <c r="D826" s="9"/>
      <c r="M826" s="17" t="s">
        <v>431</v>
      </c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B826" s="48"/>
      <c r="AC826" s="48"/>
      <c r="AD826" s="48"/>
      <c r="AE826" s="17"/>
    </row>
    <row r="827">
      <c r="B827" s="9"/>
      <c r="C827" s="9"/>
      <c r="D827" s="9"/>
      <c r="M827" s="17" t="s">
        <v>431</v>
      </c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B827" s="48"/>
      <c r="AC827" s="48"/>
      <c r="AD827" s="48"/>
      <c r="AE827" s="17"/>
    </row>
    <row r="828">
      <c r="B828" s="9"/>
      <c r="C828" s="9"/>
      <c r="D828" s="9"/>
      <c r="M828" s="17" t="s">
        <v>431</v>
      </c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B828" s="48"/>
      <c r="AC828" s="48"/>
      <c r="AD828" s="48"/>
      <c r="AE828" s="17"/>
    </row>
    <row r="829">
      <c r="B829" s="9"/>
      <c r="C829" s="9"/>
      <c r="D829" s="9"/>
      <c r="M829" s="17" t="s">
        <v>431</v>
      </c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B829" s="48"/>
      <c r="AC829" s="48"/>
      <c r="AD829" s="48"/>
      <c r="AE829" s="17"/>
    </row>
    <row r="830">
      <c r="B830" s="9"/>
      <c r="C830" s="9"/>
      <c r="D830" s="9"/>
      <c r="M830" s="17" t="s">
        <v>431</v>
      </c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B830" s="48"/>
      <c r="AC830" s="48"/>
      <c r="AD830" s="48"/>
      <c r="AE830" s="17"/>
    </row>
    <row r="831">
      <c r="B831" s="9"/>
      <c r="C831" s="9"/>
      <c r="D831" s="9"/>
      <c r="M831" s="17" t="s">
        <v>431</v>
      </c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B831" s="48"/>
      <c r="AC831" s="48"/>
      <c r="AD831" s="48"/>
      <c r="AE831" s="17"/>
    </row>
    <row r="832">
      <c r="B832" s="9"/>
      <c r="C832" s="9"/>
      <c r="D832" s="9"/>
      <c r="M832" s="17" t="s">
        <v>431</v>
      </c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B832" s="48"/>
      <c r="AC832" s="48"/>
      <c r="AD832" s="48"/>
      <c r="AE832" s="17"/>
    </row>
    <row r="833">
      <c r="B833" s="9"/>
      <c r="C833" s="9"/>
      <c r="D833" s="9"/>
      <c r="M833" s="17" t="s">
        <v>431</v>
      </c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B833" s="48"/>
      <c r="AC833" s="48"/>
      <c r="AD833" s="48"/>
      <c r="AE833" s="17"/>
    </row>
    <row r="834">
      <c r="B834" s="9"/>
      <c r="C834" s="9"/>
      <c r="D834" s="9"/>
      <c r="M834" s="17" t="s">
        <v>431</v>
      </c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B834" s="48"/>
      <c r="AC834" s="48"/>
      <c r="AD834" s="48"/>
      <c r="AE834" s="17"/>
    </row>
    <row r="835">
      <c r="B835" s="9"/>
      <c r="C835" s="9"/>
      <c r="D835" s="9"/>
      <c r="M835" s="17" t="s">
        <v>431</v>
      </c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B835" s="48"/>
      <c r="AC835" s="48"/>
      <c r="AD835" s="48"/>
      <c r="AE835" s="17"/>
    </row>
    <row r="836">
      <c r="B836" s="9"/>
      <c r="C836" s="9"/>
      <c r="D836" s="9"/>
      <c r="M836" s="17" t="s">
        <v>431</v>
      </c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B836" s="48"/>
      <c r="AC836" s="48"/>
      <c r="AD836" s="48"/>
      <c r="AE836" s="17"/>
    </row>
    <row r="837">
      <c r="B837" s="9"/>
      <c r="C837" s="9"/>
      <c r="D837" s="9"/>
      <c r="M837" s="17" t="s">
        <v>431</v>
      </c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B837" s="48"/>
      <c r="AC837" s="48"/>
      <c r="AD837" s="48"/>
      <c r="AE837" s="17"/>
    </row>
    <row r="838">
      <c r="B838" s="9"/>
      <c r="C838" s="9"/>
      <c r="D838" s="9"/>
      <c r="M838" s="17" t="s">
        <v>431</v>
      </c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B838" s="48"/>
      <c r="AC838" s="48"/>
      <c r="AD838" s="48"/>
      <c r="AE838" s="17"/>
    </row>
    <row r="839">
      <c r="B839" s="9"/>
      <c r="C839" s="9"/>
      <c r="D839" s="9"/>
      <c r="M839" s="17" t="s">
        <v>431</v>
      </c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B839" s="48"/>
      <c r="AC839" s="48"/>
      <c r="AD839" s="48"/>
      <c r="AE839" s="17"/>
    </row>
    <row r="840">
      <c r="B840" s="9"/>
      <c r="C840" s="9"/>
      <c r="D840" s="9"/>
      <c r="M840" s="17" t="s">
        <v>431</v>
      </c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B840" s="48"/>
      <c r="AC840" s="48"/>
      <c r="AD840" s="48"/>
      <c r="AE840" s="17"/>
    </row>
    <row r="841">
      <c r="B841" s="9"/>
      <c r="C841" s="9"/>
      <c r="D841" s="9"/>
      <c r="M841" s="17" t="s">
        <v>431</v>
      </c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B841" s="48"/>
      <c r="AC841" s="48"/>
      <c r="AD841" s="48"/>
      <c r="AE841" s="17"/>
    </row>
    <row r="842">
      <c r="B842" s="9"/>
      <c r="C842" s="9"/>
      <c r="D842" s="9"/>
      <c r="M842" s="17" t="s">
        <v>431</v>
      </c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B842" s="48"/>
      <c r="AC842" s="48"/>
      <c r="AD842" s="48"/>
      <c r="AE842" s="17"/>
    </row>
    <row r="843">
      <c r="B843" s="9"/>
      <c r="C843" s="9"/>
      <c r="D843" s="9"/>
      <c r="M843" s="17" t="s">
        <v>431</v>
      </c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B843" s="48"/>
      <c r="AC843" s="48"/>
      <c r="AD843" s="48"/>
      <c r="AE843" s="17"/>
    </row>
    <row r="844">
      <c r="B844" s="9"/>
      <c r="C844" s="9"/>
      <c r="D844" s="9"/>
      <c r="M844" s="17" t="s">
        <v>431</v>
      </c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B844" s="48"/>
      <c r="AC844" s="48"/>
      <c r="AD844" s="48"/>
      <c r="AE844" s="17"/>
    </row>
    <row r="845">
      <c r="B845" s="9"/>
      <c r="C845" s="9"/>
      <c r="D845" s="9"/>
      <c r="M845" s="17" t="s">
        <v>431</v>
      </c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B845" s="48"/>
      <c r="AC845" s="48"/>
      <c r="AD845" s="48"/>
      <c r="AE845" s="17"/>
    </row>
    <row r="846">
      <c r="B846" s="9"/>
      <c r="C846" s="9"/>
      <c r="D846" s="9"/>
      <c r="M846" s="17" t="s">
        <v>431</v>
      </c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B846" s="48"/>
      <c r="AC846" s="48"/>
      <c r="AD846" s="48"/>
      <c r="AE846" s="17"/>
    </row>
    <row r="847">
      <c r="B847" s="9"/>
      <c r="C847" s="9"/>
      <c r="D847" s="9"/>
      <c r="M847" s="17" t="s">
        <v>431</v>
      </c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B847" s="48"/>
      <c r="AC847" s="48"/>
      <c r="AD847" s="48"/>
      <c r="AE847" s="17"/>
    </row>
    <row r="848">
      <c r="B848" s="9"/>
      <c r="C848" s="9"/>
      <c r="D848" s="9"/>
      <c r="M848" s="17" t="s">
        <v>431</v>
      </c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B848" s="48"/>
      <c r="AC848" s="48"/>
      <c r="AD848" s="48"/>
      <c r="AE848" s="17"/>
    </row>
    <row r="849">
      <c r="B849" s="9"/>
      <c r="C849" s="9"/>
      <c r="D849" s="9"/>
      <c r="M849" s="17" t="s">
        <v>431</v>
      </c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B849" s="48"/>
      <c r="AC849" s="48"/>
      <c r="AD849" s="48"/>
      <c r="AE849" s="17"/>
    </row>
    <row r="850">
      <c r="B850" s="9"/>
      <c r="C850" s="9"/>
      <c r="D850" s="9"/>
      <c r="M850" s="17" t="s">
        <v>431</v>
      </c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B850" s="48"/>
      <c r="AC850" s="48"/>
      <c r="AD850" s="48"/>
      <c r="AE850" s="17"/>
    </row>
    <row r="851">
      <c r="B851" s="9"/>
      <c r="C851" s="9"/>
      <c r="D851" s="9"/>
      <c r="M851" s="17" t="s">
        <v>431</v>
      </c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B851" s="48"/>
      <c r="AC851" s="48"/>
      <c r="AD851" s="48"/>
      <c r="AE851" s="17"/>
    </row>
    <row r="852">
      <c r="B852" s="9"/>
      <c r="C852" s="9"/>
      <c r="D852" s="9"/>
      <c r="M852" s="17" t="s">
        <v>431</v>
      </c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B852" s="48"/>
      <c r="AC852" s="48"/>
      <c r="AD852" s="48"/>
      <c r="AE852" s="17"/>
    </row>
    <row r="853">
      <c r="B853" s="9"/>
      <c r="C853" s="9"/>
      <c r="D853" s="9"/>
      <c r="M853" s="17" t="s">
        <v>431</v>
      </c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B853" s="48"/>
      <c r="AC853" s="48"/>
      <c r="AD853" s="48"/>
      <c r="AE853" s="17"/>
    </row>
    <row r="854">
      <c r="B854" s="9"/>
      <c r="C854" s="9"/>
      <c r="D854" s="9"/>
      <c r="M854" s="17" t="s">
        <v>431</v>
      </c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B854" s="48"/>
      <c r="AC854" s="48"/>
      <c r="AD854" s="48"/>
      <c r="AE854" s="17"/>
    </row>
    <row r="855">
      <c r="B855" s="9"/>
      <c r="C855" s="9"/>
      <c r="D855" s="9"/>
      <c r="M855" s="17" t="s">
        <v>431</v>
      </c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B855" s="48"/>
      <c r="AC855" s="48"/>
      <c r="AD855" s="48"/>
      <c r="AE855" s="17"/>
    </row>
    <row r="856">
      <c r="B856" s="9"/>
      <c r="C856" s="9"/>
      <c r="D856" s="9"/>
      <c r="M856" s="17" t="s">
        <v>431</v>
      </c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B856" s="48"/>
      <c r="AC856" s="48"/>
      <c r="AD856" s="48"/>
      <c r="AE856" s="17"/>
    </row>
    <row r="857">
      <c r="B857" s="9"/>
      <c r="C857" s="9"/>
      <c r="D857" s="9"/>
      <c r="M857" s="17" t="s">
        <v>431</v>
      </c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B857" s="48"/>
      <c r="AC857" s="48"/>
      <c r="AD857" s="48"/>
      <c r="AE857" s="17"/>
    </row>
    <row r="858">
      <c r="B858" s="9"/>
      <c r="C858" s="9"/>
      <c r="D858" s="9"/>
      <c r="M858" s="17" t="s">
        <v>431</v>
      </c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B858" s="48"/>
      <c r="AC858" s="48"/>
      <c r="AD858" s="48"/>
      <c r="AE858" s="17"/>
    </row>
    <row r="859">
      <c r="B859" s="9"/>
      <c r="C859" s="9"/>
      <c r="D859" s="9"/>
      <c r="M859" s="17" t="s">
        <v>431</v>
      </c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B859" s="48"/>
      <c r="AC859" s="48"/>
      <c r="AD859" s="48"/>
      <c r="AE859" s="17"/>
    </row>
    <row r="860">
      <c r="B860" s="9"/>
      <c r="C860" s="9"/>
      <c r="D860" s="9"/>
      <c r="M860" s="17" t="s">
        <v>431</v>
      </c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B860" s="48"/>
      <c r="AC860" s="48"/>
      <c r="AD860" s="48"/>
      <c r="AE860" s="17"/>
    </row>
    <row r="861">
      <c r="B861" s="9"/>
      <c r="C861" s="9"/>
      <c r="D861" s="9"/>
      <c r="M861" s="17" t="s">
        <v>431</v>
      </c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B861" s="48"/>
      <c r="AC861" s="48"/>
      <c r="AD861" s="48"/>
      <c r="AE861" s="17"/>
    </row>
    <row r="862">
      <c r="B862" s="9"/>
      <c r="C862" s="9"/>
      <c r="D862" s="9"/>
      <c r="M862" s="17" t="s">
        <v>431</v>
      </c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B862" s="48"/>
      <c r="AC862" s="48"/>
      <c r="AD862" s="48"/>
      <c r="AE862" s="17"/>
    </row>
    <row r="863">
      <c r="B863" s="9"/>
      <c r="C863" s="9"/>
      <c r="D863" s="9"/>
      <c r="M863" s="17" t="s">
        <v>431</v>
      </c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B863" s="48"/>
      <c r="AC863" s="48"/>
      <c r="AD863" s="48"/>
      <c r="AE863" s="17"/>
    </row>
    <row r="864">
      <c r="B864" s="9"/>
      <c r="C864" s="9"/>
      <c r="D864" s="9"/>
      <c r="M864" s="17" t="s">
        <v>431</v>
      </c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B864" s="48"/>
      <c r="AC864" s="48"/>
      <c r="AD864" s="48"/>
      <c r="AE864" s="17"/>
    </row>
    <row r="865">
      <c r="B865" s="9"/>
      <c r="C865" s="9"/>
      <c r="D865" s="9"/>
      <c r="M865" s="17" t="s">
        <v>431</v>
      </c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B865" s="48"/>
      <c r="AC865" s="48"/>
      <c r="AD865" s="48"/>
      <c r="AE865" s="17"/>
    </row>
    <row r="866">
      <c r="B866" s="9"/>
      <c r="C866" s="9"/>
      <c r="D866" s="9"/>
      <c r="M866" s="17" t="s">
        <v>431</v>
      </c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B866" s="48"/>
      <c r="AC866" s="48"/>
      <c r="AD866" s="48"/>
      <c r="AE866" s="17"/>
    </row>
    <row r="867">
      <c r="B867" s="9"/>
      <c r="C867" s="9"/>
      <c r="D867" s="9"/>
      <c r="M867" s="17" t="s">
        <v>431</v>
      </c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B867" s="48"/>
      <c r="AC867" s="48"/>
      <c r="AD867" s="48"/>
      <c r="AE867" s="17"/>
    </row>
    <row r="868">
      <c r="B868" s="9"/>
      <c r="C868" s="9"/>
      <c r="D868" s="9"/>
      <c r="M868" s="17" t="s">
        <v>431</v>
      </c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B868" s="48"/>
      <c r="AC868" s="48"/>
      <c r="AD868" s="48"/>
      <c r="AE868" s="17"/>
    </row>
    <row r="869">
      <c r="B869" s="9"/>
      <c r="C869" s="9"/>
      <c r="D869" s="9"/>
      <c r="M869" s="17" t="s">
        <v>431</v>
      </c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B869" s="48"/>
      <c r="AC869" s="48"/>
      <c r="AD869" s="48"/>
      <c r="AE869" s="17"/>
    </row>
    <row r="870">
      <c r="B870" s="9"/>
      <c r="C870" s="9"/>
      <c r="D870" s="9"/>
      <c r="M870" s="17" t="s">
        <v>431</v>
      </c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B870" s="48"/>
      <c r="AC870" s="48"/>
      <c r="AD870" s="48"/>
      <c r="AE870" s="17"/>
    </row>
    <row r="871">
      <c r="B871" s="9"/>
      <c r="C871" s="9"/>
      <c r="D871" s="9"/>
      <c r="M871" s="17" t="s">
        <v>431</v>
      </c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B871" s="48"/>
      <c r="AC871" s="48"/>
      <c r="AD871" s="48"/>
      <c r="AE871" s="17"/>
    </row>
    <row r="872">
      <c r="B872" s="9"/>
      <c r="C872" s="9"/>
      <c r="D872" s="9"/>
      <c r="M872" s="17" t="s">
        <v>431</v>
      </c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B872" s="48"/>
      <c r="AC872" s="48"/>
      <c r="AD872" s="48"/>
      <c r="AE872" s="17"/>
    </row>
    <row r="873">
      <c r="B873" s="9"/>
      <c r="C873" s="9"/>
      <c r="D873" s="9"/>
      <c r="M873" s="17" t="s">
        <v>431</v>
      </c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B873" s="48"/>
      <c r="AC873" s="48"/>
      <c r="AD873" s="48"/>
      <c r="AE873" s="17"/>
    </row>
    <row r="874">
      <c r="B874" s="9"/>
      <c r="C874" s="9"/>
      <c r="D874" s="9"/>
      <c r="M874" s="17" t="s">
        <v>431</v>
      </c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B874" s="48"/>
      <c r="AC874" s="48"/>
      <c r="AD874" s="48"/>
      <c r="AE874" s="17"/>
    </row>
    <row r="875">
      <c r="B875" s="9"/>
      <c r="C875" s="9"/>
      <c r="D875" s="9"/>
      <c r="M875" s="17" t="s">
        <v>431</v>
      </c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B875" s="48"/>
      <c r="AC875" s="48"/>
      <c r="AD875" s="48"/>
      <c r="AE875" s="17"/>
    </row>
    <row r="876">
      <c r="B876" s="9"/>
      <c r="C876" s="9"/>
      <c r="D876" s="9"/>
      <c r="M876" s="17" t="s">
        <v>431</v>
      </c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B876" s="48"/>
      <c r="AC876" s="48"/>
      <c r="AD876" s="48"/>
      <c r="AE876" s="17"/>
    </row>
    <row r="877">
      <c r="B877" s="9"/>
      <c r="C877" s="9"/>
      <c r="D877" s="9"/>
      <c r="M877" s="17" t="s">
        <v>431</v>
      </c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B877" s="48"/>
      <c r="AC877" s="48"/>
      <c r="AD877" s="48"/>
      <c r="AE877" s="17"/>
    </row>
    <row r="878">
      <c r="B878" s="9"/>
      <c r="C878" s="9"/>
      <c r="D878" s="9"/>
      <c r="M878" s="17" t="s">
        <v>431</v>
      </c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B878" s="48"/>
      <c r="AC878" s="48"/>
      <c r="AD878" s="48"/>
      <c r="AE878" s="17"/>
    </row>
    <row r="879">
      <c r="B879" s="9"/>
      <c r="C879" s="9"/>
      <c r="D879" s="9"/>
      <c r="M879" s="17" t="s">
        <v>431</v>
      </c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B879" s="48"/>
      <c r="AC879" s="48"/>
      <c r="AD879" s="48"/>
      <c r="AE879" s="17"/>
    </row>
    <row r="880">
      <c r="B880" s="9"/>
      <c r="C880" s="9"/>
      <c r="D880" s="9"/>
      <c r="M880" s="17" t="s">
        <v>431</v>
      </c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B880" s="48"/>
      <c r="AC880" s="48"/>
      <c r="AD880" s="48"/>
      <c r="AE880" s="17"/>
    </row>
    <row r="881">
      <c r="B881" s="9"/>
      <c r="C881" s="9"/>
      <c r="D881" s="9"/>
      <c r="M881" s="17" t="s">
        <v>431</v>
      </c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B881" s="48"/>
      <c r="AC881" s="48"/>
      <c r="AD881" s="48"/>
      <c r="AE881" s="17"/>
    </row>
    <row r="882">
      <c r="B882" s="9"/>
      <c r="C882" s="9"/>
      <c r="D882" s="9"/>
      <c r="M882" s="17" t="s">
        <v>431</v>
      </c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B882" s="48"/>
      <c r="AC882" s="48"/>
      <c r="AD882" s="48"/>
      <c r="AE882" s="17"/>
    </row>
    <row r="883">
      <c r="B883" s="9"/>
      <c r="C883" s="9"/>
      <c r="D883" s="9"/>
      <c r="M883" s="17" t="s">
        <v>431</v>
      </c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B883" s="48"/>
      <c r="AC883" s="48"/>
      <c r="AD883" s="48"/>
      <c r="AE883" s="17"/>
    </row>
    <row r="884">
      <c r="B884" s="9"/>
      <c r="C884" s="9"/>
      <c r="D884" s="9"/>
      <c r="M884" s="17" t="s">
        <v>431</v>
      </c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B884" s="48"/>
      <c r="AC884" s="48"/>
      <c r="AD884" s="48"/>
      <c r="AE884" s="17"/>
    </row>
    <row r="885">
      <c r="B885" s="9"/>
      <c r="C885" s="9"/>
      <c r="D885" s="9"/>
      <c r="M885" s="17" t="s">
        <v>431</v>
      </c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B885" s="48"/>
      <c r="AC885" s="48"/>
      <c r="AD885" s="48"/>
      <c r="AE885" s="17"/>
    </row>
    <row r="886">
      <c r="B886" s="9"/>
      <c r="C886" s="9"/>
      <c r="D886" s="9"/>
      <c r="M886" s="17" t="s">
        <v>431</v>
      </c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B886" s="48"/>
      <c r="AC886" s="48"/>
      <c r="AD886" s="48"/>
      <c r="AE886" s="17"/>
    </row>
    <row r="887">
      <c r="B887" s="9"/>
      <c r="C887" s="9"/>
      <c r="D887" s="9"/>
      <c r="M887" s="17" t="s">
        <v>431</v>
      </c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B887" s="48"/>
      <c r="AC887" s="48"/>
      <c r="AD887" s="48"/>
      <c r="AE887" s="17"/>
    </row>
    <row r="888">
      <c r="B888" s="9"/>
      <c r="C888" s="9"/>
      <c r="D888" s="9"/>
      <c r="M888" s="17" t="s">
        <v>431</v>
      </c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B888" s="48"/>
      <c r="AC888" s="48"/>
      <c r="AD888" s="48"/>
      <c r="AE888" s="17"/>
    </row>
    <row r="889">
      <c r="B889" s="9"/>
      <c r="C889" s="9"/>
      <c r="D889" s="9"/>
      <c r="M889" s="17" t="s">
        <v>431</v>
      </c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B889" s="48"/>
      <c r="AC889" s="48"/>
      <c r="AD889" s="48"/>
      <c r="AE889" s="17"/>
    </row>
    <row r="890">
      <c r="B890" s="9"/>
      <c r="C890" s="9"/>
      <c r="D890" s="9"/>
      <c r="M890" s="17" t="s">
        <v>431</v>
      </c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B890" s="48"/>
      <c r="AC890" s="48"/>
      <c r="AD890" s="48"/>
      <c r="AE890" s="17"/>
    </row>
    <row r="891">
      <c r="B891" s="9"/>
      <c r="C891" s="9"/>
      <c r="D891" s="9"/>
      <c r="M891" s="17" t="s">
        <v>431</v>
      </c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B891" s="48"/>
      <c r="AC891" s="48"/>
      <c r="AD891" s="48"/>
      <c r="AE891" s="17"/>
    </row>
    <row r="892">
      <c r="B892" s="9"/>
      <c r="C892" s="9"/>
      <c r="D892" s="9"/>
      <c r="M892" s="17" t="s">
        <v>431</v>
      </c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B892" s="48"/>
      <c r="AC892" s="48"/>
      <c r="AD892" s="48"/>
      <c r="AE892" s="17"/>
    </row>
    <row r="893">
      <c r="B893" s="9"/>
      <c r="C893" s="9"/>
      <c r="D893" s="9"/>
      <c r="M893" s="17" t="s">
        <v>431</v>
      </c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B893" s="48"/>
      <c r="AC893" s="48"/>
      <c r="AD893" s="48"/>
      <c r="AE893" s="17"/>
    </row>
    <row r="894">
      <c r="B894" s="9"/>
      <c r="C894" s="9"/>
      <c r="D894" s="9"/>
      <c r="M894" s="17" t="s">
        <v>431</v>
      </c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B894" s="48"/>
      <c r="AC894" s="48"/>
      <c r="AD894" s="48"/>
      <c r="AE894" s="17"/>
    </row>
    <row r="895">
      <c r="B895" s="9"/>
      <c r="C895" s="9"/>
      <c r="D895" s="9"/>
      <c r="M895" s="17" t="s">
        <v>431</v>
      </c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B895" s="48"/>
      <c r="AC895" s="48"/>
      <c r="AD895" s="48"/>
      <c r="AE895" s="17"/>
    </row>
    <row r="896">
      <c r="B896" s="9"/>
      <c r="C896" s="9"/>
      <c r="D896" s="9"/>
      <c r="M896" s="17" t="s">
        <v>431</v>
      </c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B896" s="48"/>
      <c r="AC896" s="48"/>
      <c r="AD896" s="48"/>
      <c r="AE896" s="17"/>
    </row>
    <row r="897">
      <c r="B897" s="9"/>
      <c r="C897" s="9"/>
      <c r="D897" s="9"/>
      <c r="M897" s="17" t="s">
        <v>431</v>
      </c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B897" s="48"/>
      <c r="AC897" s="48"/>
      <c r="AD897" s="48"/>
      <c r="AE897" s="17"/>
    </row>
    <row r="898">
      <c r="B898" s="9"/>
      <c r="C898" s="9"/>
      <c r="D898" s="9"/>
      <c r="M898" s="17" t="s">
        <v>431</v>
      </c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B898" s="48"/>
      <c r="AC898" s="48"/>
      <c r="AD898" s="48"/>
      <c r="AE898" s="17"/>
    </row>
    <row r="899">
      <c r="B899" s="9"/>
      <c r="C899" s="9"/>
      <c r="D899" s="9"/>
      <c r="M899" s="17" t="s">
        <v>431</v>
      </c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B899" s="48"/>
      <c r="AC899" s="48"/>
      <c r="AD899" s="48"/>
      <c r="AE899" s="17"/>
    </row>
    <row r="900">
      <c r="B900" s="9"/>
      <c r="C900" s="9"/>
      <c r="D900" s="9"/>
      <c r="M900" s="17" t="s">
        <v>431</v>
      </c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B900" s="48"/>
      <c r="AC900" s="48"/>
      <c r="AD900" s="48"/>
      <c r="AE900" s="17"/>
    </row>
    <row r="901">
      <c r="B901" s="9"/>
      <c r="C901" s="9"/>
      <c r="D901" s="9"/>
      <c r="M901" s="17" t="s">
        <v>431</v>
      </c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B901" s="48"/>
      <c r="AC901" s="48"/>
      <c r="AD901" s="48"/>
      <c r="AE901" s="17"/>
    </row>
    <row r="902">
      <c r="B902" s="9"/>
      <c r="C902" s="9"/>
      <c r="D902" s="9"/>
      <c r="M902" s="17" t="s">
        <v>431</v>
      </c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B902" s="48"/>
      <c r="AC902" s="48"/>
      <c r="AD902" s="48"/>
      <c r="AE902" s="17"/>
    </row>
    <row r="903">
      <c r="B903" s="9"/>
      <c r="C903" s="9"/>
      <c r="D903" s="9"/>
      <c r="M903" s="17" t="s">
        <v>431</v>
      </c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B903" s="48"/>
      <c r="AC903" s="48"/>
      <c r="AD903" s="48"/>
      <c r="AE903" s="17"/>
    </row>
    <row r="904">
      <c r="B904" s="9"/>
      <c r="C904" s="9"/>
      <c r="D904" s="9"/>
      <c r="M904" s="17" t="s">
        <v>431</v>
      </c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B904" s="48"/>
      <c r="AC904" s="48"/>
      <c r="AD904" s="48"/>
      <c r="AE904" s="17"/>
    </row>
    <row r="905">
      <c r="B905" s="9"/>
      <c r="C905" s="9"/>
      <c r="D905" s="9"/>
      <c r="M905" s="17" t="s">
        <v>431</v>
      </c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B905" s="48"/>
      <c r="AC905" s="48"/>
      <c r="AD905" s="48"/>
      <c r="AE905" s="17"/>
    </row>
    <row r="906">
      <c r="B906" s="9"/>
      <c r="C906" s="9"/>
      <c r="D906" s="9"/>
      <c r="M906" s="17" t="s">
        <v>431</v>
      </c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B906" s="48"/>
      <c r="AC906" s="48"/>
      <c r="AD906" s="48"/>
      <c r="AE906" s="17"/>
    </row>
    <row r="907">
      <c r="B907" s="9"/>
      <c r="C907" s="9"/>
      <c r="D907" s="9"/>
      <c r="M907" s="17" t="s">
        <v>431</v>
      </c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B907" s="48"/>
      <c r="AC907" s="48"/>
      <c r="AD907" s="48"/>
      <c r="AE907" s="17"/>
    </row>
    <row r="908">
      <c r="B908" s="9"/>
      <c r="C908" s="9"/>
      <c r="D908" s="9"/>
      <c r="M908" s="17" t="s">
        <v>431</v>
      </c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B908" s="48"/>
      <c r="AC908" s="48"/>
      <c r="AD908" s="48"/>
      <c r="AE908" s="17"/>
    </row>
    <row r="909">
      <c r="B909" s="9"/>
      <c r="C909" s="9"/>
      <c r="D909" s="9"/>
      <c r="M909" s="17" t="s">
        <v>431</v>
      </c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B909" s="48"/>
      <c r="AC909" s="48"/>
      <c r="AD909" s="48"/>
      <c r="AE909" s="17"/>
    </row>
    <row r="910">
      <c r="B910" s="9"/>
      <c r="C910" s="9"/>
      <c r="D910" s="9"/>
      <c r="M910" s="17" t="s">
        <v>431</v>
      </c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B910" s="48"/>
      <c r="AC910" s="48"/>
      <c r="AD910" s="48"/>
      <c r="AE910" s="17"/>
    </row>
    <row r="911">
      <c r="B911" s="9"/>
      <c r="C911" s="9"/>
      <c r="D911" s="9"/>
      <c r="M911" s="17" t="s">
        <v>431</v>
      </c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B911" s="48"/>
      <c r="AC911" s="48"/>
      <c r="AD911" s="48"/>
      <c r="AE911" s="17"/>
    </row>
    <row r="912">
      <c r="B912" s="9"/>
      <c r="C912" s="9"/>
      <c r="D912" s="9"/>
      <c r="M912" s="17" t="s">
        <v>431</v>
      </c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B912" s="48"/>
      <c r="AC912" s="48"/>
      <c r="AD912" s="48"/>
      <c r="AE912" s="17"/>
    </row>
    <row r="913">
      <c r="B913" s="9"/>
      <c r="C913" s="9"/>
      <c r="D913" s="9"/>
      <c r="M913" s="17" t="s">
        <v>431</v>
      </c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B913" s="48"/>
      <c r="AC913" s="48"/>
      <c r="AD913" s="48"/>
      <c r="AE913" s="17"/>
    </row>
    <row r="914">
      <c r="B914" s="9"/>
      <c r="C914" s="9"/>
      <c r="D914" s="9"/>
      <c r="M914" s="17" t="s">
        <v>431</v>
      </c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B914" s="48"/>
      <c r="AC914" s="48"/>
      <c r="AD914" s="48"/>
      <c r="AE914" s="17"/>
    </row>
    <row r="915">
      <c r="B915" s="9"/>
      <c r="C915" s="9"/>
      <c r="D915" s="9"/>
      <c r="M915" s="17" t="s">
        <v>431</v>
      </c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B915" s="48"/>
      <c r="AC915" s="48"/>
      <c r="AD915" s="48"/>
      <c r="AE915" s="17"/>
    </row>
    <row r="916">
      <c r="B916" s="9"/>
      <c r="C916" s="9"/>
      <c r="D916" s="9"/>
      <c r="M916" s="17" t="s">
        <v>431</v>
      </c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B916" s="48"/>
      <c r="AC916" s="48"/>
      <c r="AD916" s="48"/>
      <c r="AE916" s="17"/>
    </row>
    <row r="917">
      <c r="B917" s="9"/>
      <c r="C917" s="9"/>
      <c r="D917" s="9"/>
      <c r="M917" s="17" t="s">
        <v>431</v>
      </c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B917" s="48"/>
      <c r="AC917" s="48"/>
      <c r="AD917" s="48"/>
      <c r="AE917" s="17"/>
    </row>
    <row r="918">
      <c r="B918" s="9"/>
      <c r="C918" s="9"/>
      <c r="D918" s="9"/>
      <c r="M918" s="17" t="s">
        <v>431</v>
      </c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B918" s="48"/>
      <c r="AC918" s="48"/>
      <c r="AD918" s="48"/>
      <c r="AE918" s="17"/>
    </row>
    <row r="919">
      <c r="B919" s="9"/>
      <c r="C919" s="9"/>
      <c r="D919" s="9"/>
      <c r="M919" s="17" t="s">
        <v>431</v>
      </c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B919" s="48"/>
      <c r="AC919" s="48"/>
      <c r="AD919" s="48"/>
      <c r="AE919" s="17"/>
    </row>
    <row r="920">
      <c r="B920" s="9"/>
      <c r="C920" s="9"/>
      <c r="D920" s="9"/>
      <c r="M920" s="17" t="s">
        <v>431</v>
      </c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B920" s="48"/>
      <c r="AC920" s="48"/>
      <c r="AD920" s="48"/>
      <c r="AE920" s="17"/>
    </row>
    <row r="921">
      <c r="B921" s="9"/>
      <c r="C921" s="9"/>
      <c r="D921" s="9"/>
      <c r="M921" s="17" t="s">
        <v>431</v>
      </c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B921" s="48"/>
      <c r="AC921" s="48"/>
      <c r="AD921" s="48"/>
      <c r="AE921" s="17"/>
    </row>
    <row r="922">
      <c r="B922" s="9"/>
      <c r="C922" s="9"/>
      <c r="D922" s="9"/>
      <c r="M922" s="17" t="s">
        <v>431</v>
      </c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B922" s="48"/>
      <c r="AC922" s="48"/>
      <c r="AD922" s="48"/>
      <c r="AE922" s="17"/>
    </row>
    <row r="923">
      <c r="B923" s="9"/>
      <c r="C923" s="9"/>
      <c r="D923" s="9"/>
      <c r="M923" s="17" t="s">
        <v>431</v>
      </c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B923" s="48"/>
      <c r="AC923" s="48"/>
      <c r="AD923" s="48"/>
      <c r="AE923" s="17"/>
    </row>
    <row r="924">
      <c r="B924" s="9"/>
      <c r="C924" s="9"/>
      <c r="D924" s="9"/>
      <c r="M924" s="17" t="s">
        <v>431</v>
      </c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B924" s="48"/>
      <c r="AC924" s="48"/>
      <c r="AD924" s="48"/>
      <c r="AE924" s="17"/>
    </row>
    <row r="925">
      <c r="B925" s="9"/>
      <c r="C925" s="9"/>
      <c r="D925" s="9"/>
      <c r="M925" s="17" t="s">
        <v>431</v>
      </c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B925" s="48"/>
      <c r="AC925" s="48"/>
      <c r="AD925" s="48"/>
      <c r="AE925" s="17"/>
    </row>
    <row r="926">
      <c r="B926" s="9"/>
      <c r="C926" s="9"/>
      <c r="D926" s="9"/>
      <c r="M926" s="17" t="s">
        <v>431</v>
      </c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B926" s="48"/>
      <c r="AC926" s="48"/>
      <c r="AD926" s="48"/>
      <c r="AE926" s="17"/>
    </row>
    <row r="927">
      <c r="B927" s="9"/>
      <c r="C927" s="9"/>
      <c r="D927" s="9"/>
      <c r="M927" s="17" t="s">
        <v>431</v>
      </c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B927" s="48"/>
      <c r="AC927" s="48"/>
      <c r="AD927" s="48"/>
      <c r="AE927" s="17"/>
    </row>
    <row r="928">
      <c r="B928" s="9"/>
      <c r="C928" s="9"/>
      <c r="D928" s="9"/>
      <c r="M928" s="17" t="s">
        <v>431</v>
      </c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B928" s="48"/>
      <c r="AC928" s="48"/>
      <c r="AD928" s="48"/>
      <c r="AE928" s="17"/>
    </row>
    <row r="929">
      <c r="B929" s="9"/>
      <c r="C929" s="9"/>
      <c r="D929" s="9"/>
      <c r="M929" s="17" t="s">
        <v>431</v>
      </c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B929" s="48"/>
      <c r="AC929" s="48"/>
      <c r="AD929" s="48"/>
      <c r="AE929" s="17"/>
    </row>
    <row r="930">
      <c r="B930" s="9"/>
      <c r="C930" s="9"/>
      <c r="D930" s="9"/>
      <c r="M930" s="17" t="s">
        <v>431</v>
      </c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B930" s="48"/>
      <c r="AC930" s="48"/>
      <c r="AD930" s="48"/>
      <c r="AE930" s="17"/>
    </row>
    <row r="931">
      <c r="B931" s="9"/>
      <c r="C931" s="9"/>
      <c r="D931" s="9"/>
      <c r="M931" s="17" t="s">
        <v>431</v>
      </c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B931" s="48"/>
      <c r="AC931" s="48"/>
      <c r="AD931" s="48"/>
      <c r="AE931" s="17"/>
    </row>
    <row r="932">
      <c r="B932" s="9"/>
      <c r="C932" s="9"/>
      <c r="D932" s="9"/>
      <c r="M932" s="17" t="s">
        <v>431</v>
      </c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B932" s="48"/>
      <c r="AC932" s="48"/>
      <c r="AD932" s="48"/>
      <c r="AE932" s="17"/>
    </row>
    <row r="933">
      <c r="B933" s="9"/>
      <c r="C933" s="9"/>
      <c r="D933" s="9"/>
      <c r="M933" s="17" t="s">
        <v>431</v>
      </c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B933" s="48"/>
      <c r="AC933" s="48"/>
      <c r="AD933" s="48"/>
      <c r="AE933" s="17"/>
    </row>
    <row r="934">
      <c r="B934" s="9"/>
      <c r="C934" s="9"/>
      <c r="D934" s="9"/>
      <c r="M934" s="17" t="s">
        <v>431</v>
      </c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B934" s="48"/>
      <c r="AC934" s="48"/>
      <c r="AD934" s="48"/>
      <c r="AE934" s="17"/>
    </row>
    <row r="935">
      <c r="B935" s="9"/>
      <c r="C935" s="9"/>
      <c r="D935" s="9"/>
      <c r="M935" s="17" t="s">
        <v>431</v>
      </c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B935" s="48"/>
      <c r="AC935" s="48"/>
      <c r="AD935" s="48"/>
      <c r="AE935" s="17"/>
    </row>
    <row r="936">
      <c r="B936" s="9"/>
      <c r="C936" s="9"/>
      <c r="D936" s="9"/>
      <c r="M936" s="17" t="s">
        <v>431</v>
      </c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B936" s="48"/>
      <c r="AC936" s="48"/>
      <c r="AD936" s="48"/>
      <c r="AE936" s="17"/>
    </row>
    <row r="937">
      <c r="B937" s="9"/>
      <c r="C937" s="9"/>
      <c r="D937" s="9"/>
      <c r="M937" s="17" t="s">
        <v>431</v>
      </c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B937" s="48"/>
      <c r="AC937" s="48"/>
      <c r="AD937" s="48"/>
      <c r="AE937" s="17"/>
    </row>
    <row r="938">
      <c r="B938" s="9"/>
      <c r="C938" s="9"/>
      <c r="D938" s="9"/>
      <c r="M938" s="17" t="s">
        <v>431</v>
      </c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B938" s="48"/>
      <c r="AC938" s="48"/>
      <c r="AD938" s="48"/>
      <c r="AE938" s="17"/>
    </row>
    <row r="939">
      <c r="B939" s="9"/>
      <c r="C939" s="9"/>
      <c r="D939" s="9"/>
      <c r="M939" s="17" t="s">
        <v>431</v>
      </c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B939" s="48"/>
      <c r="AC939" s="48"/>
      <c r="AD939" s="48"/>
      <c r="AE939" s="17"/>
    </row>
    <row r="940">
      <c r="B940" s="9"/>
      <c r="C940" s="9"/>
      <c r="D940" s="9"/>
      <c r="M940" s="17" t="s">
        <v>431</v>
      </c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B940" s="48"/>
      <c r="AC940" s="48"/>
      <c r="AD940" s="48"/>
      <c r="AE940" s="17"/>
    </row>
    <row r="941">
      <c r="B941" s="9"/>
      <c r="C941" s="9"/>
      <c r="D941" s="9"/>
      <c r="M941" s="17" t="s">
        <v>431</v>
      </c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B941" s="48"/>
      <c r="AC941" s="48"/>
      <c r="AD941" s="48"/>
      <c r="AE941" s="17"/>
    </row>
    <row r="942">
      <c r="B942" s="9"/>
      <c r="C942" s="9"/>
      <c r="D942" s="9"/>
      <c r="M942" s="17" t="s">
        <v>431</v>
      </c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B942" s="48"/>
      <c r="AC942" s="48"/>
      <c r="AD942" s="48"/>
      <c r="AE942" s="17"/>
    </row>
    <row r="943">
      <c r="B943" s="9"/>
      <c r="C943" s="9"/>
      <c r="D943" s="9"/>
      <c r="M943" s="17" t="s">
        <v>431</v>
      </c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B943" s="48"/>
      <c r="AC943" s="48"/>
      <c r="AD943" s="48"/>
      <c r="AE943" s="17"/>
    </row>
    <row r="944">
      <c r="B944" s="9"/>
      <c r="C944" s="9"/>
      <c r="D944" s="9"/>
      <c r="M944" s="17" t="s">
        <v>431</v>
      </c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B944" s="48"/>
      <c r="AC944" s="48"/>
      <c r="AD944" s="48"/>
      <c r="AE944" s="17"/>
    </row>
    <row r="945">
      <c r="B945" s="9"/>
      <c r="C945" s="9"/>
      <c r="D945" s="9"/>
      <c r="M945" s="17" t="s">
        <v>431</v>
      </c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B945" s="48"/>
      <c r="AC945" s="48"/>
      <c r="AD945" s="48"/>
      <c r="AE945" s="17"/>
    </row>
    <row r="946">
      <c r="B946" s="9"/>
      <c r="C946" s="9"/>
      <c r="D946" s="9"/>
      <c r="M946" s="17" t="s">
        <v>431</v>
      </c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B946" s="48"/>
      <c r="AC946" s="48"/>
      <c r="AD946" s="48"/>
      <c r="AE946" s="17"/>
    </row>
    <row r="947">
      <c r="B947" s="9"/>
      <c r="C947" s="9"/>
      <c r="D947" s="9"/>
      <c r="M947" s="17" t="s">
        <v>431</v>
      </c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B947" s="48"/>
      <c r="AC947" s="48"/>
      <c r="AD947" s="48"/>
      <c r="AE947" s="17"/>
    </row>
    <row r="948">
      <c r="B948" s="9"/>
      <c r="C948" s="9"/>
      <c r="D948" s="9"/>
      <c r="M948" s="17" t="s">
        <v>431</v>
      </c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B948" s="48"/>
      <c r="AC948" s="48"/>
      <c r="AD948" s="48"/>
      <c r="AE948" s="17"/>
    </row>
    <row r="949">
      <c r="B949" s="9"/>
      <c r="C949" s="9"/>
      <c r="D949" s="9"/>
      <c r="M949" s="17" t="s">
        <v>431</v>
      </c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B949" s="48"/>
      <c r="AC949" s="48"/>
      <c r="AD949" s="48"/>
      <c r="AE949" s="17"/>
    </row>
    <row r="950">
      <c r="B950" s="9"/>
      <c r="C950" s="9"/>
      <c r="D950" s="9"/>
      <c r="M950" s="17" t="s">
        <v>431</v>
      </c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B950" s="48"/>
      <c r="AC950" s="48"/>
      <c r="AD950" s="48"/>
      <c r="AE950" s="17"/>
    </row>
    <row r="951">
      <c r="B951" s="9"/>
      <c r="C951" s="9"/>
      <c r="D951" s="9"/>
      <c r="M951" s="17" t="s">
        <v>431</v>
      </c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B951" s="48"/>
      <c r="AC951" s="48"/>
      <c r="AD951" s="48"/>
      <c r="AE951" s="17"/>
    </row>
    <row r="952">
      <c r="B952" s="9"/>
      <c r="C952" s="9"/>
      <c r="D952" s="9"/>
      <c r="M952" s="17" t="s">
        <v>431</v>
      </c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B952" s="48"/>
      <c r="AC952" s="48"/>
      <c r="AD952" s="48"/>
      <c r="AE952" s="17"/>
    </row>
    <row r="953">
      <c r="B953" s="9"/>
      <c r="C953" s="9"/>
      <c r="D953" s="9"/>
      <c r="M953" s="17" t="s">
        <v>431</v>
      </c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B953" s="48"/>
      <c r="AC953" s="48"/>
      <c r="AD953" s="48"/>
      <c r="AE953" s="17"/>
    </row>
    <row r="954">
      <c r="B954" s="9"/>
      <c r="C954" s="9"/>
      <c r="D954" s="9"/>
      <c r="M954" s="17" t="s">
        <v>431</v>
      </c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B954" s="48"/>
      <c r="AC954" s="48"/>
      <c r="AD954" s="48"/>
      <c r="AE954" s="17"/>
    </row>
    <row r="955">
      <c r="B955" s="9"/>
      <c r="C955" s="9"/>
      <c r="D955" s="9"/>
      <c r="M955" s="17" t="s">
        <v>431</v>
      </c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B955" s="48"/>
      <c r="AC955" s="48"/>
      <c r="AD955" s="48"/>
      <c r="AE955" s="17"/>
    </row>
    <row r="956">
      <c r="B956" s="9"/>
      <c r="C956" s="9"/>
      <c r="D956" s="9"/>
      <c r="M956" s="17" t="s">
        <v>431</v>
      </c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B956" s="48"/>
      <c r="AC956" s="48"/>
      <c r="AD956" s="48"/>
      <c r="AE956" s="17"/>
    </row>
    <row r="957">
      <c r="B957" s="9"/>
      <c r="C957" s="9"/>
      <c r="D957" s="9"/>
      <c r="M957" s="17" t="s">
        <v>431</v>
      </c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B957" s="48"/>
      <c r="AC957" s="48"/>
      <c r="AD957" s="48"/>
      <c r="AE957" s="17"/>
    </row>
    <row r="958">
      <c r="B958" s="9"/>
      <c r="C958" s="9"/>
      <c r="D958" s="9"/>
      <c r="M958" s="17" t="s">
        <v>431</v>
      </c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B958" s="48"/>
      <c r="AC958" s="48"/>
      <c r="AD958" s="48"/>
      <c r="AE958" s="17"/>
    </row>
    <row r="959">
      <c r="B959" s="9"/>
      <c r="C959" s="9"/>
      <c r="D959" s="9"/>
      <c r="M959" s="17" t="s">
        <v>431</v>
      </c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B959" s="48"/>
      <c r="AC959" s="48"/>
      <c r="AD959" s="48"/>
      <c r="AE959" s="17"/>
    </row>
    <row r="960">
      <c r="B960" s="9"/>
      <c r="C960" s="9"/>
      <c r="D960" s="9"/>
      <c r="M960" s="17" t="s">
        <v>431</v>
      </c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B960" s="48"/>
      <c r="AC960" s="48"/>
      <c r="AD960" s="48"/>
      <c r="AE960" s="17"/>
    </row>
    <row r="961">
      <c r="B961" s="9"/>
      <c r="C961" s="9"/>
      <c r="D961" s="9"/>
      <c r="M961" s="17" t="s">
        <v>431</v>
      </c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B961" s="48"/>
      <c r="AC961" s="48"/>
      <c r="AD961" s="48"/>
      <c r="AE961" s="17"/>
    </row>
    <row r="962">
      <c r="B962" s="9"/>
      <c r="C962" s="9"/>
      <c r="D962" s="9"/>
      <c r="M962" s="17" t="s">
        <v>431</v>
      </c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B962" s="48"/>
      <c r="AC962" s="48"/>
      <c r="AD962" s="48"/>
      <c r="AE962" s="17"/>
    </row>
    <row r="963">
      <c r="B963" s="9"/>
      <c r="C963" s="9"/>
      <c r="D963" s="9"/>
      <c r="M963" s="17" t="s">
        <v>431</v>
      </c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B963" s="48"/>
      <c r="AC963" s="48"/>
      <c r="AD963" s="48"/>
      <c r="AE963" s="17"/>
    </row>
    <row r="964">
      <c r="B964" s="9"/>
      <c r="C964" s="9"/>
      <c r="D964" s="9"/>
      <c r="M964" s="17" t="s">
        <v>431</v>
      </c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B964" s="48"/>
      <c r="AC964" s="48"/>
      <c r="AD964" s="48"/>
      <c r="AE964" s="17"/>
    </row>
    <row r="965">
      <c r="B965" s="9"/>
      <c r="C965" s="9"/>
      <c r="D965" s="9"/>
      <c r="M965" s="17" t="s">
        <v>431</v>
      </c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B965" s="48"/>
      <c r="AC965" s="48"/>
      <c r="AD965" s="48"/>
      <c r="AE965" s="17"/>
    </row>
    <row r="966">
      <c r="B966" s="9"/>
      <c r="C966" s="9"/>
      <c r="D966" s="9"/>
      <c r="M966" s="17" t="s">
        <v>431</v>
      </c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B966" s="48"/>
      <c r="AC966" s="48"/>
      <c r="AD966" s="48"/>
      <c r="AE966" s="17"/>
    </row>
    <row r="967">
      <c r="B967" s="9"/>
      <c r="C967" s="9"/>
      <c r="D967" s="9"/>
      <c r="M967" s="17" t="s">
        <v>431</v>
      </c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B967" s="48"/>
      <c r="AC967" s="48"/>
      <c r="AD967" s="48"/>
      <c r="AE967" s="17"/>
    </row>
    <row r="968">
      <c r="B968" s="9"/>
      <c r="C968" s="9"/>
      <c r="D968" s="9"/>
      <c r="M968" s="17" t="s">
        <v>431</v>
      </c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B968" s="48"/>
      <c r="AC968" s="48"/>
      <c r="AD968" s="48"/>
      <c r="AE968" s="17"/>
    </row>
    <row r="969">
      <c r="B969" s="9"/>
      <c r="C969" s="9"/>
      <c r="D969" s="9"/>
      <c r="M969" s="17" t="s">
        <v>431</v>
      </c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B969" s="48"/>
      <c r="AC969" s="48"/>
      <c r="AD969" s="48"/>
      <c r="AE969" s="17"/>
    </row>
    <row r="970">
      <c r="B970" s="9"/>
      <c r="C970" s="9"/>
      <c r="D970" s="9"/>
      <c r="M970" s="17" t="s">
        <v>431</v>
      </c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B970" s="48"/>
      <c r="AC970" s="48"/>
      <c r="AD970" s="48"/>
      <c r="AE970" s="17"/>
    </row>
    <row r="971">
      <c r="B971" s="9"/>
      <c r="C971" s="9"/>
      <c r="D971" s="9"/>
      <c r="M971" s="17" t="s">
        <v>431</v>
      </c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B971" s="48"/>
      <c r="AC971" s="48"/>
      <c r="AD971" s="48"/>
      <c r="AE971" s="17"/>
    </row>
    <row r="972">
      <c r="B972" s="9"/>
      <c r="C972" s="9"/>
      <c r="D972" s="9"/>
      <c r="M972" s="17" t="s">
        <v>431</v>
      </c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B972" s="48"/>
      <c r="AC972" s="48"/>
      <c r="AD972" s="48"/>
      <c r="AE972" s="17"/>
    </row>
    <row r="973">
      <c r="B973" s="9"/>
      <c r="C973" s="9"/>
      <c r="D973" s="9"/>
      <c r="M973" s="17" t="s">
        <v>431</v>
      </c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B973" s="48"/>
      <c r="AC973" s="48"/>
      <c r="AD973" s="48"/>
      <c r="AE973" s="17"/>
    </row>
    <row r="974">
      <c r="B974" s="9"/>
      <c r="C974" s="9"/>
      <c r="D974" s="9"/>
      <c r="M974" s="17" t="s">
        <v>431</v>
      </c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B974" s="48"/>
      <c r="AC974" s="48"/>
      <c r="AD974" s="48"/>
      <c r="AE974" s="17"/>
    </row>
    <row r="975">
      <c r="B975" s="9"/>
      <c r="C975" s="9"/>
      <c r="D975" s="9"/>
      <c r="M975" s="17" t="s">
        <v>431</v>
      </c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B975" s="48"/>
      <c r="AC975" s="48"/>
      <c r="AD975" s="48"/>
      <c r="AE975" s="17"/>
    </row>
    <row r="976">
      <c r="B976" s="9"/>
      <c r="C976" s="9"/>
      <c r="D976" s="9"/>
      <c r="M976" s="17" t="s">
        <v>431</v>
      </c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B976" s="48"/>
      <c r="AC976" s="48"/>
      <c r="AD976" s="48"/>
      <c r="AE976" s="17"/>
    </row>
    <row r="977">
      <c r="B977" s="9"/>
      <c r="C977" s="9"/>
      <c r="D977" s="9"/>
      <c r="M977" s="17" t="s">
        <v>431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B977" s="48"/>
      <c r="AC977" s="48"/>
      <c r="AD977" s="48"/>
      <c r="AE977" s="17"/>
    </row>
    <row r="978">
      <c r="B978" s="9"/>
      <c r="C978" s="9"/>
      <c r="D978" s="9"/>
      <c r="M978" s="17" t="s">
        <v>431</v>
      </c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B978" s="48"/>
      <c r="AC978" s="48"/>
      <c r="AD978" s="48"/>
      <c r="AE978" s="17"/>
    </row>
    <row r="979">
      <c r="B979" s="9"/>
      <c r="C979" s="9"/>
      <c r="D979" s="9"/>
      <c r="M979" s="17" t="s">
        <v>431</v>
      </c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B979" s="48"/>
      <c r="AC979" s="48"/>
      <c r="AD979" s="48"/>
      <c r="AE979" s="17"/>
    </row>
    <row r="980">
      <c r="B980" s="9"/>
      <c r="C980" s="9"/>
      <c r="D980" s="9"/>
      <c r="M980" s="17" t="s">
        <v>431</v>
      </c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B980" s="48"/>
      <c r="AC980" s="48"/>
      <c r="AD980" s="48"/>
      <c r="AE980" s="17"/>
    </row>
    <row r="981">
      <c r="B981" s="9"/>
      <c r="C981" s="9"/>
      <c r="D981" s="9"/>
      <c r="M981" s="17" t="s">
        <v>431</v>
      </c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B981" s="48"/>
      <c r="AC981" s="48"/>
      <c r="AD981" s="48"/>
      <c r="AE981" s="17"/>
    </row>
    <row r="982">
      <c r="B982" s="9"/>
      <c r="C982" s="9"/>
      <c r="D982" s="9"/>
      <c r="M982" s="17" t="s">
        <v>431</v>
      </c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B982" s="48"/>
      <c r="AC982" s="48"/>
      <c r="AD982" s="48"/>
      <c r="AE982" s="17"/>
    </row>
    <row r="983">
      <c r="B983" s="9"/>
      <c r="C983" s="9"/>
      <c r="D983" s="9"/>
      <c r="M983" s="17" t="s">
        <v>431</v>
      </c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B983" s="48"/>
      <c r="AC983" s="48"/>
      <c r="AD983" s="48"/>
      <c r="AE983" s="17"/>
    </row>
    <row r="984">
      <c r="B984" s="9"/>
      <c r="C984" s="9"/>
      <c r="D984" s="9"/>
      <c r="M984" s="17" t="s">
        <v>431</v>
      </c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B984" s="48"/>
      <c r="AC984" s="48"/>
      <c r="AD984" s="48"/>
      <c r="AE984" s="17"/>
    </row>
    <row r="985">
      <c r="B985" s="9"/>
      <c r="C985" s="9"/>
      <c r="D985" s="9"/>
      <c r="M985" s="17" t="s">
        <v>431</v>
      </c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B985" s="48"/>
      <c r="AC985" s="48"/>
      <c r="AD985" s="48"/>
      <c r="AE985" s="17"/>
    </row>
    <row r="986">
      <c r="B986" s="9"/>
      <c r="C986" s="9"/>
      <c r="D986" s="9"/>
      <c r="M986" s="17" t="s">
        <v>431</v>
      </c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B986" s="48"/>
      <c r="AC986" s="48"/>
      <c r="AD986" s="48"/>
      <c r="AE986" s="17"/>
    </row>
    <row r="987">
      <c r="B987" s="9"/>
      <c r="C987" s="9"/>
      <c r="D987" s="9"/>
      <c r="M987" s="17" t="s">
        <v>431</v>
      </c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B987" s="48"/>
      <c r="AC987" s="48"/>
      <c r="AD987" s="48"/>
      <c r="AE987" s="17"/>
    </row>
    <row r="988">
      <c r="B988" s="9"/>
      <c r="C988" s="9"/>
      <c r="D988" s="9"/>
      <c r="M988" s="17" t="s">
        <v>431</v>
      </c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B988" s="48"/>
      <c r="AC988" s="48"/>
      <c r="AD988" s="48"/>
      <c r="AE988" s="17"/>
    </row>
    <row r="989">
      <c r="B989" s="9"/>
      <c r="C989" s="9"/>
      <c r="D989" s="9"/>
      <c r="M989" s="17" t="s">
        <v>431</v>
      </c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B989" s="48"/>
      <c r="AC989" s="48"/>
      <c r="AD989" s="48"/>
      <c r="AE989" s="17"/>
    </row>
    <row r="990">
      <c r="B990" s="9"/>
      <c r="C990" s="9"/>
      <c r="D990" s="9"/>
      <c r="M990" s="17" t="s">
        <v>431</v>
      </c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B990" s="48"/>
      <c r="AC990" s="48"/>
      <c r="AD990" s="48"/>
      <c r="AE990" s="17"/>
    </row>
    <row r="991">
      <c r="B991" s="9"/>
      <c r="C991" s="9"/>
      <c r="D991" s="9"/>
      <c r="M991" s="17" t="s">
        <v>431</v>
      </c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B991" s="48"/>
      <c r="AC991" s="48"/>
      <c r="AD991" s="48"/>
      <c r="AE991" s="17"/>
    </row>
    <row r="992">
      <c r="B992" s="9"/>
      <c r="C992" s="9"/>
      <c r="D992" s="9"/>
      <c r="M992" s="17" t="s">
        <v>431</v>
      </c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B992" s="48"/>
      <c r="AC992" s="48"/>
      <c r="AD992" s="48"/>
      <c r="AE992" s="17"/>
    </row>
    <row r="993">
      <c r="B993" s="9"/>
      <c r="C993" s="9"/>
      <c r="D993" s="9"/>
      <c r="M993" s="17" t="s">
        <v>431</v>
      </c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B993" s="48"/>
      <c r="AC993" s="48"/>
      <c r="AD993" s="48"/>
      <c r="AE993" s="17"/>
    </row>
    <row r="994">
      <c r="B994" s="9"/>
      <c r="C994" s="9"/>
      <c r="D994" s="9"/>
      <c r="M994" s="17" t="s">
        <v>431</v>
      </c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B994" s="48"/>
      <c r="AC994" s="48"/>
      <c r="AD994" s="48"/>
      <c r="AE994" s="17"/>
    </row>
    <row r="995">
      <c r="B995" s="9"/>
      <c r="C995" s="9"/>
      <c r="D995" s="9"/>
      <c r="M995" s="17" t="s">
        <v>431</v>
      </c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B995" s="48"/>
      <c r="AC995" s="48"/>
      <c r="AD995" s="48"/>
      <c r="AE995" s="17"/>
    </row>
    <row r="996">
      <c r="B996" s="9"/>
      <c r="C996" s="9"/>
      <c r="D996" s="9"/>
      <c r="M996" s="17" t="s">
        <v>431</v>
      </c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B996" s="48"/>
      <c r="AC996" s="48"/>
      <c r="AD996" s="48"/>
      <c r="AE996" s="17"/>
    </row>
    <row r="997">
      <c r="B997" s="9"/>
      <c r="C997" s="9"/>
      <c r="D997" s="9"/>
      <c r="M997" s="17" t="s">
        <v>431</v>
      </c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B997" s="48"/>
      <c r="AC997" s="48"/>
      <c r="AD997" s="48"/>
      <c r="AE997" s="17"/>
    </row>
    <row r="998">
      <c r="B998" s="9"/>
      <c r="C998" s="9"/>
      <c r="D998" s="9"/>
      <c r="M998" s="17" t="s">
        <v>431</v>
      </c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B998" s="48"/>
      <c r="AC998" s="48"/>
      <c r="AD998" s="48"/>
      <c r="AE998" s="17"/>
    </row>
    <row r="999">
      <c r="B999" s="9"/>
      <c r="C999" s="9"/>
      <c r="D999" s="9"/>
      <c r="M999" s="17" t="s">
        <v>431</v>
      </c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B999" s="48"/>
      <c r="AC999" s="48"/>
      <c r="AD999" s="48"/>
      <c r="AE999" s="17"/>
    </row>
    <row r="1000">
      <c r="B1000" s="9"/>
      <c r="C1000" s="9"/>
      <c r="D1000" s="9"/>
      <c r="M1000" s="17" t="s">
        <v>431</v>
      </c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B1000" s="48"/>
      <c r="AC1000" s="48"/>
      <c r="AD1000" s="48"/>
      <c r="AE1000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5"/>
    <col customWidth="1" min="3" max="3" width="32.5"/>
    <col customWidth="1" min="4" max="4" width="6.38"/>
    <col customWidth="1" min="6" max="6" width="6.88"/>
    <col customWidth="1" min="7" max="7" width="3.38"/>
  </cols>
  <sheetData>
    <row r="1">
      <c r="A1" s="50" t="str">
        <f>IFERROR(__xludf.DUMMYFUNCTION("{""NOPOL"",""TLPG"",""PERUSAHAAN"",""JARAK"",""KATEGORI"",""BOBOT"",""PC"";
  FILTER(
    {'NOTED PERHITUNGAN'!B3:B1000,'NOTED PERHITUNGAN'!C3:C1000,'NOTED PERHITUNGAN'!D3:D1000,'NOTED PERHITUNGAN'!E3:E1000,'NOTED PERHITUNGAN'!J3:J1000,'NOTED PERHITUNGAN'"&amp;"!K3:K1000,'NOTED PERHITUNGAN'!M3:M1000},
    'NOTED PERHITUNGAN'!J3:J1000=$I$1
  )
}"),"NOPOL")</f>
        <v>NOPOL</v>
      </c>
      <c r="B1" s="50" t="str">
        <f>IFERROR(__xludf.DUMMYFUNCTION("""COMPUTED_VALUE"""),"TLPG")</f>
        <v>TLPG</v>
      </c>
      <c r="C1" s="50" t="str">
        <f>IFERROR(__xludf.DUMMYFUNCTION("""COMPUTED_VALUE"""),"PERUSAHAAN")</f>
        <v>PERUSAHAAN</v>
      </c>
      <c r="D1" s="11" t="str">
        <f>IFERROR(__xludf.DUMMYFUNCTION("""COMPUTED_VALUE"""),"JARAK")</f>
        <v>JARAK</v>
      </c>
      <c r="E1" s="11" t="str">
        <f>IFERROR(__xludf.DUMMYFUNCTION("""COMPUTED_VALUE"""),"KATEGORI")</f>
        <v>KATEGORI</v>
      </c>
      <c r="F1" s="11" t="str">
        <f>IFERROR(__xludf.DUMMYFUNCTION("""COMPUTED_VALUE"""),"BOBOT")</f>
        <v>BOBOT</v>
      </c>
      <c r="G1" s="11" t="str">
        <f>IFERROR(__xludf.DUMMYFUNCTION("""COMPUTED_VALUE"""),"PC")</f>
        <v>PC</v>
      </c>
      <c r="H1" s="11"/>
      <c r="I1" s="12" t="s">
        <v>512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0" t="str">
        <f>IFERROR(__xludf.DUMMYFUNCTION("""COMPUTED_VALUE"""),"AE 8018 UG")</f>
        <v>AE 8018 UG</v>
      </c>
      <c r="B2" s="50" t="str">
        <f>IFERROR(__xludf.DUMMYFUNCTION("""COMPUTED_VALUE"""),"TLPG TJ PERAK")</f>
        <v>TLPG TJ PERAK</v>
      </c>
      <c r="C2" s="50" t="str">
        <f>IFERROR(__xludf.DUMMYFUNCTION("""COMPUTED_VALUE"""),"PT MADIUNI ELPIJI")</f>
        <v>PT MADIUNI ELPIJI</v>
      </c>
      <c r="D2" s="11">
        <f>IFERROR(__xludf.DUMMYFUNCTION("""COMPUTED_VALUE"""),163.5)</f>
        <v>163.5</v>
      </c>
      <c r="E2" s="11" t="str">
        <f>IFERROR(__xludf.DUMMYFUNCTION("""COMPUTED_VALUE"""),"JAUH")</f>
        <v>JAUH</v>
      </c>
      <c r="F2" s="11">
        <f>IFERROR(__xludf.DUMMYFUNCTION("""COMPUTED_VALUE"""),3.0)</f>
        <v>3</v>
      </c>
      <c r="G2" s="11">
        <f>IFERROR(__xludf.DUMMYFUNCTION("""COMPUTED_VALUE"""),1.0)</f>
        <v>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0" t="str">
        <f>IFERROR(__xludf.DUMMYFUNCTION("""COMPUTED_VALUE"""),"AE 8099 UT")</f>
        <v>AE 8099 UT</v>
      </c>
      <c r="B3" s="50" t="str">
        <f>IFERROR(__xludf.DUMMYFUNCTION("""COMPUTED_VALUE"""),"TLPG TJ PERAK")</f>
        <v>TLPG TJ PERAK</v>
      </c>
      <c r="C3" s="50" t="str">
        <f>IFERROR(__xludf.DUMMYFUNCTION("""COMPUTED_VALUE"""),"PT GAS ALAM BUMI REOG")</f>
        <v>PT GAS ALAM BUMI REOG</v>
      </c>
      <c r="D3" s="11">
        <f>IFERROR(__xludf.DUMMYFUNCTION("""COMPUTED_VALUE"""),195.7)</f>
        <v>195.7</v>
      </c>
      <c r="E3" s="11" t="str">
        <f>IFERROR(__xludf.DUMMYFUNCTION("""COMPUTED_VALUE"""),"JAUH")</f>
        <v>JAUH</v>
      </c>
      <c r="F3" s="11">
        <f>IFERROR(__xludf.DUMMYFUNCTION("""COMPUTED_VALUE"""),3.0)</f>
        <v>3</v>
      </c>
      <c r="G3" s="11">
        <f>IFERROR(__xludf.DUMMYFUNCTION("""COMPUTED_VALUE"""),1.0)</f>
        <v>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0" t="str">
        <f>IFERROR(__xludf.DUMMYFUNCTION("""COMPUTED_VALUE"""),"AE 8175 UC")</f>
        <v>AE 8175 UC</v>
      </c>
      <c r="B4" s="50" t="str">
        <f>IFERROR(__xludf.DUMMYFUNCTION("""COMPUTED_VALUE"""),"TLPG TJ PERAK")</f>
        <v>TLPG TJ PERAK</v>
      </c>
      <c r="C4" s="50" t="str">
        <f>IFERROR(__xludf.DUMMYFUNCTION("""COMPUTED_VALUE"""),"PT MADIUNI ELPIJI")</f>
        <v>PT MADIUNI ELPIJI</v>
      </c>
      <c r="D4" s="11">
        <f>IFERROR(__xludf.DUMMYFUNCTION("""COMPUTED_VALUE"""),163.5)</f>
        <v>163.5</v>
      </c>
      <c r="E4" s="11" t="str">
        <f>IFERROR(__xludf.DUMMYFUNCTION("""COMPUTED_VALUE"""),"JAUH")</f>
        <v>JAUH</v>
      </c>
      <c r="F4" s="11">
        <f>IFERROR(__xludf.DUMMYFUNCTION("""COMPUTED_VALUE"""),3.0)</f>
        <v>3</v>
      </c>
      <c r="G4" s="11">
        <f>IFERROR(__xludf.DUMMYFUNCTION("""COMPUTED_VALUE"""),1.0)</f>
        <v>1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0" t="str">
        <f>IFERROR(__xludf.DUMMYFUNCTION("""COMPUTED_VALUE"""),"AE 8458 UF")</f>
        <v>AE 8458 UF</v>
      </c>
      <c r="B5" s="50" t="str">
        <f>IFERROR(__xludf.DUMMYFUNCTION("""COMPUTED_VALUE"""),"TLPG TJ PERAK")</f>
        <v>TLPG TJ PERAK</v>
      </c>
      <c r="C5" s="50" t="str">
        <f>IFERROR(__xludf.DUMMYFUNCTION("""COMPUTED_VALUE"""),"PT MADIUNI ELPIJI")</f>
        <v>PT MADIUNI ELPIJI</v>
      </c>
      <c r="D5" s="11">
        <f>IFERROR(__xludf.DUMMYFUNCTION("""COMPUTED_VALUE"""),163.5)</f>
        <v>163.5</v>
      </c>
      <c r="E5" s="11" t="str">
        <f>IFERROR(__xludf.DUMMYFUNCTION("""COMPUTED_VALUE"""),"JAUH")</f>
        <v>JAUH</v>
      </c>
      <c r="F5" s="11">
        <f>IFERROR(__xludf.DUMMYFUNCTION("""COMPUTED_VALUE"""),3.0)</f>
        <v>3</v>
      </c>
      <c r="G5" s="11">
        <f>IFERROR(__xludf.DUMMYFUNCTION("""COMPUTED_VALUE"""),1.0)</f>
        <v>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0" t="str">
        <f>IFERROR(__xludf.DUMMYFUNCTION("""COMPUTED_VALUE"""),"AE 8459 UF")</f>
        <v>AE 8459 UF</v>
      </c>
      <c r="B6" s="50" t="str">
        <f>IFERROR(__xludf.DUMMYFUNCTION("""COMPUTED_VALUE"""),"TLPG TJ PERAK")</f>
        <v>TLPG TJ PERAK</v>
      </c>
      <c r="C6" s="50" t="str">
        <f>IFERROR(__xludf.DUMMYFUNCTION("""COMPUTED_VALUE"""),"PT MADIUNI ELPIJI")</f>
        <v>PT MADIUNI ELPIJI</v>
      </c>
      <c r="D6" s="11">
        <f>IFERROR(__xludf.DUMMYFUNCTION("""COMPUTED_VALUE"""),163.5)</f>
        <v>163.5</v>
      </c>
      <c r="E6" s="11" t="str">
        <f>IFERROR(__xludf.DUMMYFUNCTION("""COMPUTED_VALUE"""),"JAUH")</f>
        <v>JAUH</v>
      </c>
      <c r="F6" s="11">
        <f>IFERROR(__xludf.DUMMYFUNCTION("""COMPUTED_VALUE"""),3.0)</f>
        <v>3</v>
      </c>
      <c r="G6" s="11">
        <f>IFERROR(__xludf.DUMMYFUNCTION("""COMPUTED_VALUE"""),1.0)</f>
        <v>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0" t="str">
        <f>IFERROR(__xludf.DUMMYFUNCTION("""COMPUTED_VALUE"""),"AE 8518 UJ")</f>
        <v>AE 8518 UJ</v>
      </c>
      <c r="B7" s="50" t="str">
        <f>IFERROR(__xludf.DUMMYFUNCTION("""COMPUTED_VALUE"""),"TLPG TJ PERAK")</f>
        <v>TLPG TJ PERAK</v>
      </c>
      <c r="C7" s="50" t="str">
        <f>IFERROR(__xludf.DUMMYFUNCTION("""COMPUTED_VALUE"""),"PT NUR WISTARA ABADI")</f>
        <v>PT NUR WISTARA ABADI</v>
      </c>
      <c r="D7" s="11">
        <f>IFERROR(__xludf.DUMMYFUNCTION("""COMPUTED_VALUE"""),178.3)</f>
        <v>178.3</v>
      </c>
      <c r="E7" s="11" t="str">
        <f>IFERROR(__xludf.DUMMYFUNCTION("""COMPUTED_VALUE"""),"JAUH")</f>
        <v>JAUH</v>
      </c>
      <c r="F7" s="11">
        <f>IFERROR(__xludf.DUMMYFUNCTION("""COMPUTED_VALUE"""),3.0)</f>
        <v>3</v>
      </c>
      <c r="G7" s="11">
        <f>IFERROR(__xludf.DUMMYFUNCTION("""COMPUTED_VALUE"""),1.0)</f>
        <v>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0" t="str">
        <f>IFERROR(__xludf.DUMMYFUNCTION("""COMPUTED_VALUE"""),"AE 8546 UJ")</f>
        <v>AE 8546 UJ</v>
      </c>
      <c r="B8" s="50" t="str">
        <f>IFERROR(__xludf.DUMMYFUNCTION("""COMPUTED_VALUE"""),"TLPG TJ PERAK")</f>
        <v>TLPG TJ PERAK</v>
      </c>
      <c r="C8" s="50" t="str">
        <f>IFERROR(__xludf.DUMMYFUNCTION("""COMPUTED_VALUE"""),"PT NUR WISTARA ABADI")</f>
        <v>PT NUR WISTARA ABADI</v>
      </c>
      <c r="D8" s="11">
        <f>IFERROR(__xludf.DUMMYFUNCTION("""COMPUTED_VALUE"""),178.3)</f>
        <v>178.3</v>
      </c>
      <c r="E8" s="11" t="str">
        <f>IFERROR(__xludf.DUMMYFUNCTION("""COMPUTED_VALUE"""),"JAUH")</f>
        <v>JAUH</v>
      </c>
      <c r="F8" s="11">
        <f>IFERROR(__xludf.DUMMYFUNCTION("""COMPUTED_VALUE"""),3.0)</f>
        <v>3</v>
      </c>
      <c r="G8" s="11">
        <f>IFERROR(__xludf.DUMMYFUNCTION("""COMPUTED_VALUE"""),1.0)</f>
        <v>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0" t="str">
        <f>IFERROR(__xludf.DUMMYFUNCTION("""COMPUTED_VALUE"""),"AE 8639 UP")</f>
        <v>AE 8639 UP</v>
      </c>
      <c r="B9" s="50" t="str">
        <f>IFERROR(__xludf.DUMMYFUNCTION("""COMPUTED_VALUE"""),"TLPG TJ PERAK")</f>
        <v>TLPG TJ PERAK</v>
      </c>
      <c r="C9" s="50" t="str">
        <f>IFERROR(__xludf.DUMMYFUNCTION("""COMPUTED_VALUE"""),"PT TRISINDO ADIKAMULIA")</f>
        <v>PT TRISINDO ADIKAMULIA</v>
      </c>
      <c r="D9" s="11">
        <f>IFERROR(__xludf.DUMMYFUNCTION("""COMPUTED_VALUE"""),179.3)</f>
        <v>179.3</v>
      </c>
      <c r="E9" s="11" t="str">
        <f>IFERROR(__xludf.DUMMYFUNCTION("""COMPUTED_VALUE"""),"JAUH")</f>
        <v>JAUH</v>
      </c>
      <c r="F9" s="11">
        <f>IFERROR(__xludf.DUMMYFUNCTION("""COMPUTED_VALUE"""),3.0)</f>
        <v>3</v>
      </c>
      <c r="G9" s="11">
        <f>IFERROR(__xludf.DUMMYFUNCTION("""COMPUTED_VALUE"""),1.0)</f>
        <v>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0" t="str">
        <f>IFERROR(__xludf.DUMMYFUNCTION("""COMPUTED_VALUE"""),"AE 8641 UP")</f>
        <v>AE 8641 UP</v>
      </c>
      <c r="B10" s="50" t="str">
        <f>IFERROR(__xludf.DUMMYFUNCTION("""COMPUTED_VALUE"""),"TLPG TJ PERAK")</f>
        <v>TLPG TJ PERAK</v>
      </c>
      <c r="C10" s="50" t="str">
        <f>IFERROR(__xludf.DUMMYFUNCTION("""COMPUTED_VALUE"""),"PT TRISINDO ADIKAMULIA")</f>
        <v>PT TRISINDO ADIKAMULIA</v>
      </c>
      <c r="D10" s="11">
        <f>IFERROR(__xludf.DUMMYFUNCTION("""COMPUTED_VALUE"""),179.3)</f>
        <v>179.3</v>
      </c>
      <c r="E10" s="11" t="str">
        <f>IFERROR(__xludf.DUMMYFUNCTION("""COMPUTED_VALUE"""),"JAUH")</f>
        <v>JAUH</v>
      </c>
      <c r="F10" s="11">
        <f>IFERROR(__xludf.DUMMYFUNCTION("""COMPUTED_VALUE"""),3.0)</f>
        <v>3</v>
      </c>
      <c r="G10" s="11">
        <f>IFERROR(__xludf.DUMMYFUNCTION("""COMPUTED_VALUE"""),1.0)</f>
        <v>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50" t="str">
        <f>IFERROR(__xludf.DUMMYFUNCTION("""COMPUTED_VALUE"""),"AE 8642 UP")</f>
        <v>AE 8642 UP</v>
      </c>
      <c r="B11" s="50" t="str">
        <f>IFERROR(__xludf.DUMMYFUNCTION("""COMPUTED_VALUE"""),"TLPG TJ PERAK")</f>
        <v>TLPG TJ PERAK</v>
      </c>
      <c r="C11" s="50" t="str">
        <f>IFERROR(__xludf.DUMMYFUNCTION("""COMPUTED_VALUE"""),"PT TRISINDO ADIKAMULIA")</f>
        <v>PT TRISINDO ADIKAMULIA</v>
      </c>
      <c r="D11" s="11">
        <f>IFERROR(__xludf.DUMMYFUNCTION("""COMPUTED_VALUE"""),179.3)</f>
        <v>179.3</v>
      </c>
      <c r="E11" s="11" t="str">
        <f>IFERROR(__xludf.DUMMYFUNCTION("""COMPUTED_VALUE"""),"JAUH")</f>
        <v>JAUH</v>
      </c>
      <c r="F11" s="11">
        <f>IFERROR(__xludf.DUMMYFUNCTION("""COMPUTED_VALUE"""),3.0)</f>
        <v>3</v>
      </c>
      <c r="G11" s="11">
        <f>IFERROR(__xludf.DUMMYFUNCTION("""COMPUTED_VALUE"""),1.0)</f>
        <v>1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50" t="str">
        <f>IFERROR(__xludf.DUMMYFUNCTION("""COMPUTED_VALUE"""),"AE 9061 UJ")</f>
        <v>AE 9061 UJ</v>
      </c>
      <c r="B12" s="50" t="str">
        <f>IFERROR(__xludf.DUMMYFUNCTION("""COMPUTED_VALUE"""),"TLPG TJ PERAK")</f>
        <v>TLPG TJ PERAK</v>
      </c>
      <c r="C12" s="50" t="str">
        <f>IFERROR(__xludf.DUMMYFUNCTION("""COMPUTED_VALUE"""),"PT NUR WISTARA ABADI")</f>
        <v>PT NUR WISTARA ABADI</v>
      </c>
      <c r="D12" s="11">
        <f>IFERROR(__xludf.DUMMYFUNCTION("""COMPUTED_VALUE"""),178.3)</f>
        <v>178.3</v>
      </c>
      <c r="E12" s="11" t="str">
        <f>IFERROR(__xludf.DUMMYFUNCTION("""COMPUTED_VALUE"""),"JAUH")</f>
        <v>JAUH</v>
      </c>
      <c r="F12" s="11">
        <f>IFERROR(__xludf.DUMMYFUNCTION("""COMPUTED_VALUE"""),3.0)</f>
        <v>3</v>
      </c>
      <c r="G12" s="11">
        <f>IFERROR(__xludf.DUMMYFUNCTION("""COMPUTED_VALUE"""),1.0)</f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0" t="str">
        <f>IFERROR(__xludf.DUMMYFUNCTION("""COMPUTED_VALUE"""),"AE 8835 UQ")</f>
        <v>AE 8835 UQ</v>
      </c>
      <c r="B13" s="50" t="str">
        <f>IFERROR(__xludf.DUMMYFUNCTION("""COMPUTED_VALUE"""),"TLPG TJ PERAK")</f>
        <v>TLPG TJ PERAK</v>
      </c>
      <c r="C13" s="50" t="str">
        <f>IFERROR(__xludf.DUMMYFUNCTION("""COMPUTED_VALUE"""),"PT SEKAWAN GAS NUSA")</f>
        <v>PT SEKAWAN GAS NUSA</v>
      </c>
      <c r="D13" s="11">
        <f>IFERROR(__xludf.DUMMYFUNCTION("""COMPUTED_VALUE"""),188.4)</f>
        <v>188.4</v>
      </c>
      <c r="E13" s="11" t="str">
        <f>IFERROR(__xludf.DUMMYFUNCTION("""COMPUTED_VALUE"""),"JAUH")</f>
        <v>JAUH</v>
      </c>
      <c r="F13" s="11">
        <f>IFERROR(__xludf.DUMMYFUNCTION("""COMPUTED_VALUE"""),3.0)</f>
        <v>3</v>
      </c>
      <c r="G13" s="11">
        <f>IFERROR(__xludf.DUMMYFUNCTION("""COMPUTED_VALUE"""),1.0)</f>
        <v>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50" t="str">
        <f>IFERROR(__xludf.DUMMYFUNCTION("""COMPUTED_VALUE"""),"AG 9876 RK")</f>
        <v>AG 9876 RK</v>
      </c>
      <c r="B14" s="50" t="str">
        <f>IFERROR(__xludf.DUMMYFUNCTION("""COMPUTED_VALUE"""),"TLPG MEM GRESIK")</f>
        <v>TLPG MEM GRESIK</v>
      </c>
      <c r="C14" s="50" t="str">
        <f>IFERROR(__xludf.DUMMYFUNCTION("""COMPUTED_VALUE"""),"PT BINTANG CIPTA PERSADA")</f>
        <v>PT BINTANG CIPTA PERSADA</v>
      </c>
      <c r="D14" s="11">
        <f>IFERROR(__xludf.DUMMYFUNCTION("""COMPUTED_VALUE"""),176.1)</f>
        <v>176.1</v>
      </c>
      <c r="E14" s="11" t="str">
        <f>IFERROR(__xludf.DUMMYFUNCTION("""COMPUTED_VALUE"""),"JAUH")</f>
        <v>JAUH</v>
      </c>
      <c r="F14" s="11">
        <f>IFERROR(__xludf.DUMMYFUNCTION("""COMPUTED_VALUE"""),3.0)</f>
        <v>3</v>
      </c>
      <c r="G14" s="11">
        <f>IFERROR(__xludf.DUMMYFUNCTION("""COMPUTED_VALUE"""),1.0)</f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50" t="str">
        <f>IFERROR(__xludf.DUMMYFUNCTION("""COMPUTED_VALUE"""),"L 8116 UUC")</f>
        <v>L 8116 UUC</v>
      </c>
      <c r="B15" s="50" t="str">
        <f>IFERROR(__xludf.DUMMYFUNCTION("""COMPUTED_VALUE"""),"TLPG BIMA")</f>
        <v>TLPG BIMA</v>
      </c>
      <c r="C15" s="50" t="str">
        <f>IFERROR(__xludf.DUMMYFUNCTION("""COMPUTED_VALUE"""),"PT. SUMBAWA DUTA ENERGY")</f>
        <v>PT. SUMBAWA DUTA ENERGY</v>
      </c>
      <c r="D15" s="11">
        <f>IFERROR(__xludf.DUMMYFUNCTION("""COMPUTED_VALUE"""),240.9)</f>
        <v>240.9</v>
      </c>
      <c r="E15" s="11" t="str">
        <f>IFERROR(__xludf.DUMMYFUNCTION("""COMPUTED_VALUE"""),"JAUH")</f>
        <v>JAUH</v>
      </c>
      <c r="F15" s="11">
        <f>IFERROR(__xludf.DUMMYFUNCTION("""COMPUTED_VALUE"""),3.0)</f>
        <v>3</v>
      </c>
      <c r="G15" s="11">
        <f>IFERROR(__xludf.DUMMYFUNCTION("""COMPUTED_VALUE"""),1.0)</f>
        <v>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50" t="str">
        <f>IFERROR(__xludf.DUMMYFUNCTION("""COMPUTED_VALUE"""),"N 8435 UZ")</f>
        <v>N 8435 UZ</v>
      </c>
      <c r="B16" s="50" t="str">
        <f>IFERROR(__xludf.DUMMYFUNCTION("""COMPUTED_VALUE"""),"TLPG MEM GRESIK")</f>
        <v>TLPG MEM GRESIK</v>
      </c>
      <c r="C16" s="50" t="str">
        <f>IFERROR(__xludf.DUMMYFUNCTION("""COMPUTED_VALUE"""),"PT SENTOSA GASINDO RAYA")</f>
        <v>PT SENTOSA GASINDO RAYA</v>
      </c>
      <c r="D16" s="11">
        <f>IFERROR(__xludf.DUMMYFUNCTION("""COMPUTED_VALUE"""),169.5)</f>
        <v>169.5</v>
      </c>
      <c r="E16" s="11" t="str">
        <f>IFERROR(__xludf.DUMMYFUNCTION("""COMPUTED_VALUE"""),"JAUH")</f>
        <v>JAUH</v>
      </c>
      <c r="F16" s="11">
        <f>IFERROR(__xludf.DUMMYFUNCTION("""COMPUTED_VALUE"""),3.0)</f>
        <v>3</v>
      </c>
      <c r="G16" s="11">
        <f>IFERROR(__xludf.DUMMYFUNCTION("""COMPUTED_VALUE"""),1.0)</f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50" t="str">
        <f>IFERROR(__xludf.DUMMYFUNCTION("""COMPUTED_VALUE"""),"AE 8845 UT")</f>
        <v>AE 8845 UT</v>
      </c>
      <c r="B17" s="50" t="str">
        <f>IFERROR(__xludf.DUMMYFUNCTION("""COMPUTED_VALUE"""),"TLPG TJ PERAK")</f>
        <v>TLPG TJ PERAK</v>
      </c>
      <c r="C17" s="50" t="str">
        <f>IFERROR(__xludf.DUMMYFUNCTION("""COMPUTED_VALUE"""),"PT BUANA KARYA SURYA PRATAMA")</f>
        <v>PT BUANA KARYA SURYA PRATAMA</v>
      </c>
      <c r="D17" s="11">
        <f>IFERROR(__xludf.DUMMYFUNCTION("""COMPUTED_VALUE"""),201.0)</f>
        <v>201</v>
      </c>
      <c r="E17" s="11" t="str">
        <f>IFERROR(__xludf.DUMMYFUNCTION("""COMPUTED_VALUE"""),"JAUH")</f>
        <v>JAUH</v>
      </c>
      <c r="F17" s="11">
        <f>IFERROR(__xludf.DUMMYFUNCTION("""COMPUTED_VALUE"""),3.0)</f>
        <v>3</v>
      </c>
      <c r="G17" s="11">
        <f>IFERROR(__xludf.DUMMYFUNCTION("""COMPUTED_VALUE"""),2.0)</f>
        <v>2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50" t="str">
        <f>IFERROR(__xludf.DUMMYFUNCTION("""COMPUTED_VALUE"""),"AE 8846 UT")</f>
        <v>AE 8846 UT</v>
      </c>
      <c r="B18" s="50" t="str">
        <f>IFERROR(__xludf.DUMMYFUNCTION("""COMPUTED_VALUE"""),"TLPG TJ PERAK")</f>
        <v>TLPG TJ PERAK</v>
      </c>
      <c r="C18" s="50" t="str">
        <f>IFERROR(__xludf.DUMMYFUNCTION("""COMPUTED_VALUE"""),"PT BUANA KARYA SURYA PRATAMA")</f>
        <v>PT BUANA KARYA SURYA PRATAMA</v>
      </c>
      <c r="D18" s="11">
        <f>IFERROR(__xludf.DUMMYFUNCTION("""COMPUTED_VALUE"""),201.0)</f>
        <v>201</v>
      </c>
      <c r="E18" s="11" t="str">
        <f>IFERROR(__xludf.DUMMYFUNCTION("""COMPUTED_VALUE"""),"JAUH")</f>
        <v>JAUH</v>
      </c>
      <c r="F18" s="11">
        <f>IFERROR(__xludf.DUMMYFUNCTION("""COMPUTED_VALUE"""),3.0)</f>
        <v>3</v>
      </c>
      <c r="G18" s="11">
        <f>IFERROR(__xludf.DUMMYFUNCTION("""COMPUTED_VALUE"""),2.0)</f>
        <v>2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50" t="str">
        <f>IFERROR(__xludf.DUMMYFUNCTION("""COMPUTED_VALUE"""),"AE 8857 UT")</f>
        <v>AE 8857 UT</v>
      </c>
      <c r="B19" s="50" t="str">
        <f>IFERROR(__xludf.DUMMYFUNCTION("""COMPUTED_VALUE"""),"TLPG TJ PERAK")</f>
        <v>TLPG TJ PERAK</v>
      </c>
      <c r="C19" s="50" t="str">
        <f>IFERROR(__xludf.DUMMYFUNCTION("""COMPUTED_VALUE"""),"PT BUANA KARYA SURYA PRATAMA")</f>
        <v>PT BUANA KARYA SURYA PRATAMA</v>
      </c>
      <c r="D19" s="11">
        <f>IFERROR(__xludf.DUMMYFUNCTION("""COMPUTED_VALUE"""),201.0)</f>
        <v>201</v>
      </c>
      <c r="E19" s="11" t="str">
        <f>IFERROR(__xludf.DUMMYFUNCTION("""COMPUTED_VALUE"""),"JAUH")</f>
        <v>JAUH</v>
      </c>
      <c r="F19" s="11">
        <f>IFERROR(__xludf.DUMMYFUNCTION("""COMPUTED_VALUE"""),3.0)</f>
        <v>3</v>
      </c>
      <c r="G19" s="11">
        <f>IFERROR(__xludf.DUMMYFUNCTION("""COMPUTED_VALUE"""),2.0)</f>
        <v>2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50" t="str">
        <f>IFERROR(__xludf.DUMMYFUNCTION("""COMPUTED_VALUE"""),"AE 9401 UJ")</f>
        <v>AE 9401 UJ</v>
      </c>
      <c r="B20" s="50" t="str">
        <f>IFERROR(__xludf.DUMMYFUNCTION("""COMPUTED_VALUE"""),"TLPG TJ PERAK")</f>
        <v>TLPG TJ PERAK</v>
      </c>
      <c r="C20" s="50" t="str">
        <f>IFERROR(__xludf.DUMMYFUNCTION("""COMPUTED_VALUE"""),"PT SUMINAR MITRAGAS SELARAS")</f>
        <v>PT SUMINAR MITRAGAS SELARAS</v>
      </c>
      <c r="D20" s="11">
        <f>IFERROR(__xludf.DUMMYFUNCTION("""COMPUTED_VALUE"""),189.0)</f>
        <v>189</v>
      </c>
      <c r="E20" s="11" t="str">
        <f>IFERROR(__xludf.DUMMYFUNCTION("""COMPUTED_VALUE"""),"JAUH")</f>
        <v>JAUH</v>
      </c>
      <c r="F20" s="11">
        <f>IFERROR(__xludf.DUMMYFUNCTION("""COMPUTED_VALUE"""),3.0)</f>
        <v>3</v>
      </c>
      <c r="G20" s="11">
        <f>IFERROR(__xludf.DUMMYFUNCTION("""COMPUTED_VALUE"""),2.0)</f>
        <v>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50" t="str">
        <f>IFERROR(__xludf.DUMMYFUNCTION("""COMPUTED_VALUE"""),"AE 8828 UQ")</f>
        <v>AE 8828 UQ</v>
      </c>
      <c r="B21" s="50" t="str">
        <f>IFERROR(__xludf.DUMMYFUNCTION("""COMPUTED_VALUE"""),"TLPG TJ PERAK")</f>
        <v>TLPG TJ PERAK</v>
      </c>
      <c r="C21" s="50" t="str">
        <f>IFERROR(__xludf.DUMMYFUNCTION("""COMPUTED_VALUE"""),"PT SEKAWAN GAS NUSA")</f>
        <v>PT SEKAWAN GAS NUSA</v>
      </c>
      <c r="D21" s="11">
        <f>IFERROR(__xludf.DUMMYFUNCTION("""COMPUTED_VALUE"""),188.4)</f>
        <v>188.4</v>
      </c>
      <c r="E21" s="11" t="str">
        <f>IFERROR(__xludf.DUMMYFUNCTION("""COMPUTED_VALUE"""),"JAUH")</f>
        <v>JAUH</v>
      </c>
      <c r="F21" s="11">
        <f>IFERROR(__xludf.DUMMYFUNCTION("""COMPUTED_VALUE"""),3.0)</f>
        <v>3</v>
      </c>
      <c r="G21" s="11">
        <f>IFERROR(__xludf.DUMMYFUNCTION("""COMPUTED_VALUE"""),2.0)</f>
        <v>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50" t="str">
        <f>IFERROR(__xludf.DUMMYFUNCTION("""COMPUTED_VALUE"""),"AE 9634 UJ")</f>
        <v>AE 9634 UJ</v>
      </c>
      <c r="B22" s="50" t="str">
        <f>IFERROR(__xludf.DUMMYFUNCTION("""COMPUTED_VALUE"""),"TLPG TJ PERAK")</f>
        <v>TLPG TJ PERAK</v>
      </c>
      <c r="C22" s="50" t="str">
        <f>IFERROR(__xludf.DUMMYFUNCTION("""COMPUTED_VALUE"""),"PT KARYA USAHA MANDIRI LESTARI")</f>
        <v>PT KARYA USAHA MANDIRI LESTARI</v>
      </c>
      <c r="D22" s="11">
        <f>IFERROR(__xludf.DUMMYFUNCTION("""COMPUTED_VALUE"""),180.4)</f>
        <v>180.4</v>
      </c>
      <c r="E22" s="11" t="str">
        <f>IFERROR(__xludf.DUMMYFUNCTION("""COMPUTED_VALUE"""),"JAUH")</f>
        <v>JAUH</v>
      </c>
      <c r="F22" s="11">
        <f>IFERROR(__xludf.DUMMYFUNCTION("""COMPUTED_VALUE"""),3.0)</f>
        <v>3</v>
      </c>
      <c r="G22" s="11">
        <f>IFERROR(__xludf.DUMMYFUNCTION("""COMPUTED_VALUE"""),2.0)</f>
        <v>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50" t="str">
        <f>IFERROR(__xludf.DUMMYFUNCTION("""COMPUTED_VALUE"""),"AG 8032 YQ")</f>
        <v>AG 8032 YQ</v>
      </c>
      <c r="B23" s="50" t="str">
        <f>IFERROR(__xludf.DUMMYFUNCTION("""COMPUTED_VALUE"""),"TLPG TJ PERAK")</f>
        <v>TLPG TJ PERAK</v>
      </c>
      <c r="C23" s="50" t="str">
        <f>IFERROR(__xludf.DUMMYFUNCTION("""COMPUTED_VALUE"""),"PT BINTANG CIPTA PERSADA")</f>
        <v>PT BINTANG CIPTA PERSADA</v>
      </c>
      <c r="D23" s="11">
        <f>IFERROR(__xludf.DUMMYFUNCTION("""COMPUTED_VALUE"""),181.0)</f>
        <v>181</v>
      </c>
      <c r="E23" s="11" t="str">
        <f>IFERROR(__xludf.DUMMYFUNCTION("""COMPUTED_VALUE"""),"JAUH")</f>
        <v>JAUH</v>
      </c>
      <c r="F23" s="11">
        <f>IFERROR(__xludf.DUMMYFUNCTION("""COMPUTED_VALUE"""),3.0)</f>
        <v>3</v>
      </c>
      <c r="G23" s="11">
        <f>IFERROR(__xludf.DUMMYFUNCTION("""COMPUTED_VALUE"""),2.0)</f>
        <v>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50" t="str">
        <f>IFERROR(__xludf.DUMMYFUNCTION("""COMPUTED_VALUE"""),"AG 9312 UW")</f>
        <v>AG 9312 UW</v>
      </c>
      <c r="B24" s="50" t="str">
        <f>IFERROR(__xludf.DUMMYFUNCTION("""COMPUTED_VALUE"""),"TLPG TJ PERAK")</f>
        <v>TLPG TJ PERAK</v>
      </c>
      <c r="C24" s="50" t="str">
        <f>IFERROR(__xludf.DUMMYFUNCTION("""COMPUTED_VALUE"""),"PT LAJU")</f>
        <v>PT LAJU</v>
      </c>
      <c r="D24" s="11">
        <f>IFERROR(__xludf.DUMMYFUNCTION("""COMPUTED_VALUE"""),181.0)</f>
        <v>181</v>
      </c>
      <c r="E24" s="11" t="str">
        <f>IFERROR(__xludf.DUMMYFUNCTION("""COMPUTED_VALUE"""),"JAUH")</f>
        <v>JAUH</v>
      </c>
      <c r="F24" s="11">
        <f>IFERROR(__xludf.DUMMYFUNCTION("""COMPUTED_VALUE"""),3.0)</f>
        <v>3</v>
      </c>
      <c r="G24" s="11">
        <f>IFERROR(__xludf.DUMMYFUNCTION("""COMPUTED_VALUE"""),2.0)</f>
        <v>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50" t="str">
        <f>IFERROR(__xludf.DUMMYFUNCTION("""COMPUTED_VALUE"""),"L 9155 UB")</f>
        <v>L 9155 UB</v>
      </c>
      <c r="B25" s="50" t="str">
        <f>IFERROR(__xludf.DUMMYFUNCTION("""COMPUTED_VALUE"""),"TLPG TJ PERAK")</f>
        <v>TLPG TJ PERAK</v>
      </c>
      <c r="C25" s="50" t="str">
        <f>IFERROR(__xludf.DUMMYFUNCTION("""COMPUTED_VALUE"""),"PT AGUNG CATUR UTAMA GROUP")</f>
        <v>PT AGUNG CATUR UTAMA GROUP</v>
      </c>
      <c r="D25" s="11">
        <f>IFERROR(__xludf.DUMMYFUNCTION("""COMPUTED_VALUE"""),168.5)</f>
        <v>168.5</v>
      </c>
      <c r="E25" s="11" t="str">
        <f>IFERROR(__xludf.DUMMYFUNCTION("""COMPUTED_VALUE"""),"JAUH")</f>
        <v>JAUH</v>
      </c>
      <c r="F25" s="11">
        <f>IFERROR(__xludf.DUMMYFUNCTION("""COMPUTED_VALUE"""),3.0)</f>
        <v>3</v>
      </c>
      <c r="G25" s="11">
        <f>IFERROR(__xludf.DUMMYFUNCTION("""COMPUTED_VALUE"""),2.0)</f>
        <v>2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50" t="str">
        <f>IFERROR(__xludf.DUMMYFUNCTION("""COMPUTED_VALUE"""),"L 9718 UD")</f>
        <v>L 9718 UD</v>
      </c>
      <c r="B26" s="50" t="str">
        <f>IFERROR(__xludf.DUMMYFUNCTION("""COMPUTED_VALUE"""),"TLPG TJ PERAK")</f>
        <v>TLPG TJ PERAK</v>
      </c>
      <c r="C26" s="50" t="str">
        <f>IFERROR(__xludf.DUMMYFUNCTION("""COMPUTED_VALUE"""),"PT GEHA INTI CITRA")</f>
        <v>PT GEHA INTI CITRA</v>
      </c>
      <c r="D26" s="11">
        <f>IFERROR(__xludf.DUMMYFUNCTION("""COMPUTED_VALUE"""),173.6)</f>
        <v>173.6</v>
      </c>
      <c r="E26" s="11" t="str">
        <f>IFERROR(__xludf.DUMMYFUNCTION("""COMPUTED_VALUE"""),"JAUH")</f>
        <v>JAUH</v>
      </c>
      <c r="F26" s="11">
        <f>IFERROR(__xludf.DUMMYFUNCTION("""COMPUTED_VALUE"""),3.0)</f>
        <v>3</v>
      </c>
      <c r="G26" s="11">
        <f>IFERROR(__xludf.DUMMYFUNCTION("""COMPUTED_VALUE"""),2.0)</f>
        <v>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50" t="str">
        <f>IFERROR(__xludf.DUMMYFUNCTION("""COMPUTED_VALUE"""),"AG 8079 UZ")</f>
        <v>AG 8079 UZ</v>
      </c>
      <c r="B27" s="50" t="str">
        <f>IFERROR(__xludf.DUMMYFUNCTION("""COMPUTED_VALUE"""),"TLPG TJ PERAK")</f>
        <v>TLPG TJ PERAK</v>
      </c>
      <c r="C27" s="50" t="str">
        <f>IFERROR(__xludf.DUMMYFUNCTION("""COMPUTED_VALUE"""),"PT DIAN EL HADA")</f>
        <v>PT DIAN EL HADA</v>
      </c>
      <c r="D27" s="11">
        <f>IFERROR(__xludf.DUMMYFUNCTION("""COMPUTED_VALUE"""),173.6)</f>
        <v>173.6</v>
      </c>
      <c r="E27" s="11" t="str">
        <f>IFERROR(__xludf.DUMMYFUNCTION("""COMPUTED_VALUE"""),"JAUH")</f>
        <v>JAUH</v>
      </c>
      <c r="F27" s="11">
        <f>IFERROR(__xludf.DUMMYFUNCTION("""COMPUTED_VALUE"""),3.0)</f>
        <v>3</v>
      </c>
      <c r="G27" s="11">
        <f>IFERROR(__xludf.DUMMYFUNCTION("""COMPUTED_VALUE"""),3.0)</f>
        <v>3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50" t="str">
        <f>IFERROR(__xludf.DUMMYFUNCTION("""COMPUTED_VALUE"""),"AG 8152 UL")</f>
        <v>AG 8152 UL</v>
      </c>
      <c r="B28" s="50" t="str">
        <f>IFERROR(__xludf.DUMMYFUNCTION("""COMPUTED_VALUE"""),"TLPG TJ PERAK")</f>
        <v>TLPG TJ PERAK</v>
      </c>
      <c r="C28" s="50" t="str">
        <f>IFERROR(__xludf.DUMMYFUNCTION("""COMPUTED_VALUE"""),"PT RAMA MANGGALA GAS")</f>
        <v>PT RAMA MANGGALA GAS</v>
      </c>
      <c r="D28" s="11">
        <f>IFERROR(__xludf.DUMMYFUNCTION("""COMPUTED_VALUE"""),167.6)</f>
        <v>167.6</v>
      </c>
      <c r="E28" s="11" t="str">
        <f>IFERROR(__xludf.DUMMYFUNCTION("""COMPUTED_VALUE"""),"JAUH")</f>
        <v>JAUH</v>
      </c>
      <c r="F28" s="11">
        <f>IFERROR(__xludf.DUMMYFUNCTION("""COMPUTED_VALUE"""),3.0)</f>
        <v>3</v>
      </c>
      <c r="G28" s="11">
        <f>IFERROR(__xludf.DUMMYFUNCTION("""COMPUTED_VALUE"""),3.0)</f>
        <v>3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50" t="str">
        <f>IFERROR(__xludf.DUMMYFUNCTION("""COMPUTED_VALUE"""),"AG 8380 KL")</f>
        <v>AG 8380 KL</v>
      </c>
      <c r="B29" s="50" t="str">
        <f>IFERROR(__xludf.DUMMYFUNCTION("""COMPUTED_VALUE"""),"TLPG TJ PERAK")</f>
        <v>TLPG TJ PERAK</v>
      </c>
      <c r="C29" s="50" t="str">
        <f>IFERROR(__xludf.DUMMYFUNCTION("""COMPUTED_VALUE"""),"PT AGUNG CATUR UTAMA GROUP")</f>
        <v>PT AGUNG CATUR UTAMA GROUP</v>
      </c>
      <c r="D29" s="11">
        <f>IFERROR(__xludf.DUMMYFUNCTION("""COMPUTED_VALUE"""),168.5)</f>
        <v>168.5</v>
      </c>
      <c r="E29" s="11" t="str">
        <f>IFERROR(__xludf.DUMMYFUNCTION("""COMPUTED_VALUE"""),"JAUH")</f>
        <v>JAUH</v>
      </c>
      <c r="F29" s="11">
        <f>IFERROR(__xludf.DUMMYFUNCTION("""COMPUTED_VALUE"""),3.0)</f>
        <v>3</v>
      </c>
      <c r="G29" s="11">
        <f>IFERROR(__xludf.DUMMYFUNCTION("""COMPUTED_VALUE"""),3.0)</f>
        <v>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50" t="str">
        <f>IFERROR(__xludf.DUMMYFUNCTION("""COMPUTED_VALUE"""),"AG 8223 LB")</f>
        <v>AG 8223 LB</v>
      </c>
      <c r="B30" s="50" t="str">
        <f>IFERROR(__xludf.DUMMYFUNCTION("""COMPUTED_VALUE"""),"TLPG TJ PERAK")</f>
        <v>TLPG TJ PERAK</v>
      </c>
      <c r="C30" s="50" t="str">
        <f>IFERROR(__xludf.DUMMYFUNCTION("""COMPUTED_VALUE"""),"PT RAMA MANGGALA GAS")</f>
        <v>PT RAMA MANGGALA GAS</v>
      </c>
      <c r="D30" s="11">
        <f>IFERROR(__xludf.DUMMYFUNCTION("""COMPUTED_VALUE"""),167.6)</f>
        <v>167.6</v>
      </c>
      <c r="E30" s="11" t="str">
        <f>IFERROR(__xludf.DUMMYFUNCTION("""COMPUTED_VALUE"""),"JAUH")</f>
        <v>JAUH</v>
      </c>
      <c r="F30" s="11">
        <f>IFERROR(__xludf.DUMMYFUNCTION("""COMPUTED_VALUE"""),3.0)</f>
        <v>3</v>
      </c>
      <c r="G30" s="11">
        <f>IFERROR(__xludf.DUMMYFUNCTION("""COMPUTED_VALUE"""),4.0)</f>
        <v>4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50" t="str">
        <f>IFERROR(__xludf.DUMMYFUNCTION("""COMPUTED_VALUE"""),"AG 8654 UZ")</f>
        <v>AG 8654 UZ</v>
      </c>
      <c r="B31" s="50" t="str">
        <f>IFERROR(__xludf.DUMMYFUNCTION("""COMPUTED_VALUE"""),"TLPG TJ PERAK")</f>
        <v>TLPG TJ PERAK</v>
      </c>
      <c r="C31" s="50" t="str">
        <f>IFERROR(__xludf.DUMMYFUNCTION("""COMPUTED_VALUE"""),"PT DIAN EL HADA")</f>
        <v>PT DIAN EL HADA</v>
      </c>
      <c r="D31" s="11">
        <f>IFERROR(__xludf.DUMMYFUNCTION("""COMPUTED_VALUE"""),173.6)</f>
        <v>173.6</v>
      </c>
      <c r="E31" s="11" t="str">
        <f>IFERROR(__xludf.DUMMYFUNCTION("""COMPUTED_VALUE"""),"JAUH")</f>
        <v>JAUH</v>
      </c>
      <c r="F31" s="11">
        <f>IFERROR(__xludf.DUMMYFUNCTION("""COMPUTED_VALUE"""),3.0)</f>
        <v>3</v>
      </c>
      <c r="G31" s="11">
        <f>IFERROR(__xludf.DUMMYFUNCTION("""COMPUTED_VALUE"""),4.0)</f>
        <v>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50" t="str">
        <f>IFERROR(__xludf.DUMMYFUNCTION("""COMPUTED_VALUE"""),"AG 8701 UO")</f>
        <v>AG 8701 UO</v>
      </c>
      <c r="B32" s="50" t="str">
        <f>IFERROR(__xludf.DUMMYFUNCTION("""COMPUTED_VALUE"""),"TLPG TJ PERAK")</f>
        <v>TLPG TJ PERAK</v>
      </c>
      <c r="C32" s="50" t="str">
        <f>IFERROR(__xludf.DUMMYFUNCTION("""COMPUTED_VALUE"""),"PT MODERNA TEHNIK PERKASA")</f>
        <v>PT MODERNA TEHNIK PERKASA</v>
      </c>
      <c r="D32" s="11">
        <f>IFERROR(__xludf.DUMMYFUNCTION("""COMPUTED_VALUE"""),175.0)</f>
        <v>175</v>
      </c>
      <c r="E32" s="11" t="str">
        <f>IFERROR(__xludf.DUMMYFUNCTION("""COMPUTED_VALUE"""),"JAUH")</f>
        <v>JAUH</v>
      </c>
      <c r="F32" s="11">
        <f>IFERROR(__xludf.DUMMYFUNCTION("""COMPUTED_VALUE"""),3.0)</f>
        <v>3</v>
      </c>
      <c r="G32" s="11">
        <f>IFERROR(__xludf.DUMMYFUNCTION("""COMPUTED_VALUE"""),4.0)</f>
        <v>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50" t="str">
        <f>IFERROR(__xludf.DUMMYFUNCTION("""COMPUTED_VALUE"""),"AG 8702 UO")</f>
        <v>AG 8702 UO</v>
      </c>
      <c r="B33" s="50" t="str">
        <f>IFERROR(__xludf.DUMMYFUNCTION("""COMPUTED_VALUE"""),"TLPG TJ PERAK")</f>
        <v>TLPG TJ PERAK</v>
      </c>
      <c r="C33" s="50" t="str">
        <f>IFERROR(__xludf.DUMMYFUNCTION("""COMPUTED_VALUE"""),"PT MODERNA TEHNIK PERKASA")</f>
        <v>PT MODERNA TEHNIK PERKASA</v>
      </c>
      <c r="D33" s="11">
        <f>IFERROR(__xludf.DUMMYFUNCTION("""COMPUTED_VALUE"""),175.0)</f>
        <v>175</v>
      </c>
      <c r="E33" s="11" t="str">
        <f>IFERROR(__xludf.DUMMYFUNCTION("""COMPUTED_VALUE"""),"JAUH")</f>
        <v>JAUH</v>
      </c>
      <c r="F33" s="11">
        <f>IFERROR(__xludf.DUMMYFUNCTION("""COMPUTED_VALUE"""),3.0)</f>
        <v>3</v>
      </c>
      <c r="G33" s="11">
        <f>IFERROR(__xludf.DUMMYFUNCTION("""COMPUTED_VALUE"""),4.0)</f>
        <v>4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50" t="str">
        <f>IFERROR(__xludf.DUMMYFUNCTION("""COMPUTED_VALUE"""),"AG 8717 UO")</f>
        <v>AG 8717 UO</v>
      </c>
      <c r="B34" s="50" t="str">
        <f>IFERROR(__xludf.DUMMYFUNCTION("""COMPUTED_VALUE"""),"TLPG TJ PERAK")</f>
        <v>TLPG TJ PERAK</v>
      </c>
      <c r="C34" s="50" t="str">
        <f>IFERROR(__xludf.DUMMYFUNCTION("""COMPUTED_VALUE"""),"PT MODERNA TEHNIK PERKASA")</f>
        <v>PT MODERNA TEHNIK PERKASA</v>
      </c>
      <c r="D34" s="11">
        <f>IFERROR(__xludf.DUMMYFUNCTION("""COMPUTED_VALUE"""),175.0)</f>
        <v>175</v>
      </c>
      <c r="E34" s="11" t="str">
        <f>IFERROR(__xludf.DUMMYFUNCTION("""COMPUTED_VALUE"""),"JAUH")</f>
        <v>JAUH</v>
      </c>
      <c r="F34" s="11">
        <f>IFERROR(__xludf.DUMMYFUNCTION("""COMPUTED_VALUE"""),3.0)</f>
        <v>3</v>
      </c>
      <c r="G34" s="11">
        <f>IFERROR(__xludf.DUMMYFUNCTION("""COMPUTED_VALUE"""),4.0)</f>
        <v>4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50" t="str">
        <f>IFERROR(__xludf.DUMMYFUNCTION("""COMPUTED_VALUE"""),"AG 8817 UK")</f>
        <v>AG 8817 UK</v>
      </c>
      <c r="B35" s="50" t="str">
        <f>IFERROR(__xludf.DUMMYFUNCTION("""COMPUTED_VALUE"""),"TLPG TJ PERAK")</f>
        <v>TLPG TJ PERAK</v>
      </c>
      <c r="C35" s="50" t="str">
        <f>IFERROR(__xludf.DUMMYFUNCTION("""COMPUTED_VALUE"""),"PT RAMA MANGGALA GAS")</f>
        <v>PT RAMA MANGGALA GAS</v>
      </c>
      <c r="D35" s="11">
        <f>IFERROR(__xludf.DUMMYFUNCTION("""COMPUTED_VALUE"""),167.6)</f>
        <v>167.6</v>
      </c>
      <c r="E35" s="11" t="str">
        <f>IFERROR(__xludf.DUMMYFUNCTION("""COMPUTED_VALUE"""),"JAUH")</f>
        <v>JAUH</v>
      </c>
      <c r="F35" s="11">
        <f>IFERROR(__xludf.DUMMYFUNCTION("""COMPUTED_VALUE"""),3.0)</f>
        <v>3</v>
      </c>
      <c r="G35" s="11">
        <f>IFERROR(__xludf.DUMMYFUNCTION("""COMPUTED_VALUE"""),4.0)</f>
        <v>4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50" t="str">
        <f>IFERROR(__xludf.DUMMYFUNCTION("""COMPUTED_VALUE"""),"AG 8817 UT")</f>
        <v>AG 8817 UT</v>
      </c>
      <c r="B36" s="50" t="str">
        <f>IFERROR(__xludf.DUMMYFUNCTION("""COMPUTED_VALUE"""),"TLPG TJ PERAK")</f>
        <v>TLPG TJ PERAK</v>
      </c>
      <c r="C36" s="50" t="str">
        <f>IFERROR(__xludf.DUMMYFUNCTION("""COMPUTED_VALUE"""),"PT GANGSAR SENTOSA PETROLIUM")</f>
        <v>PT GANGSAR SENTOSA PETROLIUM</v>
      </c>
      <c r="D36" s="11">
        <f>IFERROR(__xludf.DUMMYFUNCTION("""COMPUTED_VALUE"""),167.1)</f>
        <v>167.1</v>
      </c>
      <c r="E36" s="11" t="str">
        <f>IFERROR(__xludf.DUMMYFUNCTION("""COMPUTED_VALUE"""),"JAUH")</f>
        <v>JAUH</v>
      </c>
      <c r="F36" s="11">
        <f>IFERROR(__xludf.DUMMYFUNCTION("""COMPUTED_VALUE"""),3.0)</f>
        <v>3</v>
      </c>
      <c r="G36" s="11">
        <f>IFERROR(__xludf.DUMMYFUNCTION("""COMPUTED_VALUE"""),4.0)</f>
        <v>4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50" t="str">
        <f>IFERROR(__xludf.DUMMYFUNCTION("""COMPUTED_VALUE"""),"AG 8818 UK")</f>
        <v>AG 8818 UK</v>
      </c>
      <c r="B37" s="50" t="str">
        <f>IFERROR(__xludf.DUMMYFUNCTION("""COMPUTED_VALUE"""),"TLPG TJ PERAK")</f>
        <v>TLPG TJ PERAK</v>
      </c>
      <c r="C37" s="50" t="str">
        <f>IFERROR(__xludf.DUMMYFUNCTION("""COMPUTED_VALUE"""),"PT RAMA MANGGALA GAS")</f>
        <v>PT RAMA MANGGALA GAS</v>
      </c>
      <c r="D37" s="11">
        <f>IFERROR(__xludf.DUMMYFUNCTION("""COMPUTED_VALUE"""),167.6)</f>
        <v>167.6</v>
      </c>
      <c r="E37" s="11" t="str">
        <f>IFERROR(__xludf.DUMMYFUNCTION("""COMPUTED_VALUE"""),"JAUH")</f>
        <v>JAUH</v>
      </c>
      <c r="F37" s="11">
        <f>IFERROR(__xludf.DUMMYFUNCTION("""COMPUTED_VALUE"""),3.0)</f>
        <v>3</v>
      </c>
      <c r="G37" s="11">
        <f>IFERROR(__xludf.DUMMYFUNCTION("""COMPUTED_VALUE"""),4.0)</f>
        <v>4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50" t="str">
        <f>IFERROR(__xludf.DUMMYFUNCTION("""COMPUTED_VALUE"""),"AG 8818 UT")</f>
        <v>AG 8818 UT</v>
      </c>
      <c r="B38" s="50" t="str">
        <f>IFERROR(__xludf.DUMMYFUNCTION("""COMPUTED_VALUE"""),"TLPG TJ PERAK")</f>
        <v>TLPG TJ PERAK</v>
      </c>
      <c r="C38" s="50" t="str">
        <f>IFERROR(__xludf.DUMMYFUNCTION("""COMPUTED_VALUE"""),"PT GANGSAR SENTOSA PETROLIUM")</f>
        <v>PT GANGSAR SENTOSA PETROLIUM</v>
      </c>
      <c r="D38" s="11">
        <f>IFERROR(__xludf.DUMMYFUNCTION("""COMPUTED_VALUE"""),167.1)</f>
        <v>167.1</v>
      </c>
      <c r="E38" s="11" t="str">
        <f>IFERROR(__xludf.DUMMYFUNCTION("""COMPUTED_VALUE"""),"JAUH")</f>
        <v>JAUH</v>
      </c>
      <c r="F38" s="11">
        <f>IFERROR(__xludf.DUMMYFUNCTION("""COMPUTED_VALUE"""),3.0)</f>
        <v>3</v>
      </c>
      <c r="G38" s="11">
        <f>IFERROR(__xludf.DUMMYFUNCTION("""COMPUTED_VALUE"""),4.0)</f>
        <v>4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50" t="str">
        <f>IFERROR(__xludf.DUMMYFUNCTION("""COMPUTED_VALUE"""),"L 8440 UD")</f>
        <v>L 8440 UD</v>
      </c>
      <c r="B39" s="50" t="str">
        <f>IFERROR(__xludf.DUMMYFUNCTION("""COMPUTED_VALUE"""),"TLPG MEM GRESIK")</f>
        <v>TLPG MEM GRESIK</v>
      </c>
      <c r="C39" s="50" t="str">
        <f>IFERROR(__xludf.DUMMYFUNCTION("""COMPUTED_VALUE"""),"PT BINA MAKMUR SENTOSA LESTARI")</f>
        <v>PT BINA MAKMUR SENTOSA LESTARI</v>
      </c>
      <c r="D39" s="11">
        <f>IFERROR(__xludf.DUMMYFUNCTION("""COMPUTED_VALUE"""),225.5)</f>
        <v>225.5</v>
      </c>
      <c r="E39" s="11" t="str">
        <f>IFERROR(__xludf.DUMMYFUNCTION("""COMPUTED_VALUE"""),"JAUH")</f>
        <v>JAUH</v>
      </c>
      <c r="F39" s="11">
        <f>IFERROR(__xludf.DUMMYFUNCTION("""COMPUTED_VALUE"""),3.0)</f>
        <v>3</v>
      </c>
      <c r="G39" s="11">
        <f>IFERROR(__xludf.DUMMYFUNCTION("""COMPUTED_VALUE"""),4.0)</f>
        <v>4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50" t="str">
        <f>IFERROR(__xludf.DUMMYFUNCTION("""COMPUTED_VALUE"""),"L 8537 UD")</f>
        <v>L 8537 UD</v>
      </c>
      <c r="B40" s="50" t="str">
        <f>IFERROR(__xludf.DUMMYFUNCTION("""COMPUTED_VALUE"""),"TLPG TJ PERAK")</f>
        <v>TLPG TJ PERAK</v>
      </c>
      <c r="C40" s="50" t="str">
        <f>IFERROR(__xludf.DUMMYFUNCTION("""COMPUTED_VALUE"""),"PT GOENADI GASINDO PRATAMA")</f>
        <v>PT GOENADI GASINDO PRATAMA</v>
      </c>
      <c r="D40" s="11">
        <f>IFERROR(__xludf.DUMMYFUNCTION("""COMPUTED_VALUE"""),181.0)</f>
        <v>181</v>
      </c>
      <c r="E40" s="11" t="str">
        <f>IFERROR(__xludf.DUMMYFUNCTION("""COMPUTED_VALUE"""),"JAUH")</f>
        <v>JAUH</v>
      </c>
      <c r="F40" s="11">
        <f>IFERROR(__xludf.DUMMYFUNCTION("""COMPUTED_VALUE"""),3.0)</f>
        <v>3</v>
      </c>
      <c r="G40" s="11">
        <f>IFERROR(__xludf.DUMMYFUNCTION("""COMPUTED_VALUE"""),4.0)</f>
        <v>4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50" t="str">
        <f>IFERROR(__xludf.DUMMYFUNCTION("""COMPUTED_VALUE"""),"N 8857 UR")</f>
        <v>N 8857 UR</v>
      </c>
      <c r="B41" s="50" t="str">
        <f>IFERROR(__xludf.DUMMYFUNCTION("""COMPUTED_VALUE"""),"TLPG TJ WANGI")</f>
        <v>TLPG TJ WANGI</v>
      </c>
      <c r="C41" s="50" t="str">
        <f>IFERROR(__xludf.DUMMYFUNCTION("""COMPUTED_VALUE"""),"PT BHUMI PERMATA INDAH")</f>
        <v>PT BHUMI PERMATA INDAH</v>
      </c>
      <c r="D41" s="11">
        <f>IFERROR(__xludf.DUMMYFUNCTION("""COMPUTED_VALUE"""),188.6)</f>
        <v>188.6</v>
      </c>
      <c r="E41" s="11" t="str">
        <f>IFERROR(__xludf.DUMMYFUNCTION("""COMPUTED_VALUE"""),"JAUH")</f>
        <v>JAUH</v>
      </c>
      <c r="F41" s="11">
        <f>IFERROR(__xludf.DUMMYFUNCTION("""COMPUTED_VALUE"""),3.0)</f>
        <v>3</v>
      </c>
      <c r="G41" s="11">
        <f>IFERROR(__xludf.DUMMYFUNCTION("""COMPUTED_VALUE"""),2.0)</f>
        <v>2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50" t="str">
        <f>IFERROR(__xludf.DUMMYFUNCTION("""COMPUTED_VALUE"""),"N 9287 UN")</f>
        <v>N 9287 UN</v>
      </c>
      <c r="B42" s="50" t="str">
        <f>IFERROR(__xludf.DUMMYFUNCTION("""COMPUTED_VALUE"""),"TLPG TJ WANGI")</f>
        <v>TLPG TJ WANGI</v>
      </c>
      <c r="C42" s="50" t="str">
        <f>IFERROR(__xludf.DUMMYFUNCTION("""COMPUTED_VALUE"""),"PT HAKAMINDO PETROCHEM")</f>
        <v>PT HAKAMINDO PETROCHEM</v>
      </c>
      <c r="D42" s="11">
        <f>IFERROR(__xludf.DUMMYFUNCTION("""COMPUTED_VALUE"""),171.9)</f>
        <v>171.9</v>
      </c>
      <c r="E42" s="11" t="str">
        <f>IFERROR(__xludf.DUMMYFUNCTION("""COMPUTED_VALUE"""),"JAUH")</f>
        <v>JAUH</v>
      </c>
      <c r="F42" s="11">
        <f>IFERROR(__xludf.DUMMYFUNCTION("""COMPUTED_VALUE"""),3.0)</f>
        <v>3</v>
      </c>
      <c r="G42" s="11">
        <f>IFERROR(__xludf.DUMMYFUNCTION("""COMPUTED_VALUE"""),4.0)</f>
        <v>4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50" t="str">
        <f>IFERROR(__xludf.DUMMYFUNCTION("""COMPUTED_VALUE"""),"N 9307 WD")</f>
        <v>N 9307 WD</v>
      </c>
      <c r="B43" s="50" t="str">
        <f>IFERROR(__xludf.DUMMYFUNCTION("""COMPUTED_VALUE"""),"TLPG TJ PERAK")</f>
        <v>TLPG TJ PERAK</v>
      </c>
      <c r="C43" s="50" t="str">
        <f>IFERROR(__xludf.DUMMYFUNCTION("""COMPUTED_VALUE"""),"PT TATA BERSAMA")</f>
        <v>PT TATA BERSAMA</v>
      </c>
      <c r="D43" s="11">
        <f>IFERROR(__xludf.DUMMYFUNCTION("""COMPUTED_VALUE"""),167.6)</f>
        <v>167.6</v>
      </c>
      <c r="E43" s="11" t="str">
        <f>IFERROR(__xludf.DUMMYFUNCTION("""COMPUTED_VALUE"""),"JAUH")</f>
        <v>JAUH</v>
      </c>
      <c r="F43" s="11">
        <f>IFERROR(__xludf.DUMMYFUNCTION("""COMPUTED_VALUE"""),3.0)</f>
        <v>3</v>
      </c>
      <c r="G43" s="11">
        <f>IFERROR(__xludf.DUMMYFUNCTION("""COMPUTED_VALUE"""),4.0)</f>
        <v>4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50" t="str">
        <f>IFERROR(__xludf.DUMMYFUNCTION("""COMPUTED_VALUE"""),"AE 8527 UJ")</f>
        <v>AE 8527 UJ</v>
      </c>
      <c r="B44" s="50" t="str">
        <f>IFERROR(__xludf.DUMMYFUNCTION("""COMPUTED_VALUE"""),"TLPG TJ PERAK")</f>
        <v>TLPG TJ PERAK</v>
      </c>
      <c r="C44" s="50" t="str">
        <f>IFERROR(__xludf.DUMMYFUNCTION("""COMPUTED_VALUE"""),"PT RAMA MANGGALA GAS")</f>
        <v>PT RAMA MANGGALA GAS</v>
      </c>
      <c r="D44" s="11">
        <f>IFERROR(__xludf.DUMMYFUNCTION("""COMPUTED_VALUE"""),167.6)</f>
        <v>167.6</v>
      </c>
      <c r="E44" s="11" t="str">
        <f>IFERROR(__xludf.DUMMYFUNCTION("""COMPUTED_VALUE"""),"JAUH")</f>
        <v>JAUH</v>
      </c>
      <c r="F44" s="11">
        <f>IFERROR(__xludf.DUMMYFUNCTION("""COMPUTED_VALUE"""),3.0)</f>
        <v>3</v>
      </c>
      <c r="G44" s="11">
        <f>IFERROR(__xludf.DUMMYFUNCTION("""COMPUTED_VALUE"""),5.0)</f>
        <v>5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50" t="str">
        <f>IFERROR(__xludf.DUMMYFUNCTION("""COMPUTED_VALUE"""),"AE 8858 UT")</f>
        <v>AE 8858 UT</v>
      </c>
      <c r="B45" s="50" t="str">
        <f>IFERROR(__xludf.DUMMYFUNCTION("""COMPUTED_VALUE"""),"TLPG TJ PERAK")</f>
        <v>TLPG TJ PERAK</v>
      </c>
      <c r="C45" s="50" t="str">
        <f>IFERROR(__xludf.DUMMYFUNCTION("""COMPUTED_VALUE"""),"PT GANGSAR SENTOSA PETROLIUM")</f>
        <v>PT GANGSAR SENTOSA PETROLIUM</v>
      </c>
      <c r="D45" s="11">
        <f>IFERROR(__xludf.DUMMYFUNCTION("""COMPUTED_VALUE"""),167.1)</f>
        <v>167.1</v>
      </c>
      <c r="E45" s="11" t="str">
        <f>IFERROR(__xludf.DUMMYFUNCTION("""COMPUTED_VALUE"""),"JAUH")</f>
        <v>JAUH</v>
      </c>
      <c r="F45" s="11">
        <f>IFERROR(__xludf.DUMMYFUNCTION("""COMPUTED_VALUE"""),3.0)</f>
        <v>3</v>
      </c>
      <c r="G45" s="11">
        <f>IFERROR(__xludf.DUMMYFUNCTION("""COMPUTED_VALUE"""),5.0)</f>
        <v>5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50" t="str">
        <f>IFERROR(__xludf.DUMMYFUNCTION("""COMPUTED_VALUE"""),"AG 9151 UL")</f>
        <v>AG 9151 UL</v>
      </c>
      <c r="B46" s="50" t="str">
        <f>IFERROR(__xludf.DUMMYFUNCTION("""COMPUTED_VALUE"""),"TLPG TJ PERAK")</f>
        <v>TLPG TJ PERAK</v>
      </c>
      <c r="C46" s="50" t="str">
        <f>IFERROR(__xludf.DUMMYFUNCTION("""COMPUTED_VALUE"""),"PT SUMINAR MITRAGAS SELARAS")</f>
        <v>PT SUMINAR MITRAGAS SELARAS</v>
      </c>
      <c r="D46" s="11">
        <f>IFERROR(__xludf.DUMMYFUNCTION("""COMPUTED_VALUE"""),189.0)</f>
        <v>189</v>
      </c>
      <c r="E46" s="11" t="str">
        <f>IFERROR(__xludf.DUMMYFUNCTION("""COMPUTED_VALUE"""),"JAUH")</f>
        <v>JAUH</v>
      </c>
      <c r="F46" s="11">
        <f>IFERROR(__xludf.DUMMYFUNCTION("""COMPUTED_VALUE"""),3.0)</f>
        <v>3</v>
      </c>
      <c r="G46" s="11">
        <f>IFERROR(__xludf.DUMMYFUNCTION("""COMPUTED_VALUE"""),5.0)</f>
        <v>5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50" t="str">
        <f>IFERROR(__xludf.DUMMYFUNCTION("""COMPUTED_VALUE"""),"AG 9153 UR")</f>
        <v>AG 9153 UR</v>
      </c>
      <c r="B47" s="50" t="str">
        <f>IFERROR(__xludf.DUMMYFUNCTION("""COMPUTED_VALUE"""),"TLPG TJ PERAK")</f>
        <v>TLPG TJ PERAK</v>
      </c>
      <c r="C47" s="50" t="str">
        <f>IFERROR(__xludf.DUMMYFUNCTION("""COMPUTED_VALUE"""),"PT GANGSAR SENTOSA PETROLIUM")</f>
        <v>PT GANGSAR SENTOSA PETROLIUM</v>
      </c>
      <c r="D47" s="11">
        <f>IFERROR(__xludf.DUMMYFUNCTION("""COMPUTED_VALUE"""),167.1)</f>
        <v>167.1</v>
      </c>
      <c r="E47" s="11" t="str">
        <f>IFERROR(__xludf.DUMMYFUNCTION("""COMPUTED_VALUE"""),"JAUH")</f>
        <v>JAUH</v>
      </c>
      <c r="F47" s="11">
        <f>IFERROR(__xludf.DUMMYFUNCTION("""COMPUTED_VALUE"""),3.0)</f>
        <v>3</v>
      </c>
      <c r="G47" s="11">
        <f>IFERROR(__xludf.DUMMYFUNCTION("""COMPUTED_VALUE"""),5.0)</f>
        <v>5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50" t="str">
        <f>IFERROR(__xludf.DUMMYFUNCTION("""COMPUTED_VALUE"""),"N 9910 UN")</f>
        <v>N 9910 UN</v>
      </c>
      <c r="B48" s="50" t="str">
        <f>IFERROR(__xludf.DUMMYFUNCTION("""COMPUTED_VALUE"""),"TLPG TJ WANGI")</f>
        <v>TLPG TJ WANGI</v>
      </c>
      <c r="C48" s="50" t="str">
        <f>IFERROR(__xludf.DUMMYFUNCTION("""COMPUTED_VALUE"""),"PT MAHKOTA MIGAS PERKASA")</f>
        <v>PT MAHKOTA MIGAS PERKASA</v>
      </c>
      <c r="D48" s="11">
        <f>IFERROR(__xludf.DUMMYFUNCTION("""COMPUTED_VALUE"""),189.8)</f>
        <v>189.8</v>
      </c>
      <c r="E48" s="11" t="str">
        <f>IFERROR(__xludf.DUMMYFUNCTION("""COMPUTED_VALUE"""),"JAUH")</f>
        <v>JAUH</v>
      </c>
      <c r="F48" s="11">
        <f>IFERROR(__xludf.DUMMYFUNCTION("""COMPUTED_VALUE"""),3.0)</f>
        <v>3</v>
      </c>
      <c r="G48" s="11">
        <f>IFERROR(__xludf.DUMMYFUNCTION("""COMPUTED_VALUE"""),5.0)</f>
        <v>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50" t="str">
        <f>IFERROR(__xludf.DUMMYFUNCTION("""COMPUTED_VALUE"""),"L 8892 UU")</f>
        <v>L 8892 UU</v>
      </c>
      <c r="B49" s="50" t="str">
        <f>IFERROR(__xludf.DUMMYFUNCTION("""COMPUTED_VALUE"""),"TLPG TJ PERAK")</f>
        <v>TLPG TJ PERAK</v>
      </c>
      <c r="C49" s="50" t="str">
        <f>IFERROR(__xludf.DUMMYFUNCTION("""COMPUTED_VALUE"""),"PT MUTUAL MAXEL")</f>
        <v>PT MUTUAL MAXEL</v>
      </c>
      <c r="D49" s="11">
        <f>IFERROR(__xludf.DUMMYFUNCTION("""COMPUTED_VALUE"""),161.5)</f>
        <v>161.5</v>
      </c>
      <c r="E49" s="11" t="str">
        <f>IFERROR(__xludf.DUMMYFUNCTION("""COMPUTED_VALUE"""),"JAUH")</f>
        <v>JAUH</v>
      </c>
      <c r="F49" s="11">
        <f>IFERROR(__xludf.DUMMYFUNCTION("""COMPUTED_VALUE"""),3.0)</f>
        <v>3</v>
      </c>
      <c r="G49" s="11">
        <f>IFERROR(__xludf.DUMMYFUNCTION("""COMPUTED_VALUE"""),6.0)</f>
        <v>6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50" t="str">
        <f>IFERROR(__xludf.DUMMYFUNCTION("""COMPUTED_VALUE"""),"L 9476 UL")</f>
        <v>L 9476 UL</v>
      </c>
      <c r="B50" s="50" t="str">
        <f>IFERROR(__xludf.DUMMYFUNCTION("""COMPUTED_VALUE"""),"TLPG TJ PERAK")</f>
        <v>TLPG TJ PERAK</v>
      </c>
      <c r="C50" s="50" t="str">
        <f>IFERROR(__xludf.DUMMYFUNCTION("""COMPUTED_VALUE"""),"PT HELA CITRA AGUNG")</f>
        <v>PT HELA CITRA AGUNG</v>
      </c>
      <c r="D50" s="11">
        <f>IFERROR(__xludf.DUMMYFUNCTION("""COMPUTED_VALUE"""),161.5)</f>
        <v>161.5</v>
      </c>
      <c r="E50" s="11" t="str">
        <f>IFERROR(__xludf.DUMMYFUNCTION("""COMPUTED_VALUE"""),"JAUH")</f>
        <v>JAUH</v>
      </c>
      <c r="F50" s="11">
        <f>IFERROR(__xludf.DUMMYFUNCTION("""COMPUTED_VALUE"""),3.0)</f>
        <v>3</v>
      </c>
      <c r="G50" s="11">
        <f>IFERROR(__xludf.DUMMYFUNCTION("""COMPUTED_VALUE"""),6.0)</f>
        <v>6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50" t="str">
        <f>IFERROR(__xludf.DUMMYFUNCTION("""COMPUTED_VALUE"""),"L 9489 UL")</f>
        <v>L 9489 UL</v>
      </c>
      <c r="B51" s="50" t="str">
        <f>IFERROR(__xludf.DUMMYFUNCTION("""COMPUTED_VALUE"""),"TLPG TJ PERAK")</f>
        <v>TLPG TJ PERAK</v>
      </c>
      <c r="C51" s="50" t="str">
        <f>IFERROR(__xludf.DUMMYFUNCTION("""COMPUTED_VALUE"""),"PT HELA CITRA AGUNG")</f>
        <v>PT HELA CITRA AGUNG</v>
      </c>
      <c r="D51" s="11">
        <f>IFERROR(__xludf.DUMMYFUNCTION("""COMPUTED_VALUE"""),161.5)</f>
        <v>161.5</v>
      </c>
      <c r="E51" s="11" t="str">
        <f>IFERROR(__xludf.DUMMYFUNCTION("""COMPUTED_VALUE"""),"JAUH")</f>
        <v>JAUH</v>
      </c>
      <c r="F51" s="11">
        <f>IFERROR(__xludf.DUMMYFUNCTION("""COMPUTED_VALUE"""),3.0)</f>
        <v>3</v>
      </c>
      <c r="G51" s="11">
        <f>IFERROR(__xludf.DUMMYFUNCTION("""COMPUTED_VALUE"""),6.0)</f>
        <v>6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50" t="str">
        <f>IFERROR(__xludf.DUMMYFUNCTION("""COMPUTED_VALUE"""),"L 9507 UL")</f>
        <v>L 9507 UL</v>
      </c>
      <c r="B52" s="50" t="str">
        <f>IFERROR(__xludf.DUMMYFUNCTION("""COMPUTED_VALUE"""),"TLPG TJ PERAK")</f>
        <v>TLPG TJ PERAK</v>
      </c>
      <c r="C52" s="50" t="str">
        <f>IFERROR(__xludf.DUMMYFUNCTION("""COMPUTED_VALUE"""),"PT HELA CITRA AGUNG")</f>
        <v>PT HELA CITRA AGUNG</v>
      </c>
      <c r="D52" s="11">
        <f>IFERROR(__xludf.DUMMYFUNCTION("""COMPUTED_VALUE"""),161.5)</f>
        <v>161.5</v>
      </c>
      <c r="E52" s="11" t="str">
        <f>IFERROR(__xludf.DUMMYFUNCTION("""COMPUTED_VALUE"""),"JAUH")</f>
        <v>JAUH</v>
      </c>
      <c r="F52" s="11">
        <f>IFERROR(__xludf.DUMMYFUNCTION("""COMPUTED_VALUE"""),3.0)</f>
        <v>3</v>
      </c>
      <c r="G52" s="11">
        <f>IFERROR(__xludf.DUMMYFUNCTION("""COMPUTED_VALUE"""),6.0)</f>
        <v>6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50" t="str">
        <f>IFERROR(__xludf.DUMMYFUNCTION("""COMPUTED_VALUE"""),"L 9521 UL")</f>
        <v>L 9521 UL</v>
      </c>
      <c r="B53" s="50" t="str">
        <f>IFERROR(__xludf.DUMMYFUNCTION("""COMPUTED_VALUE"""),"TLPG TJ PERAK")</f>
        <v>TLPG TJ PERAK</v>
      </c>
      <c r="C53" s="50" t="str">
        <f>IFERROR(__xludf.DUMMYFUNCTION("""COMPUTED_VALUE"""),"PT HELA CITRA AGUNG")</f>
        <v>PT HELA CITRA AGUNG</v>
      </c>
      <c r="D53" s="11">
        <f>IFERROR(__xludf.DUMMYFUNCTION("""COMPUTED_VALUE"""),161.5)</f>
        <v>161.5</v>
      </c>
      <c r="E53" s="11" t="str">
        <f>IFERROR(__xludf.DUMMYFUNCTION("""COMPUTED_VALUE"""),"JAUH")</f>
        <v>JAUH</v>
      </c>
      <c r="F53" s="11">
        <f>IFERROR(__xludf.DUMMYFUNCTION("""COMPUTED_VALUE"""),3.0)</f>
        <v>3</v>
      </c>
      <c r="G53" s="11">
        <f>IFERROR(__xludf.DUMMYFUNCTION("""COMPUTED_VALUE"""),6.0)</f>
        <v>6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50" t="str">
        <f>IFERROR(__xludf.DUMMYFUNCTION("""COMPUTED_VALUE"""),"L 9532 UL")</f>
        <v>L 9532 UL</v>
      </c>
      <c r="B54" s="50" t="str">
        <f>IFERROR(__xludf.DUMMYFUNCTION("""COMPUTED_VALUE"""),"TLPG TJ PERAK")</f>
        <v>TLPG TJ PERAK</v>
      </c>
      <c r="C54" s="50" t="str">
        <f>IFERROR(__xludf.DUMMYFUNCTION("""COMPUTED_VALUE"""),"PT HELA CITRA AGUNG")</f>
        <v>PT HELA CITRA AGUNG</v>
      </c>
      <c r="D54" s="11">
        <f>IFERROR(__xludf.DUMMYFUNCTION("""COMPUTED_VALUE"""),161.5)</f>
        <v>161.5</v>
      </c>
      <c r="E54" s="11" t="str">
        <f>IFERROR(__xludf.DUMMYFUNCTION("""COMPUTED_VALUE"""),"JAUH")</f>
        <v>JAUH</v>
      </c>
      <c r="F54" s="11">
        <f>IFERROR(__xludf.DUMMYFUNCTION("""COMPUTED_VALUE"""),3.0)</f>
        <v>3</v>
      </c>
      <c r="G54" s="11">
        <f>IFERROR(__xludf.DUMMYFUNCTION("""COMPUTED_VALUE"""),6.0)</f>
        <v>6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50" t="str">
        <f>IFERROR(__xludf.DUMMYFUNCTION("""COMPUTED_VALUE"""),"AE 8086 UT")</f>
        <v>AE 8086 UT</v>
      </c>
      <c r="B55" s="50" t="str">
        <f>IFERROR(__xludf.DUMMYFUNCTION("""COMPUTED_VALUE"""),"TLPG TJ PERAK")</f>
        <v>TLPG TJ PERAK</v>
      </c>
      <c r="C55" s="50" t="str">
        <f>IFERROR(__xludf.DUMMYFUNCTION("""COMPUTED_VALUE"""),"PT BUANA KARYA SURYA PRATAMA")</f>
        <v>PT BUANA KARYA SURYA PRATAMA</v>
      </c>
      <c r="D55" s="11">
        <f>IFERROR(__xludf.DUMMYFUNCTION("""COMPUTED_VALUE"""),201.0)</f>
        <v>201</v>
      </c>
      <c r="E55" s="11" t="str">
        <f>IFERROR(__xludf.DUMMYFUNCTION("""COMPUTED_VALUE"""),"JAUH")</f>
        <v>JAUH</v>
      </c>
      <c r="F55" s="11">
        <f>IFERROR(__xludf.DUMMYFUNCTION("""COMPUTED_VALUE"""),3.0)</f>
        <v>3</v>
      </c>
      <c r="G55" s="11">
        <f>IFERROR(__xludf.DUMMYFUNCTION("""COMPUTED_VALUE"""),7.0)</f>
        <v>7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50" t="str">
        <f>IFERROR(__xludf.DUMMYFUNCTION("""COMPUTED_VALUE"""),"M 8016 UV")</f>
        <v>M 8016 UV</v>
      </c>
      <c r="B56" s="50" t="str">
        <f>IFERROR(__xludf.DUMMYFUNCTION("""COMPUTED_VALUE"""),"TLPG TJ PERAK")</f>
        <v>TLPG TJ PERAK</v>
      </c>
      <c r="C56" s="50" t="str">
        <f>IFERROR(__xludf.DUMMYFUNCTION("""COMPUTED_VALUE"""),"PT MITRA MADURA DHARMA ABADI")</f>
        <v>PT MITRA MADURA DHARMA ABADI</v>
      </c>
      <c r="D56" s="11">
        <f>IFERROR(__xludf.DUMMYFUNCTION("""COMPUTED_VALUE"""),161.8)</f>
        <v>161.8</v>
      </c>
      <c r="E56" s="11" t="str">
        <f>IFERROR(__xludf.DUMMYFUNCTION("""COMPUTED_VALUE"""),"JAUH")</f>
        <v>JAUH</v>
      </c>
      <c r="F56" s="11">
        <f>IFERROR(__xludf.DUMMYFUNCTION("""COMPUTED_VALUE"""),3.0)</f>
        <v>3</v>
      </c>
      <c r="G56" s="11">
        <f>IFERROR(__xludf.DUMMYFUNCTION("""COMPUTED_VALUE"""),7.0)</f>
        <v>7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50" t="str">
        <f>IFERROR(__xludf.DUMMYFUNCTION("""COMPUTED_VALUE"""),"M 8978 UV")</f>
        <v>M 8978 UV</v>
      </c>
      <c r="B57" s="50" t="str">
        <f>IFERROR(__xludf.DUMMYFUNCTION("""COMPUTED_VALUE"""),"TLPG TJ PERAK")</f>
        <v>TLPG TJ PERAK</v>
      </c>
      <c r="C57" s="50" t="str">
        <f>IFERROR(__xludf.DUMMYFUNCTION("""COMPUTED_VALUE"""),"PT PERAK POLANA ALOMAMPA")</f>
        <v>PT PERAK POLANA ALOMAMPA</v>
      </c>
      <c r="D57" s="11">
        <f>IFERROR(__xludf.DUMMYFUNCTION("""COMPUTED_VALUE"""),155.6)</f>
        <v>155.6</v>
      </c>
      <c r="E57" s="11" t="str">
        <f>IFERROR(__xludf.DUMMYFUNCTION("""COMPUTED_VALUE"""),"JAUH")</f>
        <v>JAUH</v>
      </c>
      <c r="F57" s="11">
        <f>IFERROR(__xludf.DUMMYFUNCTION("""COMPUTED_VALUE"""),3.0)</f>
        <v>3</v>
      </c>
      <c r="G57" s="11">
        <f>IFERROR(__xludf.DUMMYFUNCTION("""COMPUTED_VALUE"""),7.0)</f>
        <v>7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50" t="str">
        <f>IFERROR(__xludf.DUMMYFUNCTION("""COMPUTED_VALUE"""),"M 9006 UV")</f>
        <v>M 9006 UV</v>
      </c>
      <c r="B58" s="50" t="str">
        <f>IFERROR(__xludf.DUMMYFUNCTION("""COMPUTED_VALUE"""),"TLPG TJ PERAK")</f>
        <v>TLPG TJ PERAK</v>
      </c>
      <c r="C58" s="50" t="str">
        <f>IFERROR(__xludf.DUMMYFUNCTION("""COMPUTED_VALUE"""),"PT PERAK POLANA ALOMAMPA")</f>
        <v>PT PERAK POLANA ALOMAMPA</v>
      </c>
      <c r="D58" s="11">
        <f>IFERROR(__xludf.DUMMYFUNCTION("""COMPUTED_VALUE"""),155.6)</f>
        <v>155.6</v>
      </c>
      <c r="E58" s="11" t="str">
        <f>IFERROR(__xludf.DUMMYFUNCTION("""COMPUTED_VALUE"""),"JAUH")</f>
        <v>JAUH</v>
      </c>
      <c r="F58" s="11">
        <f>IFERROR(__xludf.DUMMYFUNCTION("""COMPUTED_VALUE"""),3.0)</f>
        <v>3</v>
      </c>
      <c r="G58" s="11">
        <f>IFERROR(__xludf.DUMMYFUNCTION("""COMPUTED_VALUE"""),7.0)</f>
        <v>7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50" t="str">
        <f>IFERROR(__xludf.DUMMYFUNCTION("""COMPUTED_VALUE"""),"M 9026 UV")</f>
        <v>M 9026 UV</v>
      </c>
      <c r="B59" s="50" t="str">
        <f>IFERROR(__xludf.DUMMYFUNCTION("""COMPUTED_VALUE"""),"TLPG TJ PERAK")</f>
        <v>TLPG TJ PERAK</v>
      </c>
      <c r="C59" s="50" t="str">
        <f>IFERROR(__xludf.DUMMYFUNCTION("""COMPUTED_VALUE"""),"PT MITRA MADURA DHARMA ABADI")</f>
        <v>PT MITRA MADURA DHARMA ABADI</v>
      </c>
      <c r="D59" s="11">
        <f>IFERROR(__xludf.DUMMYFUNCTION("""COMPUTED_VALUE"""),161.8)</f>
        <v>161.8</v>
      </c>
      <c r="E59" s="11" t="str">
        <f>IFERROR(__xludf.DUMMYFUNCTION("""COMPUTED_VALUE"""),"JAUH")</f>
        <v>JAUH</v>
      </c>
      <c r="F59" s="11">
        <f>IFERROR(__xludf.DUMMYFUNCTION("""COMPUTED_VALUE"""),3.0)</f>
        <v>3</v>
      </c>
      <c r="G59" s="11">
        <f>IFERROR(__xludf.DUMMYFUNCTION("""COMPUTED_VALUE"""),7.0)</f>
        <v>7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50" t="str">
        <f>IFERROR(__xludf.DUMMYFUNCTION("""COMPUTED_VALUE"""),"M 9028 UV")</f>
        <v>M 9028 UV</v>
      </c>
      <c r="B60" s="50" t="str">
        <f>IFERROR(__xludf.DUMMYFUNCTION("""COMPUTED_VALUE"""),"TLPG TJ PERAK")</f>
        <v>TLPG TJ PERAK</v>
      </c>
      <c r="C60" s="50" t="str">
        <f>IFERROR(__xludf.DUMMYFUNCTION("""COMPUTED_VALUE"""),"PT MITRA MADURA DHARMA ABADI")</f>
        <v>PT MITRA MADURA DHARMA ABADI</v>
      </c>
      <c r="D60" s="11">
        <f>IFERROR(__xludf.DUMMYFUNCTION("""COMPUTED_VALUE"""),161.8)</f>
        <v>161.8</v>
      </c>
      <c r="E60" s="11" t="str">
        <f>IFERROR(__xludf.DUMMYFUNCTION("""COMPUTED_VALUE"""),"JAUH")</f>
        <v>JAUH</v>
      </c>
      <c r="F60" s="11">
        <f>IFERROR(__xludf.DUMMYFUNCTION("""COMPUTED_VALUE"""),3.0)</f>
        <v>3</v>
      </c>
      <c r="G60" s="11">
        <f>IFERROR(__xludf.DUMMYFUNCTION("""COMPUTED_VALUE"""),7.0)</f>
        <v>7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50" t="str">
        <f>IFERROR(__xludf.DUMMYFUNCTION("""COMPUTED_VALUE"""),"M 9321 UV")</f>
        <v>M 9321 UV</v>
      </c>
      <c r="B61" s="50" t="str">
        <f>IFERROR(__xludf.DUMMYFUNCTION("""COMPUTED_VALUE"""),"TLPG TJ PERAK")</f>
        <v>TLPG TJ PERAK</v>
      </c>
      <c r="C61" s="50" t="str">
        <f>IFERROR(__xludf.DUMMYFUNCTION("""COMPUTED_VALUE"""),"PT PERAK POLANA ALOMAMPA")</f>
        <v>PT PERAK POLANA ALOMAMPA</v>
      </c>
      <c r="D61" s="11">
        <f>IFERROR(__xludf.DUMMYFUNCTION("""COMPUTED_VALUE"""),155.6)</f>
        <v>155.6</v>
      </c>
      <c r="E61" s="11" t="str">
        <f>IFERROR(__xludf.DUMMYFUNCTION("""COMPUTED_VALUE"""),"JAUH")</f>
        <v>JAUH</v>
      </c>
      <c r="F61" s="11">
        <f>IFERROR(__xludf.DUMMYFUNCTION("""COMPUTED_VALUE"""),3.0)</f>
        <v>3</v>
      </c>
      <c r="G61" s="11">
        <f>IFERROR(__xludf.DUMMYFUNCTION("""COMPUTED_VALUE"""),7.0)</f>
        <v>7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50" t="str">
        <f>IFERROR(__xludf.DUMMYFUNCTION("""COMPUTED_VALUE"""),"M 9352 UV")</f>
        <v>M 9352 UV</v>
      </c>
      <c r="B62" s="50" t="str">
        <f>IFERROR(__xludf.DUMMYFUNCTION("""COMPUTED_VALUE"""),"TLPG TJ PERAK")</f>
        <v>TLPG TJ PERAK</v>
      </c>
      <c r="C62" s="50" t="str">
        <f>IFERROR(__xludf.DUMMYFUNCTION("""COMPUTED_VALUE"""),"PT MITRA MADURA DHARMA ABADI")</f>
        <v>PT MITRA MADURA DHARMA ABADI</v>
      </c>
      <c r="D62" s="11">
        <f>IFERROR(__xludf.DUMMYFUNCTION("""COMPUTED_VALUE"""),161.8)</f>
        <v>161.8</v>
      </c>
      <c r="E62" s="11" t="str">
        <f>IFERROR(__xludf.DUMMYFUNCTION("""COMPUTED_VALUE"""),"JAUH")</f>
        <v>JAUH</v>
      </c>
      <c r="F62" s="11">
        <f>IFERROR(__xludf.DUMMYFUNCTION("""COMPUTED_VALUE"""),3.0)</f>
        <v>3</v>
      </c>
      <c r="G62" s="11">
        <f>IFERROR(__xludf.DUMMYFUNCTION("""COMPUTED_VALUE"""),7.0)</f>
        <v>7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50" t="str">
        <f>IFERROR(__xludf.DUMMYFUNCTION("""COMPUTED_VALUE"""),"N 8041 UZ")</f>
        <v>N 8041 UZ</v>
      </c>
      <c r="B63" s="50" t="str">
        <f>IFERROR(__xludf.DUMMYFUNCTION("""COMPUTED_VALUE"""),"TLPG MEM GRESIK")</f>
        <v>TLPG MEM GRESIK</v>
      </c>
      <c r="C63" s="50" t="str">
        <f>IFERROR(__xludf.DUMMYFUNCTION("""COMPUTED_VALUE"""),"PT SINAR AGUNG PUTRA ABADI")</f>
        <v>PT SINAR AGUNG PUTRA ABADI</v>
      </c>
      <c r="D63" s="11">
        <f>IFERROR(__xludf.DUMMYFUNCTION("""COMPUTED_VALUE"""),173.6)</f>
        <v>173.6</v>
      </c>
      <c r="E63" s="11" t="str">
        <f>IFERROR(__xludf.DUMMYFUNCTION("""COMPUTED_VALUE"""),"JAUH")</f>
        <v>JAUH</v>
      </c>
      <c r="F63" s="11">
        <f>IFERROR(__xludf.DUMMYFUNCTION("""COMPUTED_VALUE"""),3.0)</f>
        <v>3</v>
      </c>
      <c r="G63" s="11">
        <f>IFERROR(__xludf.DUMMYFUNCTION("""COMPUTED_VALUE"""),8.0)</f>
        <v>8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50" t="str">
        <f>IFERROR(__xludf.DUMMYFUNCTION("""COMPUTED_VALUE"""),"AG 8913 UK")</f>
        <v>AG 8913 UK</v>
      </c>
      <c r="B64" s="50" t="str">
        <f>IFERROR(__xludf.DUMMYFUNCTION("""COMPUTED_VALUE"""),"TLPG TJ PERAK")</f>
        <v>TLPG TJ PERAK</v>
      </c>
      <c r="C64" s="50" t="str">
        <f>IFERROR(__xludf.DUMMYFUNCTION("""COMPUTED_VALUE"""),"PT RACHMASARI BRASS INDONESIA")</f>
        <v>PT RACHMASARI BRASS INDONESIA</v>
      </c>
      <c r="D64" s="11">
        <f>IFERROR(__xludf.DUMMYFUNCTION("""COMPUTED_VALUE"""),167.6)</f>
        <v>167.6</v>
      </c>
      <c r="E64" s="11" t="str">
        <f>IFERROR(__xludf.DUMMYFUNCTION("""COMPUTED_VALUE"""),"JAUH")</f>
        <v>JAUH</v>
      </c>
      <c r="F64" s="11">
        <f>IFERROR(__xludf.DUMMYFUNCTION("""COMPUTED_VALUE"""),3.0)</f>
        <v>3</v>
      </c>
      <c r="G64" s="11">
        <f>IFERROR(__xludf.DUMMYFUNCTION("""COMPUTED_VALUE"""),9.0)</f>
        <v>9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50" t="str">
        <f>IFERROR(__xludf.DUMMYFUNCTION("""COMPUTED_VALUE"""),"P 8208 UG")</f>
        <v>P 8208 UG</v>
      </c>
      <c r="B65" s="50" t="str">
        <f>IFERROR(__xludf.DUMMYFUNCTION("""COMPUTED_VALUE"""),"TLPG MEM GRESIK")</f>
        <v>TLPG MEM GRESIK</v>
      </c>
      <c r="C65" s="50" t="str">
        <f>IFERROR(__xludf.DUMMYFUNCTION("""COMPUTED_VALUE"""),"PT TRI TUNGGAL ARGOPURO MANDIRI")</f>
        <v>PT TRI TUNGGAL ARGOPURO MANDIRI</v>
      </c>
      <c r="D65" s="11">
        <f>IFERROR(__xludf.DUMMYFUNCTION("""COMPUTED_VALUE"""),202.3)</f>
        <v>202.3</v>
      </c>
      <c r="E65" s="11" t="str">
        <f>IFERROR(__xludf.DUMMYFUNCTION("""COMPUTED_VALUE"""),"JAUH")</f>
        <v>JAUH</v>
      </c>
      <c r="F65" s="11">
        <f>IFERROR(__xludf.DUMMYFUNCTION("""COMPUTED_VALUE"""),3.0)</f>
        <v>3</v>
      </c>
      <c r="G65" s="11">
        <f>IFERROR(__xludf.DUMMYFUNCTION("""COMPUTED_VALUE"""),10.0)</f>
        <v>10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50" t="str">
        <f>IFERROR(__xludf.DUMMYFUNCTION("""COMPUTED_VALUE"""),"P 8435 UA")</f>
        <v>P 8435 UA</v>
      </c>
      <c r="B66" s="50" t="str">
        <f>IFERROR(__xludf.DUMMYFUNCTION("""COMPUTED_VALUE"""),"TLPG MEM GRESIK")</f>
        <v>TLPG MEM GRESIK</v>
      </c>
      <c r="C66" s="50" t="str">
        <f>IFERROR(__xludf.DUMMYFUNCTION("""COMPUTED_VALUE"""),"PT ARIA ENERGY PERSADA")</f>
        <v>PT ARIA ENERGY PERSADA</v>
      </c>
      <c r="D66" s="11">
        <f>IFERROR(__xludf.DUMMYFUNCTION("""COMPUTED_VALUE"""),235.0)</f>
        <v>235</v>
      </c>
      <c r="E66" s="11" t="str">
        <f>IFERROR(__xludf.DUMMYFUNCTION("""COMPUTED_VALUE"""),"JAUH")</f>
        <v>JAUH</v>
      </c>
      <c r="F66" s="11">
        <f>IFERROR(__xludf.DUMMYFUNCTION("""COMPUTED_VALUE"""),3.0)</f>
        <v>3</v>
      </c>
      <c r="G66" s="11">
        <f>IFERROR(__xludf.DUMMYFUNCTION("""COMPUTED_VALUE"""),10.0)</f>
        <v>10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50" t="str">
        <f>IFERROR(__xludf.DUMMYFUNCTION("""COMPUTED_VALUE"""),"P 9114 UG")</f>
        <v>P 9114 UG</v>
      </c>
      <c r="B67" s="50" t="str">
        <f>IFERROR(__xludf.DUMMYFUNCTION("""COMPUTED_VALUE"""),"TLPG MEM GRESIK")</f>
        <v>TLPG MEM GRESIK</v>
      </c>
      <c r="C67" s="50" t="str">
        <f>IFERROR(__xludf.DUMMYFUNCTION("""COMPUTED_VALUE"""),"PT TRI TUNGGAL ARGOPURO MANDIRI")</f>
        <v>PT TRI TUNGGAL ARGOPURO MANDIRI</v>
      </c>
      <c r="D67" s="11">
        <f>IFERROR(__xludf.DUMMYFUNCTION("""COMPUTED_VALUE"""),202.3)</f>
        <v>202.3</v>
      </c>
      <c r="E67" s="11" t="str">
        <f>IFERROR(__xludf.DUMMYFUNCTION("""COMPUTED_VALUE"""),"JAUH")</f>
        <v>JAUH</v>
      </c>
      <c r="F67" s="11">
        <f>IFERROR(__xludf.DUMMYFUNCTION("""COMPUTED_VALUE"""),3.0)</f>
        <v>3</v>
      </c>
      <c r="G67" s="11">
        <f>IFERROR(__xludf.DUMMYFUNCTION("""COMPUTED_VALUE"""),11.0)</f>
        <v>11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50" t="str">
        <f>IFERROR(__xludf.DUMMYFUNCTION("""COMPUTED_VALUE"""),"N 8025 UZ")</f>
        <v>N 8025 UZ</v>
      </c>
      <c r="B68" s="50" t="str">
        <f>IFERROR(__xludf.DUMMYFUNCTION("""COMPUTED_VALUE"""),"TLPG MEM GRESIK")</f>
        <v>TLPG MEM GRESIK</v>
      </c>
      <c r="C68" s="50" t="str">
        <f>IFERROR(__xludf.DUMMYFUNCTION("""COMPUTED_VALUE"""),"PT SINAR AGUNG PUTRA ABADI")</f>
        <v>PT SINAR AGUNG PUTRA ABADI</v>
      </c>
      <c r="D68" s="11">
        <f>IFERROR(__xludf.DUMMYFUNCTION("""COMPUTED_VALUE"""),173.6)</f>
        <v>173.6</v>
      </c>
      <c r="E68" s="11" t="str">
        <f>IFERROR(__xludf.DUMMYFUNCTION("""COMPUTED_VALUE"""),"JAUH")</f>
        <v>JAUH</v>
      </c>
      <c r="F68" s="11">
        <f>IFERROR(__xludf.DUMMYFUNCTION("""COMPUTED_VALUE"""),3.0)</f>
        <v>3</v>
      </c>
      <c r="G68" s="11">
        <f>IFERROR(__xludf.DUMMYFUNCTION("""COMPUTED_VALUE"""),12.0)</f>
        <v>12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50" t="str">
        <f>IFERROR(__xludf.DUMMYFUNCTION("""COMPUTED_VALUE"""),"W 8057 UD")</f>
        <v>W 8057 UD</v>
      </c>
      <c r="B69" s="50" t="str">
        <f>IFERROR(__xludf.DUMMYFUNCTION("""COMPUTED_VALUE"""),"TLPG BIMA")</f>
        <v>TLPG BIMA</v>
      </c>
      <c r="C69" s="50" t="str">
        <f>IFERROR(__xludf.DUMMYFUNCTION("""COMPUTED_VALUE"""),"PT. SUMBAWA DUTA ENERGI")</f>
        <v>PT. SUMBAWA DUTA ENERGI</v>
      </c>
      <c r="D69" s="11">
        <f>IFERROR(__xludf.DUMMYFUNCTION("""COMPUTED_VALUE"""),240.9)</f>
        <v>240.9</v>
      </c>
      <c r="E69" s="11" t="str">
        <f>IFERROR(__xludf.DUMMYFUNCTION("""COMPUTED_VALUE"""),"JAUH")</f>
        <v>JAUH</v>
      </c>
      <c r="F69" s="11">
        <f>IFERROR(__xludf.DUMMYFUNCTION("""COMPUTED_VALUE"""),3.0)</f>
        <v>3</v>
      </c>
      <c r="G69" s="11">
        <f>IFERROR(__xludf.DUMMYFUNCTION("""COMPUTED_VALUE"""),12.0)</f>
        <v>12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list" allowBlank="1" showErrorMessage="1" sqref="I1">
      <formula1>"JAUH,SEDANG,DEKAT"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4.75"/>
    <col customWidth="1" min="3" max="3" width="16.5"/>
  </cols>
  <sheetData>
    <row r="3">
      <c r="A3" s="23" t="s">
        <v>1</v>
      </c>
      <c r="B3" s="23" t="s">
        <v>35</v>
      </c>
    </row>
    <row r="4">
      <c r="A4" s="23">
        <v>1.0</v>
      </c>
      <c r="B4" s="23" t="s">
        <v>26</v>
      </c>
      <c r="C4" s="23" t="s">
        <v>25</v>
      </c>
    </row>
    <row r="5">
      <c r="A5" s="23">
        <v>2.0</v>
      </c>
      <c r="B5" s="23" t="s">
        <v>70</v>
      </c>
      <c r="C5" s="23" t="s">
        <v>25</v>
      </c>
    </row>
    <row r="6">
      <c r="A6" s="23">
        <v>3.0</v>
      </c>
      <c r="B6" s="23" t="s">
        <v>61</v>
      </c>
      <c r="C6" s="23" t="s">
        <v>28</v>
      </c>
    </row>
    <row r="7">
      <c r="A7" s="23">
        <v>4.0</v>
      </c>
      <c r="B7" s="23" t="s">
        <v>63</v>
      </c>
      <c r="C7" s="23" t="s">
        <v>25</v>
      </c>
    </row>
    <row r="8">
      <c r="A8" s="23">
        <v>5.0</v>
      </c>
      <c r="B8" s="23" t="s">
        <v>73</v>
      </c>
      <c r="C8" s="23" t="s">
        <v>7</v>
      </c>
    </row>
    <row r="9">
      <c r="A9" s="23">
        <v>6.0</v>
      </c>
      <c r="B9" s="23" t="s">
        <v>92</v>
      </c>
      <c r="C9" s="23" t="s">
        <v>25</v>
      </c>
    </row>
    <row r="10">
      <c r="A10" s="23">
        <v>7.0</v>
      </c>
      <c r="B10" s="23" t="s">
        <v>129</v>
      </c>
      <c r="C10" s="23" t="s">
        <v>25</v>
      </c>
    </row>
    <row r="11">
      <c r="A11" s="23">
        <v>8.0</v>
      </c>
      <c r="B11" s="23" t="s">
        <v>130</v>
      </c>
      <c r="C11" s="23" t="s">
        <v>25</v>
      </c>
    </row>
    <row r="12">
      <c r="A12" s="23">
        <v>9.0</v>
      </c>
      <c r="B12" s="23" t="s">
        <v>146</v>
      </c>
      <c r="C12" s="23" t="s">
        <v>25</v>
      </c>
    </row>
    <row r="13">
      <c r="A13" s="23">
        <v>10.0</v>
      </c>
      <c r="B13" s="23" t="s">
        <v>147</v>
      </c>
      <c r="C13" s="23" t="s">
        <v>25</v>
      </c>
    </row>
    <row r="14">
      <c r="A14" s="23">
        <v>11.0</v>
      </c>
      <c r="B14" s="23" t="s">
        <v>172</v>
      </c>
      <c r="C14" s="23" t="s">
        <v>7</v>
      </c>
    </row>
    <row r="15">
      <c r="A15" s="23">
        <v>12.0</v>
      </c>
      <c r="B15" s="23" t="s">
        <v>211</v>
      </c>
      <c r="C15" s="23" t="s">
        <v>25</v>
      </c>
    </row>
    <row r="16">
      <c r="A16" s="23">
        <v>13.0</v>
      </c>
      <c r="B16" s="23" t="s">
        <v>221</v>
      </c>
      <c r="C16" s="23" t="s">
        <v>7</v>
      </c>
    </row>
    <row r="17">
      <c r="A17" s="23">
        <v>14.0</v>
      </c>
      <c r="B17" s="23" t="s">
        <v>253</v>
      </c>
      <c r="C17" s="23" t="s">
        <v>25</v>
      </c>
    </row>
    <row r="18">
      <c r="A18" s="23">
        <v>15.0</v>
      </c>
      <c r="B18" s="23" t="s">
        <v>325</v>
      </c>
      <c r="C18" s="23" t="s">
        <v>7</v>
      </c>
    </row>
  </sheetData>
  <mergeCells count="1">
    <mergeCell ref="B3:D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33.88"/>
  </cols>
  <sheetData>
    <row r="2">
      <c r="A2" s="47" t="s">
        <v>12</v>
      </c>
      <c r="B2" s="47" t="s">
        <v>515</v>
      </c>
      <c r="C2" s="47"/>
      <c r="E2" s="47"/>
      <c r="F2" s="47"/>
    </row>
    <row r="3">
      <c r="A3" s="9" t="s">
        <v>470</v>
      </c>
      <c r="B3" s="23" t="s">
        <v>516</v>
      </c>
    </row>
    <row r="4">
      <c r="A4" s="9" t="s">
        <v>327</v>
      </c>
      <c r="B4" s="23" t="s">
        <v>517</v>
      </c>
    </row>
    <row r="5">
      <c r="A5" s="9" t="s">
        <v>489</v>
      </c>
      <c r="B5" s="23" t="s">
        <v>518</v>
      </c>
    </row>
    <row r="6">
      <c r="A6" s="9" t="s">
        <v>420</v>
      </c>
      <c r="B6" s="23" t="s">
        <v>519</v>
      </c>
    </row>
    <row r="7">
      <c r="A7" s="9" t="s">
        <v>359</v>
      </c>
      <c r="B7" s="23" t="s">
        <v>520</v>
      </c>
    </row>
    <row r="8">
      <c r="A8" s="9" t="s">
        <v>494</v>
      </c>
      <c r="B8" s="23" t="s">
        <v>521</v>
      </c>
    </row>
    <row r="9">
      <c r="A9" s="9" t="s">
        <v>462</v>
      </c>
      <c r="B9" s="23" t="s">
        <v>522</v>
      </c>
    </row>
    <row r="10">
      <c r="A10" s="9" t="s">
        <v>460</v>
      </c>
      <c r="B10" s="23" t="s">
        <v>523</v>
      </c>
    </row>
    <row r="11">
      <c r="A11" s="9" t="s">
        <v>450</v>
      </c>
      <c r="B11" s="23" t="s">
        <v>524</v>
      </c>
    </row>
    <row r="12">
      <c r="A12" s="9" t="s">
        <v>161</v>
      </c>
      <c r="B12" s="23" t="s">
        <v>525</v>
      </c>
    </row>
    <row r="13">
      <c r="A13" s="9" t="s">
        <v>444</v>
      </c>
      <c r="B13" s="23" t="s">
        <v>526</v>
      </c>
    </row>
    <row r="14">
      <c r="A14" s="9" t="s">
        <v>443</v>
      </c>
      <c r="B14" s="23" t="s">
        <v>527</v>
      </c>
    </row>
    <row r="15">
      <c r="A15" s="9" t="s">
        <v>442</v>
      </c>
      <c r="B15" s="23" t="s">
        <v>528</v>
      </c>
    </row>
    <row r="16">
      <c r="A16" s="9" t="s">
        <v>465</v>
      </c>
      <c r="B16" s="23" t="s">
        <v>529</v>
      </c>
    </row>
    <row r="17">
      <c r="A17" s="9" t="s">
        <v>475</v>
      </c>
      <c r="B17" s="23" t="s">
        <v>530</v>
      </c>
    </row>
    <row r="18">
      <c r="A18" s="9" t="s">
        <v>271</v>
      </c>
      <c r="B18" s="23" t="s">
        <v>531</v>
      </c>
    </row>
    <row r="19">
      <c r="A19" s="9" t="s">
        <v>329</v>
      </c>
      <c r="B19" s="23" t="s">
        <v>532</v>
      </c>
    </row>
    <row r="20">
      <c r="A20" s="9" t="s">
        <v>168</v>
      </c>
      <c r="B20" s="23" t="s">
        <v>533</v>
      </c>
    </row>
    <row r="21">
      <c r="A21" s="9" t="s">
        <v>509</v>
      </c>
      <c r="B21" s="23" t="s">
        <v>534</v>
      </c>
    </row>
    <row r="22">
      <c r="A22" s="9" t="s">
        <v>215</v>
      </c>
      <c r="B22" s="23" t="s">
        <v>535</v>
      </c>
    </row>
    <row r="23">
      <c r="A23" s="9" t="s">
        <v>491</v>
      </c>
      <c r="B23" s="23" t="s">
        <v>536</v>
      </c>
    </row>
    <row r="24">
      <c r="A24" s="9" t="s">
        <v>474</v>
      </c>
      <c r="B24" s="23" t="s">
        <v>537</v>
      </c>
    </row>
    <row r="25">
      <c r="A25" s="9" t="s">
        <v>396</v>
      </c>
      <c r="B25" s="23" t="s">
        <v>538</v>
      </c>
    </row>
    <row r="26">
      <c r="A26" s="9" t="s">
        <v>498</v>
      </c>
      <c r="B26" s="23" t="s">
        <v>539</v>
      </c>
    </row>
    <row r="27">
      <c r="A27" s="9" t="s">
        <v>496</v>
      </c>
      <c r="B27" s="23" t="s">
        <v>540</v>
      </c>
    </row>
    <row r="28">
      <c r="A28" s="9" t="s">
        <v>485</v>
      </c>
      <c r="B28" s="23" t="s">
        <v>541</v>
      </c>
    </row>
    <row r="29">
      <c r="A29" s="9" t="s">
        <v>376</v>
      </c>
      <c r="B29" s="23" t="s">
        <v>542</v>
      </c>
    </row>
    <row r="30">
      <c r="A30" s="9" t="s">
        <v>135</v>
      </c>
      <c r="B30" s="23" t="s">
        <v>543</v>
      </c>
    </row>
    <row r="31">
      <c r="A31" s="9" t="s">
        <v>155</v>
      </c>
      <c r="B31" s="23" t="s">
        <v>544</v>
      </c>
    </row>
    <row r="32">
      <c r="A32" s="9" t="s">
        <v>483</v>
      </c>
      <c r="B32" s="23" t="s">
        <v>545</v>
      </c>
    </row>
    <row r="33">
      <c r="A33" s="9" t="s">
        <v>124</v>
      </c>
      <c r="B33" s="23" t="s">
        <v>546</v>
      </c>
    </row>
    <row r="34">
      <c r="A34" s="9" t="s">
        <v>114</v>
      </c>
      <c r="B34" s="23" t="s">
        <v>547</v>
      </c>
    </row>
    <row r="35">
      <c r="A35" s="9" t="s">
        <v>488</v>
      </c>
      <c r="B35" s="23" t="s">
        <v>548</v>
      </c>
    </row>
    <row r="36">
      <c r="A36" s="9" t="s">
        <v>448</v>
      </c>
      <c r="B36" s="23" t="s">
        <v>549</v>
      </c>
    </row>
    <row r="37">
      <c r="A37" s="9" t="s">
        <v>273</v>
      </c>
      <c r="B37" s="23" t="s">
        <v>550</v>
      </c>
    </row>
    <row r="38">
      <c r="A38" s="9" t="s">
        <v>415</v>
      </c>
      <c r="B38" s="23" t="s">
        <v>551</v>
      </c>
    </row>
    <row r="39">
      <c r="A39" s="9" t="s">
        <v>260</v>
      </c>
      <c r="B39" s="23" t="s">
        <v>552</v>
      </c>
    </row>
    <row r="40">
      <c r="A40" s="9" t="s">
        <v>426</v>
      </c>
      <c r="B40" s="23" t="s">
        <v>553</v>
      </c>
    </row>
    <row r="41">
      <c r="A41" s="9" t="s">
        <v>257</v>
      </c>
      <c r="B41" s="23" t="s">
        <v>554</v>
      </c>
    </row>
    <row r="42">
      <c r="A42" s="9" t="s">
        <v>313</v>
      </c>
      <c r="B42" s="23" t="s">
        <v>555</v>
      </c>
    </row>
    <row r="43">
      <c r="A43" s="9" t="s">
        <v>428</v>
      </c>
      <c r="B43" s="23" t="s">
        <v>556</v>
      </c>
    </row>
    <row r="44">
      <c r="A44" s="9" t="s">
        <v>503</v>
      </c>
      <c r="B44" s="23" t="s">
        <v>557</v>
      </c>
    </row>
    <row r="45">
      <c r="A45" s="9" t="s">
        <v>499</v>
      </c>
      <c r="B45" s="23" t="s">
        <v>558</v>
      </c>
    </row>
    <row r="46">
      <c r="A46" s="9" t="s">
        <v>414</v>
      </c>
      <c r="B46" s="23" t="s">
        <v>559</v>
      </c>
    </row>
    <row r="47">
      <c r="A47" s="9" t="s">
        <v>302</v>
      </c>
      <c r="B47" s="23" t="s">
        <v>560</v>
      </c>
    </row>
    <row r="48">
      <c r="A48" s="9" t="s">
        <v>493</v>
      </c>
      <c r="B48" s="23" t="s">
        <v>561</v>
      </c>
    </row>
    <row r="49">
      <c r="A49" s="9" t="s">
        <v>469</v>
      </c>
      <c r="B49" s="23" t="s">
        <v>562</v>
      </c>
    </row>
    <row r="50">
      <c r="A50" s="9" t="s">
        <v>341</v>
      </c>
      <c r="B50" s="23" t="s">
        <v>563</v>
      </c>
    </row>
    <row r="51">
      <c r="A51" s="9" t="s">
        <v>484</v>
      </c>
      <c r="B51" s="23" t="s">
        <v>564</v>
      </c>
    </row>
    <row r="52">
      <c r="A52" s="9" t="s">
        <v>424</v>
      </c>
      <c r="B52" s="23" t="s">
        <v>565</v>
      </c>
    </row>
    <row r="53">
      <c r="A53" s="9" t="s">
        <v>118</v>
      </c>
      <c r="B53" s="23" t="s">
        <v>566</v>
      </c>
    </row>
    <row r="54">
      <c r="A54" s="9" t="s">
        <v>108</v>
      </c>
      <c r="B54" s="23" t="s">
        <v>567</v>
      </c>
    </row>
    <row r="55">
      <c r="A55" s="9" t="s">
        <v>423</v>
      </c>
      <c r="B55" s="23" t="s">
        <v>568</v>
      </c>
    </row>
    <row r="56">
      <c r="A56" s="9" t="s">
        <v>408</v>
      </c>
      <c r="B56" s="23" t="s">
        <v>569</v>
      </c>
    </row>
    <row r="57">
      <c r="A57" s="9" t="s">
        <v>458</v>
      </c>
      <c r="B57" s="23" t="s">
        <v>570</v>
      </c>
    </row>
    <row r="58">
      <c r="A58" s="9" t="s">
        <v>220</v>
      </c>
      <c r="B58" s="23" t="s">
        <v>571</v>
      </c>
    </row>
    <row r="59">
      <c r="A59" s="9" t="s">
        <v>422</v>
      </c>
      <c r="B59" s="23" t="s">
        <v>572</v>
      </c>
    </row>
    <row r="60">
      <c r="A60" s="9" t="s">
        <v>246</v>
      </c>
      <c r="B60" s="23" t="s">
        <v>573</v>
      </c>
    </row>
    <row r="61">
      <c r="A61" s="9" t="s">
        <v>219</v>
      </c>
      <c r="B61" s="23" t="s">
        <v>574</v>
      </c>
    </row>
    <row r="62">
      <c r="A62" s="9" t="s">
        <v>467</v>
      </c>
      <c r="B62" s="23" t="s">
        <v>575</v>
      </c>
    </row>
    <row r="63">
      <c r="A63" s="9" t="s">
        <v>175</v>
      </c>
      <c r="B63" s="23" t="s">
        <v>576</v>
      </c>
    </row>
    <row r="64">
      <c r="A64" s="9" t="s">
        <v>149</v>
      </c>
      <c r="B64" s="23" t="s">
        <v>577</v>
      </c>
    </row>
    <row r="65">
      <c r="A65" s="9" t="s">
        <v>430</v>
      </c>
      <c r="B65" s="23" t="s">
        <v>578</v>
      </c>
    </row>
    <row r="66">
      <c r="A66" s="9" t="s">
        <v>304</v>
      </c>
      <c r="B66" s="23" t="s">
        <v>579</v>
      </c>
    </row>
    <row r="67">
      <c r="A67" s="9" t="s">
        <v>477</v>
      </c>
      <c r="B67" s="23" t="s">
        <v>580</v>
      </c>
    </row>
    <row r="68">
      <c r="A68" s="9" t="s">
        <v>453</v>
      </c>
      <c r="B68" s="23" t="s">
        <v>581</v>
      </c>
    </row>
    <row r="69">
      <c r="A69" s="9" t="s">
        <v>307</v>
      </c>
      <c r="B69" s="23" t="s">
        <v>582</v>
      </c>
    </row>
    <row r="70">
      <c r="A70" s="9" t="s">
        <v>507</v>
      </c>
      <c r="B70" s="23" t="s">
        <v>583</v>
      </c>
    </row>
    <row r="71">
      <c r="A71" s="9" t="s">
        <v>479</v>
      </c>
      <c r="B71" s="23" t="s">
        <v>584</v>
      </c>
    </row>
    <row r="72">
      <c r="A72" s="9" t="s">
        <v>505</v>
      </c>
      <c r="B72" s="23" t="s">
        <v>585</v>
      </c>
    </row>
    <row r="73">
      <c r="A73" s="9" t="s">
        <v>317</v>
      </c>
      <c r="B73" s="23" t="s">
        <v>586</v>
      </c>
    </row>
    <row r="74">
      <c r="A74" s="9" t="s">
        <v>204</v>
      </c>
      <c r="B74" s="23" t="s">
        <v>585</v>
      </c>
    </row>
    <row r="75">
      <c r="A75" s="9" t="s">
        <v>152</v>
      </c>
      <c r="B75" s="23" t="s">
        <v>587</v>
      </c>
    </row>
    <row r="76">
      <c r="A76" s="9" t="s">
        <v>471</v>
      </c>
      <c r="B76" s="23" t="s">
        <v>588</v>
      </c>
    </row>
    <row r="77">
      <c r="A77" s="9" t="s">
        <v>390</v>
      </c>
      <c r="B77" s="23" t="s">
        <v>589</v>
      </c>
    </row>
    <row r="78">
      <c r="A78" s="9" t="s">
        <v>497</v>
      </c>
      <c r="B78" s="23" t="s">
        <v>590</v>
      </c>
    </row>
    <row r="79">
      <c r="A79" s="9" t="s">
        <v>285</v>
      </c>
      <c r="B79" s="23" t="s">
        <v>591</v>
      </c>
    </row>
    <row r="80">
      <c r="A80" s="9" t="s">
        <v>452</v>
      </c>
      <c r="B80" s="23" t="s">
        <v>592</v>
      </c>
    </row>
    <row r="81">
      <c r="A81" s="9" t="s">
        <v>468</v>
      </c>
      <c r="B81" s="23" t="s">
        <v>593</v>
      </c>
    </row>
    <row r="82">
      <c r="A82" s="9" t="s">
        <v>502</v>
      </c>
      <c r="B82" s="23" t="s">
        <v>594</v>
      </c>
    </row>
    <row r="83">
      <c r="A83" s="9" t="s">
        <v>508</v>
      </c>
      <c r="B83" s="23" t="s">
        <v>595</v>
      </c>
    </row>
    <row r="84">
      <c r="A84" s="9" t="s">
        <v>416</v>
      </c>
      <c r="B84" s="23" t="s">
        <v>596</v>
      </c>
    </row>
    <row r="85">
      <c r="A85" s="9" t="s">
        <v>466</v>
      </c>
      <c r="B85" s="23" t="s">
        <v>597</v>
      </c>
    </row>
    <row r="86">
      <c r="A86" s="9" t="s">
        <v>487</v>
      </c>
      <c r="B86" s="23" t="s">
        <v>598</v>
      </c>
    </row>
    <row r="87">
      <c r="A87" s="9" t="s">
        <v>472</v>
      </c>
      <c r="B87" s="23" t="s">
        <v>599</v>
      </c>
    </row>
    <row r="88">
      <c r="A88" s="9" t="s">
        <v>266</v>
      </c>
      <c r="B88" s="23" t="s">
        <v>600</v>
      </c>
    </row>
    <row r="89">
      <c r="A89" s="9" t="s">
        <v>343</v>
      </c>
      <c r="B89" s="23" t="s">
        <v>601</v>
      </c>
    </row>
    <row r="90">
      <c r="A90" s="9" t="s">
        <v>602</v>
      </c>
      <c r="B90" s="23" t="s">
        <v>601</v>
      </c>
    </row>
    <row r="91">
      <c r="A91" s="9" t="s">
        <v>481</v>
      </c>
      <c r="B91" s="23" t="s">
        <v>603</v>
      </c>
    </row>
    <row r="92">
      <c r="A92" s="9" t="s">
        <v>429</v>
      </c>
      <c r="B92" s="23" t="s">
        <v>604</v>
      </c>
    </row>
    <row r="93">
      <c r="A93" s="9" t="s">
        <v>419</v>
      </c>
      <c r="B93" s="23" t="s">
        <v>605</v>
      </c>
    </row>
    <row r="94">
      <c r="A94" s="9" t="s">
        <v>457</v>
      </c>
      <c r="B94" s="23" t="s">
        <v>606</v>
      </c>
    </row>
    <row r="95">
      <c r="A95" s="9" t="s">
        <v>501</v>
      </c>
      <c r="B95" s="23" t="s">
        <v>607</v>
      </c>
    </row>
    <row r="96">
      <c r="A96" s="9" t="s">
        <v>459</v>
      </c>
      <c r="B96" s="23" t="s">
        <v>608</v>
      </c>
    </row>
    <row r="97">
      <c r="A97" s="9" t="s">
        <v>427</v>
      </c>
      <c r="B97" s="23" t="s">
        <v>609</v>
      </c>
    </row>
    <row r="98">
      <c r="A98" s="9" t="s">
        <v>492</v>
      </c>
      <c r="B98" s="23" t="s">
        <v>610</v>
      </c>
    </row>
    <row r="99">
      <c r="A99" s="9" t="s">
        <v>464</v>
      </c>
      <c r="B99" s="23" t="s">
        <v>611</v>
      </c>
    </row>
    <row r="100">
      <c r="A100" s="9" t="s">
        <v>180</v>
      </c>
      <c r="B100" s="23" t="s">
        <v>612</v>
      </c>
    </row>
    <row r="101">
      <c r="A101" s="9" t="s">
        <v>226</v>
      </c>
      <c r="B101" s="23" t="s">
        <v>613</v>
      </c>
    </row>
    <row r="102">
      <c r="A102" s="9" t="s">
        <v>451</v>
      </c>
      <c r="B102" s="23" t="s">
        <v>614</v>
      </c>
    </row>
    <row r="103">
      <c r="A103" s="9" t="s">
        <v>482</v>
      </c>
      <c r="B103" s="23" t="s">
        <v>615</v>
      </c>
    </row>
    <row r="104">
      <c r="A104" s="9" t="s">
        <v>206</v>
      </c>
      <c r="B104" s="23" t="s">
        <v>616</v>
      </c>
    </row>
    <row r="105">
      <c r="A105" s="9" t="s">
        <v>486</v>
      </c>
      <c r="B105" s="23" t="s">
        <v>617</v>
      </c>
    </row>
    <row r="106">
      <c r="A106" s="9" t="s">
        <v>618</v>
      </c>
      <c r="B106" s="23" t="s">
        <v>619</v>
      </c>
    </row>
    <row r="107">
      <c r="A107" s="9" t="s">
        <v>506</v>
      </c>
      <c r="B107" s="23" t="s">
        <v>620</v>
      </c>
    </row>
    <row r="108">
      <c r="A108" s="9" t="s">
        <v>379</v>
      </c>
      <c r="B108" s="23" t="s">
        <v>620</v>
      </c>
    </row>
    <row r="109">
      <c r="A109" s="9" t="s">
        <v>142</v>
      </c>
      <c r="B109" s="23" t="s">
        <v>621</v>
      </c>
    </row>
    <row r="110">
      <c r="A110" s="9" t="s">
        <v>321</v>
      </c>
      <c r="B110" s="23" t="s">
        <v>616</v>
      </c>
    </row>
    <row r="111">
      <c r="A111" s="9" t="s">
        <v>385</v>
      </c>
      <c r="B111" s="23" t="s">
        <v>622</v>
      </c>
    </row>
    <row r="112">
      <c r="A112" s="9" t="s">
        <v>500</v>
      </c>
      <c r="B112" s="23" t="s">
        <v>623</v>
      </c>
    </row>
    <row r="113">
      <c r="A113" s="9" t="s">
        <v>461</v>
      </c>
      <c r="B113" s="23" t="s">
        <v>624</v>
      </c>
    </row>
    <row r="114">
      <c r="A114" s="9" t="s">
        <v>332</v>
      </c>
      <c r="B114" s="23" t="s">
        <v>625</v>
      </c>
    </row>
    <row r="115">
      <c r="A115" s="9" t="s">
        <v>445</v>
      </c>
      <c r="B115" s="23" t="s">
        <v>626</v>
      </c>
    </row>
    <row r="116">
      <c r="A116" s="9" t="s">
        <v>425</v>
      </c>
      <c r="B116" s="23" t="s">
        <v>627</v>
      </c>
    </row>
    <row r="117">
      <c r="A117" s="9" t="s">
        <v>339</v>
      </c>
      <c r="B117" s="23" t="s">
        <v>617</v>
      </c>
    </row>
    <row r="118">
      <c r="A118" s="9" t="s">
        <v>223</v>
      </c>
      <c r="B118" s="23" t="s">
        <v>628</v>
      </c>
    </row>
    <row r="119">
      <c r="A119" s="9" t="s">
        <v>421</v>
      </c>
      <c r="B119" s="23" t="s">
        <v>629</v>
      </c>
    </row>
    <row r="120">
      <c r="A120" s="9" t="s">
        <v>456</v>
      </c>
      <c r="B120" s="23" t="s">
        <v>630</v>
      </c>
    </row>
    <row r="121">
      <c r="A121" s="9" t="s">
        <v>44</v>
      </c>
      <c r="B121" s="23" t="s">
        <v>631</v>
      </c>
    </row>
    <row r="122">
      <c r="A122" s="9" t="s">
        <v>366</v>
      </c>
      <c r="B122" s="23" t="s">
        <v>578</v>
      </c>
    </row>
    <row r="123">
      <c r="A123" s="9" t="s">
        <v>299</v>
      </c>
      <c r="B123" s="23" t="s">
        <v>632</v>
      </c>
    </row>
    <row r="124">
      <c r="A124" s="9" t="s">
        <v>157</v>
      </c>
      <c r="B124" s="23" t="s">
        <v>633</v>
      </c>
    </row>
    <row r="125">
      <c r="A125" s="9" t="s">
        <v>404</v>
      </c>
      <c r="B125" s="23" t="s">
        <v>634</v>
      </c>
    </row>
    <row r="126">
      <c r="A126" s="9" t="s">
        <v>417</v>
      </c>
      <c r="B126" s="23" t="s">
        <v>635</v>
      </c>
    </row>
    <row r="127">
      <c r="A127" s="9" t="s">
        <v>476</v>
      </c>
      <c r="B127" s="23" t="s">
        <v>636</v>
      </c>
    </row>
    <row r="128">
      <c r="A128" s="9" t="s">
        <v>446</v>
      </c>
      <c r="B128" s="23" t="s">
        <v>637</v>
      </c>
    </row>
    <row r="129">
      <c r="A129" s="9" t="s">
        <v>455</v>
      </c>
      <c r="B129" s="23" t="s">
        <v>638</v>
      </c>
    </row>
    <row r="130">
      <c r="A130" s="9" t="s">
        <v>310</v>
      </c>
      <c r="B130" s="23" t="s">
        <v>639</v>
      </c>
    </row>
    <row r="131">
      <c r="A131" s="9" t="s">
        <v>480</v>
      </c>
      <c r="B131" s="23" t="s">
        <v>640</v>
      </c>
    </row>
    <row r="132">
      <c r="A132" s="9" t="s">
        <v>127</v>
      </c>
      <c r="B132" s="23" t="s">
        <v>641</v>
      </c>
    </row>
    <row r="133">
      <c r="A133" s="9" t="s">
        <v>375</v>
      </c>
      <c r="B133" s="23" t="s">
        <v>642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3.88"/>
  </cols>
  <sheetData>
    <row r="2">
      <c r="A2" s="47" t="s">
        <v>435</v>
      </c>
      <c r="B2" s="47" t="s">
        <v>643</v>
      </c>
      <c r="C2" s="47"/>
      <c r="D2" s="47"/>
    </row>
    <row r="3">
      <c r="A3" s="23" t="s">
        <v>7</v>
      </c>
      <c r="B3" s="23" t="s">
        <v>644</v>
      </c>
    </row>
    <row r="4">
      <c r="A4" s="23" t="s">
        <v>28</v>
      </c>
      <c r="B4" s="23" t="s">
        <v>645</v>
      </c>
    </row>
    <row r="5">
      <c r="A5" s="23" t="s">
        <v>25</v>
      </c>
      <c r="B5" s="23" t="s">
        <v>646</v>
      </c>
    </row>
    <row r="6">
      <c r="A6" s="23" t="s">
        <v>32</v>
      </c>
      <c r="B6" s="23" t="s">
        <v>647</v>
      </c>
    </row>
    <row r="7">
      <c r="A7" s="23" t="s">
        <v>5</v>
      </c>
      <c r="B7" s="23" t="s">
        <v>648</v>
      </c>
    </row>
    <row r="8">
      <c r="A8" s="23" t="s">
        <v>39</v>
      </c>
      <c r="B8" s="23" t="s">
        <v>649</v>
      </c>
    </row>
  </sheetData>
  <drawing r:id="rId1"/>
</worksheet>
</file>